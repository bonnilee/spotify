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230AA\EXCELCNV\8776943d-959e-4b0c-8ab1-6fd5b83b2b1c\"/>
    </mc:Choice>
  </mc:AlternateContent>
  <xr:revisionPtr revIDLastSave="0" documentId="8_{DB0C9851-3C5F-4B07-8E28-F4BE7DC7DC9C}" xr6:coauthVersionLast="47" xr6:coauthVersionMax="47" xr10:uidLastSave="{00000000-0000-0000-0000-000000000000}"/>
  <bookViews>
    <workbookView xWindow="-60" yWindow="-60" windowWidth="15480" windowHeight="11640" activeTab="5" xr2:uid="{B29D5FC2-2D6C-432C-BEAA-5A612C55D79F}"/>
  </bookViews>
  <sheets>
    <sheet name="stats" sheetId="1" r:id="rId1"/>
    <sheet name="artist count" sheetId="2" r:id="rId2"/>
    <sheet name="date" sheetId="3" r:id="rId3"/>
    <sheet name="dancability" sheetId="4" r:id="rId4"/>
    <sheet name="energy" sheetId="5" r:id="rId5"/>
    <sheet name="dashboard" sheetId="6" r:id="rId6"/>
  </sheets>
  <calcPr calcId="191028"/>
  <pivotCaches>
    <pivotCache cacheId="91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B5" i="6"/>
  <c r="B4" i="6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</calcChain>
</file>

<file path=xl/sharedStrings.xml><?xml version="1.0" encoding="utf-8"?>
<sst xmlns="http://schemas.openxmlformats.org/spreadsheetml/2006/main" count="5050" uniqueCount="1633">
  <si>
    <t>artist(s)_name</t>
  </si>
  <si>
    <t>track_name</t>
  </si>
  <si>
    <t>artist_count</t>
  </si>
  <si>
    <t>release_date</t>
  </si>
  <si>
    <t>in_spotify_playlists</t>
  </si>
  <si>
    <t>in_spotify_charts</t>
  </si>
  <si>
    <t>streams</t>
  </si>
  <si>
    <t>popular</t>
  </si>
  <si>
    <t>in_apple_playlists</t>
  </si>
  <si>
    <t>in_apple_charts</t>
  </si>
  <si>
    <t>in_deezer_playlists</t>
  </si>
  <si>
    <t>in_deezer_charts</t>
  </si>
  <si>
    <t>in_shazam_charts</t>
  </si>
  <si>
    <t>bpm</t>
  </si>
  <si>
    <t>key</t>
  </si>
  <si>
    <t>mode</t>
  </si>
  <si>
    <t>danceability_%</t>
  </si>
  <si>
    <t>valence_%</t>
  </si>
  <si>
    <t>energy_%</t>
  </si>
  <si>
    <t>acousticness_%</t>
  </si>
  <si>
    <t>instrumentalness_%</t>
  </si>
  <si>
    <t>liveness_%</t>
  </si>
  <si>
    <t>speechiness_%</t>
  </si>
  <si>
    <t>(G)I-DLE</t>
  </si>
  <si>
    <t>Seven (feat. Latto) (Explicit Ver.)</t>
  </si>
  <si>
    <t>B</t>
  </si>
  <si>
    <t>Major</t>
  </si>
  <si>
    <t>lots of streams</t>
  </si>
  <si>
    <t>LALA</t>
  </si>
  <si>
    <t>C#</t>
  </si>
  <si>
    <t>21 Savage, Gunna</t>
  </si>
  <si>
    <t>vampire</t>
  </si>
  <si>
    <t>F</t>
  </si>
  <si>
    <t>result</t>
  </si>
  <si>
    <t>yes</t>
  </si>
  <si>
    <t>24kgoldn, Iann Dior</t>
  </si>
  <si>
    <t>Cruel Summer</t>
  </si>
  <si>
    <t>A</t>
  </si>
  <si>
    <t>no</t>
  </si>
  <si>
    <t>50 Cent</t>
  </si>
  <si>
    <t>WHERE SHE GOES</t>
  </si>
  <si>
    <t>Minor</t>
  </si>
  <si>
    <t>A$AP Rocky, Metro Boomin, Roisee</t>
  </si>
  <si>
    <t>Sprinter</t>
  </si>
  <si>
    <t>Abhijay Sharma, Riar Saab</t>
  </si>
  <si>
    <t>Ella Baila Sola</t>
  </si>
  <si>
    <t>Adassa, Mauro Castillo, Stephanie Beatriz, Encanto - Cast, Rhenzy Feliz, Diane Guerrero, Carolina Gaitan</t>
  </si>
  <si>
    <t>Columbia</t>
  </si>
  <si>
    <t>Adele</t>
  </si>
  <si>
    <t>fukumean</t>
  </si>
  <si>
    <t>La Bebe - Remix</t>
  </si>
  <si>
    <t>D</t>
  </si>
  <si>
    <t>un x100to</t>
  </si>
  <si>
    <t>F#</t>
  </si>
  <si>
    <t>Super Shy</t>
  </si>
  <si>
    <t>Aerosmith</t>
  </si>
  <si>
    <t>Flowers</t>
  </si>
  <si>
    <t>Agust D</t>
  </si>
  <si>
    <t>Daylight</t>
  </si>
  <si>
    <t>a-ha</t>
  </si>
  <si>
    <t>As It Was</t>
  </si>
  <si>
    <t>Aitana, zzoilo</t>
  </si>
  <si>
    <t>Kill Bill</t>
  </si>
  <si>
    <t>G#</t>
  </si>
  <si>
    <t>Ak4:20, Cris Mj, Pailita</t>
  </si>
  <si>
    <t>Cupid - Twin Ver.</t>
  </si>
  <si>
    <t>Alec Benjamin</t>
  </si>
  <si>
    <t>What Was I Made For? [From The Motion Picture "Barbie"]</t>
  </si>
  <si>
    <t>Alvaro Diaz, Rauw Alejandro</t>
  </si>
  <si>
    <t>Classy 101</t>
  </si>
  <si>
    <t>Ana Castela, AgroPlay</t>
  </si>
  <si>
    <t>Like Crazy</t>
  </si>
  <si>
    <t>G</t>
  </si>
  <si>
    <t>Andy Williams</t>
  </si>
  <si>
    <t>LADY GAGA</t>
  </si>
  <si>
    <t>Anggi Marito</t>
  </si>
  <si>
    <t xml:space="preserve">I Can See You (Taylorï¿½ï¿½ï¿½s Version) (From The </t>
  </si>
  <si>
    <t>Anitta</t>
  </si>
  <si>
    <t>I Wanna Be Yours</t>
  </si>
  <si>
    <t>Anitta, Tini, Becky G</t>
  </si>
  <si>
    <t>Peso Pluma: Bzrp Music Sessions, Vol. 55</t>
  </si>
  <si>
    <t>AnnenMayKantereit, Giant Rooks</t>
  </si>
  <si>
    <t>Popular (with Playboi Carti &amp; Madonna) - The Idol Vol. 1 (Music from the HBO Original Series)</t>
  </si>
  <si>
    <t>Anuel Aa, Jhay Cortez</t>
  </si>
  <si>
    <t>SABOR FRESA</t>
  </si>
  <si>
    <t>Anuel Aa, Myke Towers, Jhay Cortez</t>
  </si>
  <si>
    <t>Calm Down (with Selena Gomez)</t>
  </si>
  <si>
    <t>Arcangel, Bad Bunny</t>
  </si>
  <si>
    <t>MOJABI GHOST</t>
  </si>
  <si>
    <t>Arcangel, Bizarrap</t>
  </si>
  <si>
    <t>Last Night</t>
  </si>
  <si>
    <t>Arcangel, De La Ghetto, Justin Quiles, Lenny Tavï¿½ï¿½rez, Sech, Dalex, Dimelo Flow, Rich Music</t>
  </si>
  <si>
    <t>Dance The Night (From Barbie The Album)</t>
  </si>
  <si>
    <t>Arctic Monkeys</t>
  </si>
  <si>
    <t>Rush</t>
  </si>
  <si>
    <t>TULUM</t>
  </si>
  <si>
    <t>Creepin'</t>
  </si>
  <si>
    <t>Anti-Hero</t>
  </si>
  <si>
    <t>E</t>
  </si>
  <si>
    <t>Ariana Grande</t>
  </si>
  <si>
    <t>TQG</t>
  </si>
  <si>
    <t>Los del Espacio</t>
  </si>
  <si>
    <t>Ariana Grande, The Weeknd</t>
  </si>
  <si>
    <t>Frï¿½ï¿½gil (feat. Grupo Front</t>
  </si>
  <si>
    <t>Blank Space</t>
  </si>
  <si>
    <t>Arijit Singh, Sachin-Jigar</t>
  </si>
  <si>
    <t>Style</t>
  </si>
  <si>
    <t>Arijit Singh, Sachin-Jigar, Amitabha Bhattacharya</t>
  </si>
  <si>
    <t>TQM</t>
  </si>
  <si>
    <t>Arijit Singh, Vishal Dadlani, Sukriti Kakar, Vishal-Shekhar, Shekhar Ravjiani, Kumaar</t>
  </si>
  <si>
    <t>El Azul</t>
  </si>
  <si>
    <t>Armani White</t>
  </si>
  <si>
    <t>Sunflower - Spider-Man: Into the Spider-Verse</t>
  </si>
  <si>
    <t>Aventura, Bad Bunny</t>
  </si>
  <si>
    <t>I'm Good (Blue)</t>
  </si>
  <si>
    <t>Avicii</t>
  </si>
  <si>
    <t>See You Again</t>
  </si>
  <si>
    <t>Barbie World (with Aqua) [From Barbie The Album]</t>
  </si>
  <si>
    <t>Ayparia, unxbected</t>
  </si>
  <si>
    <t>Angels Like You</t>
  </si>
  <si>
    <t>Baby Rasta, Rauw Alejandro</t>
  </si>
  <si>
    <t>I Ain't Worried</t>
  </si>
  <si>
    <t>Baby Tate</t>
  </si>
  <si>
    <t>Die For You</t>
  </si>
  <si>
    <t>Bad Bunny</t>
  </si>
  <si>
    <t>Starboy</t>
  </si>
  <si>
    <t>Die For You - Remix</t>
  </si>
  <si>
    <t>El Cielo</t>
  </si>
  <si>
    <t>A#</t>
  </si>
  <si>
    <t>Baby Don't Hurt Me</t>
  </si>
  <si>
    <t>AMARGURA</t>
  </si>
  <si>
    <t>(It Goes Like) Nanana - Edit</t>
  </si>
  <si>
    <t>Another Love</t>
  </si>
  <si>
    <t>Blinding Lights</t>
  </si>
  <si>
    <t>Moonlight</t>
  </si>
  <si>
    <t>La Bachata</t>
  </si>
  <si>
    <t>S91</t>
  </si>
  <si>
    <t>cardigan</t>
  </si>
  <si>
    <t>Tï¿½ï¿</t>
  </si>
  <si>
    <t>Boy's a liar Pt. 2</t>
  </si>
  <si>
    <t>Left and Right (Feat. Jung Kook of BTS)</t>
  </si>
  <si>
    <t>BESO</t>
  </si>
  <si>
    <t>Hey Mor</t>
  </si>
  <si>
    <t>Yellow</t>
  </si>
  <si>
    <t>Karma</t>
  </si>
  <si>
    <t>Bad Bunny, Eladio Carrion</t>
  </si>
  <si>
    <t>People</t>
  </si>
  <si>
    <t>Bad Bunny, Grupo Frontera</t>
  </si>
  <si>
    <t>Overdrive</t>
  </si>
  <si>
    <t>Bad Bunny, Jhay Cortez</t>
  </si>
  <si>
    <t>Enchanted (Taylor's Version)</t>
  </si>
  <si>
    <t>BABY HELLO</t>
  </si>
  <si>
    <t>Bad Bunny, Rauw Alejandro</t>
  </si>
  <si>
    <t>Heat Waves</t>
  </si>
  <si>
    <t>Bad Bunny, Tainy</t>
  </si>
  <si>
    <t>golden hour</t>
  </si>
  <si>
    <t>Bad Bunny, The Marï¿½ï</t>
  </si>
  <si>
    <t>Sweater Weather</t>
  </si>
  <si>
    <t>Band Aid</t>
  </si>
  <si>
    <t>Quevedo: Bzrp Music Sessions, Vol. 52</t>
  </si>
  <si>
    <t>Beach House</t>
  </si>
  <si>
    <t>Viva La Vida</t>
  </si>
  <si>
    <t>Beach Weather</t>
  </si>
  <si>
    <t>Here With Me</t>
  </si>
  <si>
    <t>Bebe Rexha, David Guetta</t>
  </si>
  <si>
    <t>Unholy (feat. Kim Petras)</t>
  </si>
  <si>
    <t>Becky G, Peso Pluma</t>
  </si>
  <si>
    <t>Yandel 150</t>
  </si>
  <si>
    <t>Bellakath</t>
  </si>
  <si>
    <t>CORAZï¿½ï¿½N VA</t>
  </si>
  <si>
    <t>Benson Boone</t>
  </si>
  <si>
    <t>Riptide</t>
  </si>
  <si>
    <t>Beyoncï¿</t>
  </si>
  <si>
    <t>Until I Found You (with Em Beihold) - Em Beihold Version</t>
  </si>
  <si>
    <t>Novidade na ï¿½ï¿</t>
  </si>
  <si>
    <t>Back To December (Taylor's Version)</t>
  </si>
  <si>
    <t>Big One, Duki, Lit Killah, Maria Becerra, FMK, Rusherking, Emilia, Tiago pzk</t>
  </si>
  <si>
    <t>STAY (with Justin Bieber)</t>
  </si>
  <si>
    <t>Big One, FMK, Ke personajes</t>
  </si>
  <si>
    <t>El Merengue</t>
  </si>
  <si>
    <t>BIGBANG</t>
  </si>
  <si>
    <t>Someone You Loved</t>
  </si>
  <si>
    <t>Billie Eilish</t>
  </si>
  <si>
    <t>Me Porto Bonito</t>
  </si>
  <si>
    <t>Makeba</t>
  </si>
  <si>
    <t>MONTAGEM - FR PUNK</t>
  </si>
  <si>
    <t>Fast Car</t>
  </si>
  <si>
    <t>What It Is (Solo Version)</t>
  </si>
  <si>
    <t>Billie Eilish, Khalid</t>
  </si>
  <si>
    <t>Coco Chanel</t>
  </si>
  <si>
    <t>Bing Crosby, John Scott Trotter &amp; His Orchestra, Ken Darby Singers</t>
  </si>
  <si>
    <t>Donï¿½ï¿½ï¿½t Bl</t>
  </si>
  <si>
    <t>Bizarrap, Paulo Londra</t>
  </si>
  <si>
    <t>Still With You</t>
  </si>
  <si>
    <t>Bizarrap, Peso Pluma</t>
  </si>
  <si>
    <t>All My Life (feat. J. Cole)</t>
  </si>
  <si>
    <t>D#</t>
  </si>
  <si>
    <t>Bizarrap, Quevedo</t>
  </si>
  <si>
    <t>Say Yes To Heaven</t>
  </si>
  <si>
    <t>Bizarrap, Tiago pzk</t>
  </si>
  <si>
    <t>Snooze</t>
  </si>
  <si>
    <t>Bizarrap, Villano Antillano</t>
  </si>
  <si>
    <t>Summertime Sadness</t>
  </si>
  <si>
    <t>Blackbear, BoyWithUke</t>
  </si>
  <si>
    <t>Take Two</t>
  </si>
  <si>
    <t>BLACKPINK</t>
  </si>
  <si>
    <t>Lover</t>
  </si>
  <si>
    <t>Too Many Nights (feat. Don Toliver &amp; with Future)</t>
  </si>
  <si>
    <t>Chemical</t>
  </si>
  <si>
    <t>BLESSD, Peso Pluma</t>
  </si>
  <si>
    <t>Mockingbird</t>
  </si>
  <si>
    <t>Bobby Helms</t>
  </si>
  <si>
    <t>New Jeans</t>
  </si>
  <si>
    <t>Bomba Estï¿½ï¿½reo, Bad B</t>
  </si>
  <si>
    <t>Primera Cita</t>
  </si>
  <si>
    <t>BoyWithUke</t>
  </si>
  <si>
    <t>Cold Heart - PNAU Remix</t>
  </si>
  <si>
    <t>Brenda Lee</t>
  </si>
  <si>
    <t>Dandelions</t>
  </si>
  <si>
    <t>Britney Spears</t>
  </si>
  <si>
    <t>Bones</t>
  </si>
  <si>
    <t>Brray, Rauw Alejandro, Lyanno</t>
  </si>
  <si>
    <t>Set Fire to the Rain</t>
  </si>
  <si>
    <t>Bruno Mars</t>
  </si>
  <si>
    <t>Money Trees</t>
  </si>
  <si>
    <t>Tak Segampang Itu</t>
  </si>
  <si>
    <t>LAGUNAS</t>
  </si>
  <si>
    <t>Mine (Taylor's Version)</t>
  </si>
  <si>
    <t>Bruno Mars, Anderson .Paak, Silk Sonic</t>
  </si>
  <si>
    <t>Everybody Wants To Rule The World</t>
  </si>
  <si>
    <t>No Role Modelz</t>
  </si>
  <si>
    <t>BTS</t>
  </si>
  <si>
    <t>Tattoo</t>
  </si>
  <si>
    <t>Rara Vez</t>
  </si>
  <si>
    <t>VAGABUNDO</t>
  </si>
  <si>
    <t>august</t>
  </si>
  <si>
    <t>LUNA</t>
  </si>
  <si>
    <t>Miracle (with Ellie Goulding)</t>
  </si>
  <si>
    <t>Nonsense</t>
  </si>
  <si>
    <t>Que Vuelvas</t>
  </si>
  <si>
    <t>BTS, Jung Kook, FIFA Sound</t>
  </si>
  <si>
    <t>Por las Noches</t>
  </si>
  <si>
    <t>Burl Ives</t>
  </si>
  <si>
    <t>Feliz Cumpleaï¿½ï¿½os Fe</t>
  </si>
  <si>
    <t>Burna Boy</t>
  </si>
  <si>
    <t>Can't Hold Us (feat. Ray Dalton)</t>
  </si>
  <si>
    <t>Watermelon Sugar</t>
  </si>
  <si>
    <t>Buscabulla, Bad Bunny</t>
  </si>
  <si>
    <t>lovely - Bonus Track</t>
  </si>
  <si>
    <t>BYOR, Imanbek</t>
  </si>
  <si>
    <t>Rauw Alejandro: Bzrp Music Sessions, Vol. 56</t>
  </si>
  <si>
    <t>C. Tangana</t>
  </si>
  <si>
    <t>Queencard</t>
  </si>
  <si>
    <t>Calvin Harris, Dua Lipa</t>
  </si>
  <si>
    <t>OMG</t>
  </si>
  <si>
    <t>Calvin Harris, Dua Lipa, Young Thug</t>
  </si>
  <si>
    <t>Radio</t>
  </si>
  <si>
    <t>Calvin Harris, Ellie Goulding</t>
  </si>
  <si>
    <t>Shakira: Bzrp Music Sessions, Vol. 53</t>
  </si>
  <si>
    <t>Calvin Harris, Halsey, Pharrell Williams, Justin Timberlake</t>
  </si>
  <si>
    <t>Camila Cabello, Ed Sheeran</t>
  </si>
  <si>
    <t>Calling (Spider-Man: Across the Spider-Verse) (Metro Boomin &amp; Swae Lee, NAV, feat. A Boogie Wit da Hoodie)</t>
  </si>
  <si>
    <t>Camila Cabello, Willow</t>
  </si>
  <si>
    <t>Trance (with Travis Scott &amp; Young Thug)</t>
  </si>
  <si>
    <t>Carin Leon</t>
  </si>
  <si>
    <t>Tere Vaaste (From "Zara Hatke Zara Bachke")</t>
  </si>
  <si>
    <t>Carin Leon, Grupo Frontera</t>
  </si>
  <si>
    <t>Perfect</t>
  </si>
  <si>
    <t>Cartel De Santa, La Kelly</t>
  </si>
  <si>
    <t>Romantic Homicide</t>
  </si>
  <si>
    <t>Central Cee</t>
  </si>
  <si>
    <t>Believer</t>
  </si>
  <si>
    <t>Novo Balanï¿½</t>
  </si>
  <si>
    <t>Chanel</t>
  </si>
  <si>
    <t>Gol Bolinha, Gol Quadrado 2</t>
  </si>
  <si>
    <t>Charli XCX, Jax Jones, Joel Corry, Saweetie</t>
  </si>
  <si>
    <t>Without Me</t>
  </si>
  <si>
    <t>Charlie Puth</t>
  </si>
  <si>
    <t>QUEMA</t>
  </si>
  <si>
    <t>Stargirl Interlude</t>
  </si>
  <si>
    <t>Charlie Puth, BTS, Jung Kook</t>
  </si>
  <si>
    <t>Ojitos Lindos</t>
  </si>
  <si>
    <t>Chase Atlantic</t>
  </si>
  <si>
    <t>Somewhere Only We Know</t>
  </si>
  <si>
    <t>Chencho Corleone, Bad Bunny</t>
  </si>
  <si>
    <t>Those Eyes</t>
  </si>
  <si>
    <t>Chencho Corleone, Rauw Alejandro</t>
  </si>
  <si>
    <t>El Gordo Trae El Mando</t>
  </si>
  <si>
    <t>Cherish, ACRAZE</t>
  </si>
  <si>
    <t>Mi Bello Angel</t>
  </si>
  <si>
    <t>Childish Gambino</t>
  </si>
  <si>
    <t>Bye</t>
  </si>
  <si>
    <t>Chino Pacas</t>
  </si>
  <si>
    <t>Danza Kuduro</t>
  </si>
  <si>
    <t>Chris Brown</t>
  </si>
  <si>
    <t>Nosso Quadro</t>
  </si>
  <si>
    <t>Chris Brown, Rvssian, Rauw Alejandro</t>
  </si>
  <si>
    <t>Locked Out Of Heaven</t>
  </si>
  <si>
    <t>Chris Molitor</t>
  </si>
  <si>
    <t>Un Finde | CROSSOVER #2</t>
  </si>
  <si>
    <t>Chris Rea</t>
  </si>
  <si>
    <t>Jimmy Cooks (feat. 21 Savage)</t>
  </si>
  <si>
    <t>Christian Nodal</t>
  </si>
  <si>
    <t>Counting Stars</t>
  </si>
  <si>
    <t>Chuck Berry</t>
  </si>
  <si>
    <t>Ghost</t>
  </si>
  <si>
    <t>Cigarettes After Sex</t>
  </si>
  <si>
    <t>Under The Influence</t>
  </si>
  <si>
    <t>Ckay</t>
  </si>
  <si>
    <t>PRC</t>
  </si>
  <si>
    <t>Ckay, AX'EL, Dj Yo!</t>
  </si>
  <si>
    <t>Gasolina</t>
  </si>
  <si>
    <t>Coi Leray</t>
  </si>
  <si>
    <t>One Dance</t>
  </si>
  <si>
    <t>Coldplay</t>
  </si>
  <si>
    <t>Enchanted</t>
  </si>
  <si>
    <t>Save Your Tears</t>
  </si>
  <si>
    <t>Sure Thing</t>
  </si>
  <si>
    <t>Coldplay, BTS</t>
  </si>
  <si>
    <t>Every Breath You Take - Remastered 2003</t>
  </si>
  <si>
    <t>Conan Gray</t>
  </si>
  <si>
    <t>The Night We Met</t>
  </si>
  <si>
    <t>Coolio, L.V.</t>
  </si>
  <si>
    <t>We Found Love</t>
  </si>
  <si>
    <t>Creedence Clearwater Revival</t>
  </si>
  <si>
    <t>When I Was Your Man</t>
  </si>
  <si>
    <t>Cris Mj</t>
  </si>
  <si>
    <t>Let Me Down Slowly</t>
  </si>
  <si>
    <t>d4vd</t>
  </si>
  <si>
    <t>Am I Dreaming (Metro Boomin &amp; A$AP Rocky, Roisee)</t>
  </si>
  <si>
    <t>Do I Wanna Know?</t>
  </si>
  <si>
    <t>Daddy Yankee</t>
  </si>
  <si>
    <t>Demons</t>
  </si>
  <si>
    <t>ýýýýýýýýýýýý</t>
  </si>
  <si>
    <t>Daddy Yankee, Bad Bunny</t>
  </si>
  <si>
    <t>Reminder</t>
  </si>
  <si>
    <t>Shake It Off</t>
  </si>
  <si>
    <t>Danny Ocean</t>
  </si>
  <si>
    <t>Why'd You Only Call Me When You're High?</t>
  </si>
  <si>
    <t>Darlene Love</t>
  </si>
  <si>
    <t>SNAP</t>
  </si>
  <si>
    <t>Dave</t>
  </si>
  <si>
    <t>Shape of You</t>
  </si>
  <si>
    <t>Dave, Central Cee</t>
  </si>
  <si>
    <t>Night Changes</t>
  </si>
  <si>
    <t>David Guetta, Anne-Marie, Coi Leray</t>
  </si>
  <si>
    <t>Fin de Semana</t>
  </si>
  <si>
    <t>David Guetta, Ella Henderson, Becky Hill</t>
  </si>
  <si>
    <t>Creep</t>
  </si>
  <si>
    <t>David Guetta, Shakira, Black Eyed Peas</t>
  </si>
  <si>
    <t>Car's Outside</t>
  </si>
  <si>
    <t>David Kushner</t>
  </si>
  <si>
    <t>Apocalypse</t>
  </si>
  <si>
    <t>Cheques</t>
  </si>
  <si>
    <t>De La Ghetto, Duki, Quevedo</t>
  </si>
  <si>
    <t>Pink + White</t>
  </si>
  <si>
    <t>De La Ghetto, Feid, Polima WestCoast, Paloma Mami, Pailita</t>
  </si>
  <si>
    <t>Circles</t>
  </si>
  <si>
    <t>Dean Lewis</t>
  </si>
  <si>
    <t>Just The Way You Are</t>
  </si>
  <si>
    <t>Dean Martin</t>
  </si>
  <si>
    <t>Take Me To Church</t>
  </si>
  <si>
    <t>Demi Lovato</t>
  </si>
  <si>
    <t>Bebe Dame</t>
  </si>
  <si>
    <t>dennis, MC Kevin o Chris</t>
  </si>
  <si>
    <t>You Belong With Me (Taylorï¿½ï¿½ï¿½s Ve</t>
  </si>
  <si>
    <t>DJ Escobar, MC MENOR SG, MC MENOR HR</t>
  </si>
  <si>
    <t>Titi Me Preguntï¿</t>
  </si>
  <si>
    <t>Dj LK da Escï¿½ï¿½cia, Tchakabum, mc jhenny, M</t>
  </si>
  <si>
    <t>Better Than Revenge (Taylor's Version)</t>
  </si>
  <si>
    <t>Doechii</t>
  </si>
  <si>
    <t>Shut up My Moms Calling</t>
  </si>
  <si>
    <t>Doja Cat</t>
  </si>
  <si>
    <t>Have You Ever Seen The Rain?</t>
  </si>
  <si>
    <t>Es un Secreto</t>
  </si>
  <si>
    <t>POLARIS - Remix</t>
  </si>
  <si>
    <t>Ditto</t>
  </si>
  <si>
    <t>Take On Me</t>
  </si>
  <si>
    <t>Annihilate (Spider-Man: Across the Spider-Verse) (Metro Boomin &amp; Swae Lee, Lil Wayne, Offset)</t>
  </si>
  <si>
    <t>Doja Cat, The Weeknd</t>
  </si>
  <si>
    <t>Angel Pt 1 (feat. Jimin of BTS, JVKE &amp; Muni Long)</t>
  </si>
  <si>
    <t>Don Omar, Lucenzo</t>
  </si>
  <si>
    <t>Acrï¿½ï¿½s</t>
  </si>
  <si>
    <t>Don Toliver, Future, Justin Bieber</t>
  </si>
  <si>
    <t>AMG</t>
  </si>
  <si>
    <t>Dove Cameron</t>
  </si>
  <si>
    <t>Phir Aur Kya Chahiye (From "Zara Hatke Zara Bachke")</t>
  </si>
  <si>
    <t>Dr. Dre, 2Pac, Roger</t>
  </si>
  <si>
    <t>S-Class</t>
  </si>
  <si>
    <t>Dr. Dre, Snoop Dogg</t>
  </si>
  <si>
    <t>Hits Different</t>
  </si>
  <si>
    <t>Drake</t>
  </si>
  <si>
    <t>Self Love (Spider-Man: Across the Spider-Verse) (Metro Boomin &amp; Coi Leray)</t>
  </si>
  <si>
    <t>Area Codes</t>
  </si>
  <si>
    <t>Abcdario</t>
  </si>
  <si>
    <t>Obsessed</t>
  </si>
  <si>
    <t>Drake, 21 Savage</t>
  </si>
  <si>
    <t>Piï¿½ï¿½man Deï¿</t>
  </si>
  <si>
    <t>FLOWER</t>
  </si>
  <si>
    <t>All The Way Live (Spider-Man: Across the Spider-Verse) (Metro Boomin &amp; Future, Lil Uzi Vert)</t>
  </si>
  <si>
    <t>Eyes Closed</t>
  </si>
  <si>
    <t>Escapism.</t>
  </si>
  <si>
    <t>La Jumpa</t>
  </si>
  <si>
    <t>Karma (feat. Ice Spice)</t>
  </si>
  <si>
    <t>Superhero (Heroes &amp; Villains) [with Future &amp; Chris Brown]</t>
  </si>
  <si>
    <t>Drake, DJ Khaled, Lil Baby</t>
  </si>
  <si>
    <t>Las Morras</t>
  </si>
  <si>
    <t>Drake, Future, Tems</t>
  </si>
  <si>
    <t>CHORRITO PA LAS ANIMAS</t>
  </si>
  <si>
    <t>Drake, Future, Young Thug</t>
  </si>
  <si>
    <t>Ch y la Pizza</t>
  </si>
  <si>
    <t>Drake, Project Pat, 21 Savage</t>
  </si>
  <si>
    <t>Snow On The Beach (feat. More Lana Del Rey)</t>
  </si>
  <si>
    <t>Drake, Travis Scott</t>
  </si>
  <si>
    <t>Players</t>
  </si>
  <si>
    <t>Drake, Travis Scott, 21 Savage</t>
  </si>
  <si>
    <t>Bite Me</t>
  </si>
  <si>
    <t>Drake, WizKid, Kyla</t>
  </si>
  <si>
    <t>Stand By Me (feat. Morgan Wallen)</t>
  </si>
  <si>
    <t>Dua Lipa</t>
  </si>
  <si>
    <t>Normal</t>
  </si>
  <si>
    <t>Hummingbird (Metro Boomin &amp; James Blake)</t>
  </si>
  <si>
    <t>Seu Brilho Sumiu - Ao Vivo</t>
  </si>
  <si>
    <t>Dua Lipa, DaBaby</t>
  </si>
  <si>
    <t>Bad Habit</t>
  </si>
  <si>
    <t>Dua Lipa, Elton John, Pnau</t>
  </si>
  <si>
    <t>CUFF IT</t>
  </si>
  <si>
    <t>Dua Lipa, Megan Thee Stallion</t>
  </si>
  <si>
    <t>Lilith (feat. SUGA of BTS) (Diablo IV Anthem)</t>
  </si>
  <si>
    <t>Duki</t>
  </si>
  <si>
    <t>Niï¿½ï¿½a Bo</t>
  </si>
  <si>
    <t>Duki, NICKI NICOLE, Cris Mj, Standly, Stars Music Chile</t>
  </si>
  <si>
    <t>Search &amp; Rescue</t>
  </si>
  <si>
    <t>Duncan Laurence</t>
  </si>
  <si>
    <t>AMERICA HAS A PROBLEM (feat. Kendrick Lamar)</t>
  </si>
  <si>
    <t>Ed Sheeran</t>
  </si>
  <si>
    <t>Lavender Haze</t>
  </si>
  <si>
    <t>Link Up (Metro Boomin &amp; Don Toliver, Wizkid feat. BEAM &amp; Toian) - Spider-Verse Remix (Spider-Man: Across the Spider-Verse )</t>
  </si>
  <si>
    <t>Efecto</t>
  </si>
  <si>
    <t>Erro Gostoso - Ao Vivo</t>
  </si>
  <si>
    <t>Cupido</t>
  </si>
  <si>
    <t>Just Wanna Rock</t>
  </si>
  <si>
    <t>Unstoppable</t>
  </si>
  <si>
    <t>Until I Found You</t>
  </si>
  <si>
    <t>Rich Flex</t>
  </si>
  <si>
    <t>Ed Sheeran, Elton John</t>
  </si>
  <si>
    <t>Easy On Me</t>
  </si>
  <si>
    <t>Ed Sheeran, Fireboy DML</t>
  </si>
  <si>
    <t>Cartï¿½ï¿½o B</t>
  </si>
  <si>
    <t>Ed Sheeran, J Balvin</t>
  </si>
  <si>
    <t>Danger (Spider) (Offset &amp; JID)</t>
  </si>
  <si>
    <t>Ed Sheeran, Taylor Swift</t>
  </si>
  <si>
    <t>Oi Balde - Ao Vivo</t>
  </si>
  <si>
    <t>Eden Muï¿½ï</t>
  </si>
  <si>
    <t>The Real Slim Shady</t>
  </si>
  <si>
    <t>Edison Lighthouse</t>
  </si>
  <si>
    <t>MERCHO</t>
  </si>
  <si>
    <t>El Chachito, Junior H</t>
  </si>
  <si>
    <t>The Color Violet</t>
  </si>
  <si>
    <t>Elley Duhï¿</t>
  </si>
  <si>
    <t>Glimpse of Us</t>
  </si>
  <si>
    <t>Elton John, Britney Spears</t>
  </si>
  <si>
    <t>Mejor Que Yo</t>
  </si>
  <si>
    <t>Em Beihold</t>
  </si>
  <si>
    <t>Curtains</t>
  </si>
  <si>
    <t>Em Beihold, Stephen Sanchez</t>
  </si>
  <si>
    <t>UNFORGIVEN (feat. Nile Rodgers)</t>
  </si>
  <si>
    <t>Eminem</t>
  </si>
  <si>
    <t>Haegeum</t>
  </si>
  <si>
    <t xml:space="preserve">Conexï¿½ï¿½es de Mï¿½ï¿½fia (feat. Rich </t>
  </si>
  <si>
    <t>MIENTRAS ME CURO DEL CORA</t>
  </si>
  <si>
    <t>Never Felt So Alone</t>
  </si>
  <si>
    <t>Eminem, Dido</t>
  </si>
  <si>
    <t>X SI VOLVEMOS</t>
  </si>
  <si>
    <t>Eminem, Dina Rae</t>
  </si>
  <si>
    <t>ceilings</t>
  </si>
  <si>
    <t>Eminem, Dr. Dre</t>
  </si>
  <si>
    <t>Cupid</t>
  </si>
  <si>
    <t>I AM</t>
  </si>
  <si>
    <t>Eminem, Nate Dogg</t>
  </si>
  <si>
    <t>Cupid ï¿½ï¿½ï¿½ Twin Ver. (FIFTY FIFTY) ï¿½ï¿½ï¿½ Spe</t>
  </si>
  <si>
    <t>Emmy Meli</t>
  </si>
  <si>
    <t>Shorty Party</t>
  </si>
  <si>
    <t>ENHYPEN</t>
  </si>
  <si>
    <t>Super</t>
  </si>
  <si>
    <t>Slut Me Out</t>
  </si>
  <si>
    <t>Double Fantasy (with Future)</t>
  </si>
  <si>
    <t>Eslabon Armado, Peso Pluma</t>
  </si>
  <si>
    <t>All Of The Girls You Loved Before</t>
  </si>
  <si>
    <t>Farruko</t>
  </si>
  <si>
    <t>PROVENZA</t>
  </si>
  <si>
    <t>Feid</t>
  </si>
  <si>
    <t>Princess Diana (with Nicki Minaj)</t>
  </si>
  <si>
    <t>Di Que Si</t>
  </si>
  <si>
    <t>Shivers</t>
  </si>
  <si>
    <t>Igualito a Mi Apï¿</t>
  </si>
  <si>
    <t>Shoong! (feat. LISA of BLACKPINK)</t>
  </si>
  <si>
    <t>Komang</t>
  </si>
  <si>
    <t>DESPECHï¿</t>
  </si>
  <si>
    <t>Made You Look</t>
  </si>
  <si>
    <t>Feid, Alejo, Robi</t>
  </si>
  <si>
    <t>Watch This - ARIZONATEARS Pluggnb Remix</t>
  </si>
  <si>
    <t>Feid, Mora</t>
  </si>
  <si>
    <t>No Se Va</t>
  </si>
  <si>
    <t>Feid, Mora, Saiko, Quevedo</t>
  </si>
  <si>
    <t>Punto G</t>
  </si>
  <si>
    <t>Feid, Myke Towers, Sky Rompiendo</t>
  </si>
  <si>
    <t>Lovers Rock</t>
  </si>
  <si>
    <t>Feid, Paulo Londra</t>
  </si>
  <si>
    <t>METAMORPHOSIS</t>
  </si>
  <si>
    <t>Feid, Sech, Jhayco</t>
  </si>
  <si>
    <t>Mami Chula</t>
  </si>
  <si>
    <t>Feid, Young Miko</t>
  </si>
  <si>
    <t>En Paris</t>
  </si>
  <si>
    <t>Fifty Fifty</t>
  </si>
  <si>
    <t>Set Me Free Pt.2</t>
  </si>
  <si>
    <t>I Was Never There</t>
  </si>
  <si>
    <t>Fran C, Polima WestCoast, Nickoog Clk, Pablito Pesadilla</t>
  </si>
  <si>
    <t>Don't ever say love me (feat. RM of BTS)</t>
  </si>
  <si>
    <t>Frank Ocean</t>
  </si>
  <si>
    <t>Shut Down</t>
  </si>
  <si>
    <t>Gato de Noche</t>
  </si>
  <si>
    <t>Frank Sinatra</t>
  </si>
  <si>
    <t>Call Out My Name</t>
  </si>
  <si>
    <t>Frank Sinatra, B. Swanson Quartet</t>
  </si>
  <si>
    <t>Like Crazy (English Version)</t>
  </si>
  <si>
    <t>Freddie Dredd</t>
  </si>
  <si>
    <t>Rosa Pastel</t>
  </si>
  <si>
    <t>Fuerza Regida</t>
  </si>
  <si>
    <t>Sunroof</t>
  </si>
  <si>
    <t>Lose Yourself - Soundtrack Version</t>
  </si>
  <si>
    <t>Fuerza Regida, Chino Pacas</t>
  </si>
  <si>
    <t>Superman</t>
  </si>
  <si>
    <t>Fuerza Regida, Grupo Frontera</t>
  </si>
  <si>
    <t>Mas Rica Que Ayer</t>
  </si>
  <si>
    <t>Fuerza Regida, Natanael Cano</t>
  </si>
  <si>
    <t>People Pt.2 (feat. IU)</t>
  </si>
  <si>
    <t>Fuerza Regida, Peso Pluma</t>
  </si>
  <si>
    <t>REMIX EXCLUSIVO</t>
  </si>
  <si>
    <t>Fujii Kaze</t>
  </si>
  <si>
    <t>Arcï¿½ï¿½ngel: Bzrp Music Sessions, Vol</t>
  </si>
  <si>
    <t>Future</t>
  </si>
  <si>
    <t>DOGTOOTH</t>
  </si>
  <si>
    <t>Future, Chris Brown, Metro Boomin</t>
  </si>
  <si>
    <t>SORRY NOT SORRY</t>
  </si>
  <si>
    <t>Future, Lil Uzi Vert, Metro Boomin</t>
  </si>
  <si>
    <t>HAPPY</t>
  </si>
  <si>
    <t>Future, Metro Boomin, Don Toliver</t>
  </si>
  <si>
    <t>La Bebe</t>
  </si>
  <si>
    <t>Gabito Ballesteros, Junior H, Peso Pluma</t>
  </si>
  <si>
    <t>I Know - PR1SVX Edit</t>
  </si>
  <si>
    <t>Gayle</t>
  </si>
  <si>
    <t>Late Night Talking</t>
  </si>
  <si>
    <t>Leï¿½</t>
  </si>
  <si>
    <t>girl in red</t>
  </si>
  <si>
    <t>Save Your Tears (with Ariana Grande) (Remix)</t>
  </si>
  <si>
    <t>Giveon</t>
  </si>
  <si>
    <t>Something in the Orange</t>
  </si>
  <si>
    <t>Glass Animals</t>
  </si>
  <si>
    <t>VOID</t>
  </si>
  <si>
    <t>GODZZ__-, Zakaria</t>
  </si>
  <si>
    <t>Dijeron Que No La Iba Lograr</t>
  </si>
  <si>
    <t>Gorillaz, Bad Bunny</t>
  </si>
  <si>
    <t>Midnight Rain</t>
  </si>
  <si>
    <t>Gotye, Kimbra</t>
  </si>
  <si>
    <t>If We Ever Broke Up</t>
  </si>
  <si>
    <t>Grupo Frontera</t>
  </si>
  <si>
    <t>You Proof</t>
  </si>
  <si>
    <t>Grupo Marca Registrada, Grupo Frontera</t>
  </si>
  <si>
    <t>LA INOCENTE</t>
  </si>
  <si>
    <t>Grupo Marca Registrada, Junior H</t>
  </si>
  <si>
    <t>Malas Decisiones</t>
  </si>
  <si>
    <t>Gunna</t>
  </si>
  <si>
    <t>Murder In My Mind</t>
  </si>
  <si>
    <t>Gunna, Lil Baby</t>
  </si>
  <si>
    <t>Gangsta's Paradise</t>
  </si>
  <si>
    <t>Guns N' Roses</t>
  </si>
  <si>
    <t>CAIRO</t>
  </si>
  <si>
    <t>Gustavo Mioto, Mari Fernandez</t>
  </si>
  <si>
    <t>I Love You So</t>
  </si>
  <si>
    <t>Gwen Stefani, Blake Shelton</t>
  </si>
  <si>
    <t>Dark Red</t>
  </si>
  <si>
    <t>HA SUNG WOON, Jimin</t>
  </si>
  <si>
    <t>Say You Won't Let Go</t>
  </si>
  <si>
    <t>Halsey</t>
  </si>
  <si>
    <t>The Hills</t>
  </si>
  <si>
    <t>Halsey, BTS</t>
  </si>
  <si>
    <t>Heart To Heart</t>
  </si>
  <si>
    <t>Halsey, Suga</t>
  </si>
  <si>
    <t>Peaches (from The Super Mario Bros. Movie)</t>
  </si>
  <si>
    <t>Harry Styles</t>
  </si>
  <si>
    <t>Marisola - Remix</t>
  </si>
  <si>
    <t>LOKERA</t>
  </si>
  <si>
    <t>Low</t>
  </si>
  <si>
    <t>Numb</t>
  </si>
  <si>
    <t>Tormenta (feat. Bad Bunny)</t>
  </si>
  <si>
    <t>on the street (with J. Cole)</t>
  </si>
  <si>
    <t>One Thing At A Time</t>
  </si>
  <si>
    <t>Miss You</t>
  </si>
  <si>
    <t>Ainï¿½ï¿½ï¿½t Tha</t>
  </si>
  <si>
    <t>Thinkinï¿½ï¿½ï¿½ B</t>
  </si>
  <si>
    <t>Private Landing (feat. Justin Bieber &amp; Future)</t>
  </si>
  <si>
    <t>Everything I Love</t>
  </si>
  <si>
    <t>Heaven</t>
  </si>
  <si>
    <t>LET GO</t>
  </si>
  <si>
    <t>Sial</t>
  </si>
  <si>
    <t>I Wrote The Book</t>
  </si>
  <si>
    <t>Apna Bana Le (From "Bhediya")</t>
  </si>
  <si>
    <t>Hotel Ugly</t>
  </si>
  <si>
    <t>SPIT IN MY FACE!</t>
  </si>
  <si>
    <t>PLAYA DEL INGLï¿½</t>
  </si>
  <si>
    <t>Hozier</t>
  </si>
  <si>
    <t>Man Made A Bar (feat. Eric Church)</t>
  </si>
  <si>
    <t>Imagine Dragons</t>
  </si>
  <si>
    <t>Red Ruby Da Sleeze</t>
  </si>
  <si>
    <t>Kahani Suno 2.0</t>
  </si>
  <si>
    <t>Nobody Gets Me</t>
  </si>
  <si>
    <t>Imagine Dragons, League of Legends, Arcane</t>
  </si>
  <si>
    <t>PERO Tï¿</t>
  </si>
  <si>
    <t>Imagine Dragons, League of Legends, JID, Arcane</t>
  </si>
  <si>
    <t>Hype Boy</t>
  </si>
  <si>
    <t>Intense, AP Dhillon, Gurinder Gill</t>
  </si>
  <si>
    <t>Bloody Mary</t>
  </si>
  <si>
    <t>Interplanetary Criminal, Eliza Rose</t>
  </si>
  <si>
    <t>Monotonï¿½</t>
  </si>
  <si>
    <t>INTERWORLD</t>
  </si>
  <si>
    <t>ýýý98 Braves</t>
  </si>
  <si>
    <t>Israel &amp; Rodolffo, Ana Castela</t>
  </si>
  <si>
    <t>WANDA</t>
  </si>
  <si>
    <t>Israel &amp; Rodolffo, Mari Fernandez</t>
  </si>
  <si>
    <t>Thought You Should Know</t>
  </si>
  <si>
    <t>IU, Agust D</t>
  </si>
  <si>
    <t>In The End</t>
  </si>
  <si>
    <t>IVE</t>
  </si>
  <si>
    <t>Zona De Perigo</t>
  </si>
  <si>
    <t>Lovezinho</t>
  </si>
  <si>
    <t>I Like You (A Happier Song) (with Doja Cat)</t>
  </si>
  <si>
    <t>Neverita</t>
  </si>
  <si>
    <t>J Balvin, Bad Bunny</t>
  </si>
  <si>
    <t>Vista Al Mar</t>
  </si>
  <si>
    <t>J Balvin, Maria Becerra</t>
  </si>
  <si>
    <t xml:space="preserve">Sem Alianï¿½ï¿½a no </t>
  </si>
  <si>
    <t>J Balvin, Nio Garcia, Bad Bunny</t>
  </si>
  <si>
    <t>Enemy (with JID) - from the series Arcane League of Legends</t>
  </si>
  <si>
    <t>J. Cole</t>
  </si>
  <si>
    <t>Revenge</t>
  </si>
  <si>
    <t>J. Cole, Lil Durk</t>
  </si>
  <si>
    <t>Bombonzinho - Ao Vivo</t>
  </si>
  <si>
    <t>Jack Black</t>
  </si>
  <si>
    <t>LA CANCIï¿½</t>
  </si>
  <si>
    <t>Jack Harlow</t>
  </si>
  <si>
    <t>Quï¿½ï¿½ Ago</t>
  </si>
  <si>
    <t>Love Again</t>
  </si>
  <si>
    <t>After Hours</t>
  </si>
  <si>
    <t>Jack Harlow, Lil Nas X</t>
  </si>
  <si>
    <t>About Damn Time</t>
  </si>
  <si>
    <t>Jain</t>
  </si>
  <si>
    <t>Born With A Beer In My Hand</t>
  </si>
  <si>
    <t>James Arthur</t>
  </si>
  <si>
    <t>ýýýýýýýýýýýýýýýýýýýýý</t>
  </si>
  <si>
    <t>Besos Moja2</t>
  </si>
  <si>
    <t>James Blake, Metro Boomin</t>
  </si>
  <si>
    <t>Maan Meri Jaan</t>
  </si>
  <si>
    <t>James Hype, Miggy Dela Rosa</t>
  </si>
  <si>
    <t>Moscow Mule</t>
  </si>
  <si>
    <t>Jasiel Nuï¿½ï¿½ez, Peso P</t>
  </si>
  <si>
    <t>My Universe</t>
  </si>
  <si>
    <t>Devil Donï¿½ï¿½ï¿½</t>
  </si>
  <si>
    <t>Jason Derulo</t>
  </si>
  <si>
    <t>LLYLM</t>
  </si>
  <si>
    <t>Jaymes Young</t>
  </si>
  <si>
    <t>I'm Not Here To Make Friends</t>
  </si>
  <si>
    <t>Jessi</t>
  </si>
  <si>
    <t>TRUSTFALL</t>
  </si>
  <si>
    <t>Jessica Darrow</t>
  </si>
  <si>
    <t>ANTIFRAGILE</t>
  </si>
  <si>
    <t>j-hope</t>
  </si>
  <si>
    <t>Boy's a liar</t>
  </si>
  <si>
    <t>j-hope, J. Cole</t>
  </si>
  <si>
    <t>VIBE (feat. Jimin of BTS)</t>
  </si>
  <si>
    <t>Jimin</t>
  </si>
  <si>
    <t>Shirt</t>
  </si>
  <si>
    <t>Lift Me Up - From Black Panther: Wakanda Forever - Music From and Inspired By</t>
  </si>
  <si>
    <t>STAR WALKIN' (League of Legends Worlds Anthem)</t>
  </si>
  <si>
    <t>Jin</t>
  </si>
  <si>
    <t>Sex, Drugs, Etc.</t>
  </si>
  <si>
    <t>JISOO</t>
  </si>
  <si>
    <t>Boy With Luv (feat. Halsey)</t>
  </si>
  <si>
    <t>Jnr Choi</t>
  </si>
  <si>
    <t>Hey, Mickey!</t>
  </si>
  <si>
    <t>John Legend</t>
  </si>
  <si>
    <t>Calm Down</t>
  </si>
  <si>
    <t>John Legend, Metro Boomin</t>
  </si>
  <si>
    <t>Jhoome Jo Pathaan</t>
  </si>
  <si>
    <t>John Lennon, The Harlem Community Choir, The Plastic Ono Band, Yoko Ono</t>
  </si>
  <si>
    <t>Escapism. - Sped Up</t>
  </si>
  <si>
    <t>Joji</t>
  </si>
  <si>
    <t>Space Song</t>
  </si>
  <si>
    <t>Dreamers [Music from the FIFA World Cup Qatar 2022 Official Soundtrack]</t>
  </si>
  <si>
    <t>Te Felicito</t>
  </si>
  <si>
    <t>Jordan Fisher, Josh Levi, Finneas O'Connell, 4*TOWN (From Disney and Pixarï¿½ï¿½ï¿½s Turning Red), Topher Ngo, Grayson Vill</t>
  </si>
  <si>
    <t>Muï¿½ï¿½</t>
  </si>
  <si>
    <t>Josï¿½ï¿½ Felic</t>
  </si>
  <si>
    <t>TV</t>
  </si>
  <si>
    <t>Juan Cruz Toledo, Huilen Toledo</t>
  </si>
  <si>
    <t>I'm Not The Only One</t>
  </si>
  <si>
    <t>Juice WRLD</t>
  </si>
  <si>
    <t>Heather</t>
  </si>
  <si>
    <t>Besharam Rang (From "Pathaan")</t>
  </si>
  <si>
    <t>Julieta Venegas, Bad Bunny, Tainy</t>
  </si>
  <si>
    <t>One Kiss (with Dua Lipa)</t>
  </si>
  <si>
    <t>Jung Kook</t>
  </si>
  <si>
    <t>Sugar Rush Ride</t>
  </si>
  <si>
    <t>Pink Venom</t>
  </si>
  <si>
    <t>Junior H, Eden Muï¿½ï</t>
  </si>
  <si>
    <t>WAIT FOR U (feat. Drake &amp; Tems)</t>
  </si>
  <si>
    <t>Junior H, Peso Pluma</t>
  </si>
  <si>
    <t>Don't Start Now</t>
  </si>
  <si>
    <t>After Dark</t>
  </si>
  <si>
    <t>Justin Bieber</t>
  </si>
  <si>
    <t>Eu Gosto Assim - Ao Vivo</t>
  </si>
  <si>
    <t>INDUSTRY BABY (feat. Jack Harlow)</t>
  </si>
  <si>
    <t>MIDDLE OF THE NIGHT</t>
  </si>
  <si>
    <t>Justin Bieber, Daniel Caesar, Giveon</t>
  </si>
  <si>
    <t>Atlantis</t>
  </si>
  <si>
    <t>Justin Bieber, Don Toliver</t>
  </si>
  <si>
    <t>PUNTO 40</t>
  </si>
  <si>
    <t>Justin Bieber, The Kid Laroi</t>
  </si>
  <si>
    <t>Evoque Prata</t>
  </si>
  <si>
    <t>Justin Quiles, Lenny Tavï¿½ï¿½rez, BL</t>
  </si>
  <si>
    <t>How Do I Say Goodbye</t>
  </si>
  <si>
    <t>JVKE</t>
  </si>
  <si>
    <t>Blind</t>
  </si>
  <si>
    <t>Kaifi Khalil</t>
  </si>
  <si>
    <t>Doja</t>
  </si>
  <si>
    <t>Kali Uchis</t>
  </si>
  <si>
    <t>Gatita</t>
  </si>
  <si>
    <t>Kali Uchis, Amaarae, Moliy</t>
  </si>
  <si>
    <t>Rumble</t>
  </si>
  <si>
    <t>Kaliii, Kaliii</t>
  </si>
  <si>
    <t>Niagara Falls (Foot or 2) [with Travis Scott &amp; 21 Savage]</t>
  </si>
  <si>
    <t>KALUSH</t>
  </si>
  <si>
    <t>Yonaguni</t>
  </si>
  <si>
    <t>Kanii, PR1ISVX</t>
  </si>
  <si>
    <t>Super Freaky Girl</t>
  </si>
  <si>
    <t>Kanye West</t>
  </si>
  <si>
    <t>Running Up That Hill (A Deal With God)</t>
  </si>
  <si>
    <t>Dream On</t>
  </si>
  <si>
    <t>Limbo</t>
  </si>
  <si>
    <t>Kanye West, Alicia Keys, Fivio Foreign</t>
  </si>
  <si>
    <t>Where Are You Now</t>
  </si>
  <si>
    <t>Kanye West, Lil Durk, Cardi B</t>
  </si>
  <si>
    <t>WORTH NOTHING</t>
  </si>
  <si>
    <t>Kanye West, XXXTENTACION</t>
  </si>
  <si>
    <t>Bad Habits</t>
  </si>
  <si>
    <t>Karol G</t>
  </si>
  <si>
    <t>KICK BACK</t>
  </si>
  <si>
    <t>Evergreen (You Didnï¿½ï¿½ï¿½t Deserve Me A</t>
  </si>
  <si>
    <t>Good Days</t>
  </si>
  <si>
    <t>Levitating (feat. DaBaby)</t>
  </si>
  <si>
    <t>Karol G, Becky G</t>
  </si>
  <si>
    <t>Woman</t>
  </si>
  <si>
    <t>Karol G, Ovy On The Drums</t>
  </si>
  <si>
    <t>Shut up My Moms Calling - (Sped Up)</t>
  </si>
  <si>
    <t>Karol G, Quevedo</t>
  </si>
  <si>
    <t>Ferrari</t>
  </si>
  <si>
    <t>Karol G, Romeo Santos</t>
  </si>
  <si>
    <t>You're On Your Own, Kid</t>
  </si>
  <si>
    <t>Karol G, Shakira</t>
  </si>
  <si>
    <t>Kesariya (From "Brahmastra")</t>
  </si>
  <si>
    <t>Kate Bush</t>
  </si>
  <si>
    <t>Agudo Mï¿½ï¿½gi</t>
  </si>
  <si>
    <t>Katy Perry, Alesso</t>
  </si>
  <si>
    <t>Payphone</t>
  </si>
  <si>
    <t>Keane</t>
  </si>
  <si>
    <t>All I Want for Christmas Is You</t>
  </si>
  <si>
    <t>Keisya Levronka</t>
  </si>
  <si>
    <t>Last Christmas</t>
  </si>
  <si>
    <t>Kelly Clarkson</t>
  </si>
  <si>
    <t>Rockin' Around The Christmas Tree</t>
  </si>
  <si>
    <t>Kendrick Lamar</t>
  </si>
  <si>
    <t>Jingle Bell Rock</t>
  </si>
  <si>
    <t>It's Beginning To Look A Lot Like Christmas</t>
  </si>
  <si>
    <t>Santa Tell Me</t>
  </si>
  <si>
    <t>It's the Most Wonderful Time of the Year</t>
  </si>
  <si>
    <t>Let It Snow! Let It Snow! Let It Snow!</t>
  </si>
  <si>
    <t>Snowman</t>
  </si>
  <si>
    <t>Underneath the Tree</t>
  </si>
  <si>
    <t>Feliz Navidad</t>
  </si>
  <si>
    <t>Holly Jolly Christmas</t>
  </si>
  <si>
    <t>Mistletoe</t>
  </si>
  <si>
    <t>Sleigh Ride</t>
  </si>
  <si>
    <t>Seek &amp; Destroy</t>
  </si>
  <si>
    <t>Kendrick Lamar, Baby Keem</t>
  </si>
  <si>
    <t>Love Language</t>
  </si>
  <si>
    <t>Kendrick Lamar, Beth Gibbons</t>
  </si>
  <si>
    <t>Happy Xmas (War Is Over)</t>
  </si>
  <si>
    <t>Kendrick Lamar, Beyoncï¿</t>
  </si>
  <si>
    <t>Used (feat. Don Toliver)</t>
  </si>
  <si>
    <t>Kendrick Lamar, Blxst, Amanda Reifer</t>
  </si>
  <si>
    <t>A Holly Jolly Christmas - Single Version</t>
  </si>
  <si>
    <t>Kendrick Lamar, Ghostface Killah, Summer Walker</t>
  </si>
  <si>
    <t>The Christmas Song (Merry Christmas To You) - Remastered 1999</t>
  </si>
  <si>
    <t>Kendrick Lamar, Jay Rock</t>
  </si>
  <si>
    <t>Wonderful Christmastime - Edited Version / Remastered 2011</t>
  </si>
  <si>
    <t>Kendrick Lamar, Kodak Black</t>
  </si>
  <si>
    <t>Do They Know It's Christmas? - 1984 Version</t>
  </si>
  <si>
    <t>Kendrick Lamar, Sam Dew, Baby Keem</t>
  </si>
  <si>
    <t>Ghost in the Machine (feat. Phoebe Bridgers)</t>
  </si>
  <si>
    <t>Kendrick Lamar, Sampha</t>
  </si>
  <si>
    <t>Special</t>
  </si>
  <si>
    <t>Kendrick Lamar, Tanna Leone</t>
  </si>
  <si>
    <t>Merry Christmas Everyone</t>
  </si>
  <si>
    <t>Kendrick Lamar, Taylour Paige</t>
  </si>
  <si>
    <t>Kenia OS</t>
  </si>
  <si>
    <t>SOS</t>
  </si>
  <si>
    <t>Kenshi Yonezu</t>
  </si>
  <si>
    <t>Open Arms (feat. Travis Scott)</t>
  </si>
  <si>
    <t>Kevin Gates, Juicy J</t>
  </si>
  <si>
    <t>White Christmas</t>
  </si>
  <si>
    <t>Kevin Kaarl</t>
  </si>
  <si>
    <t>Driving Home for Christmas - 2019 Remaster</t>
  </si>
  <si>
    <t>King</t>
  </si>
  <si>
    <t>Christmas (Baby Please Come Home)</t>
  </si>
  <si>
    <t>Kodak Black</t>
  </si>
  <si>
    <t>Gone Girl</t>
  </si>
  <si>
    <t>Kodak Black, NLE Choppa, Muni Long, JVKE, Jimin</t>
  </si>
  <si>
    <t>F2F</t>
  </si>
  <si>
    <t>Kordhell</t>
  </si>
  <si>
    <t>Notice Me</t>
  </si>
  <si>
    <t>L7nnon, DJ Biel do Furduncinho, Bianca</t>
  </si>
  <si>
    <t>Merry Christmas</t>
  </si>
  <si>
    <t>Labrinth</t>
  </si>
  <si>
    <t>It's Beginning to Look a Lot Like Christmas (with Mitchell Ayres &amp; His Orchestra)</t>
  </si>
  <si>
    <t>My Only Wish (This Year)</t>
  </si>
  <si>
    <t>Antidepresan</t>
  </si>
  <si>
    <t>Wild Flower (with youjeen)</t>
  </si>
  <si>
    <t>I Hate U</t>
  </si>
  <si>
    <t>Raindrops (Insane) [with Travis Scott]</t>
  </si>
  <si>
    <t>Labrinth, Zendaya</t>
  </si>
  <si>
    <t>Deck The Hall - Remastered 1999</t>
  </si>
  <si>
    <t>Lady Gaga</t>
  </si>
  <si>
    <t>Smoking on my Ex Pack</t>
  </si>
  <si>
    <t>Conceited</t>
  </si>
  <si>
    <t>Lady Gaga, Bradley Cooper</t>
  </si>
  <si>
    <t>Snow On The Beach (feat. Lana Del Rey)</t>
  </si>
  <si>
    <t>Lana Del Rey</t>
  </si>
  <si>
    <t>Maroon</t>
  </si>
  <si>
    <t>Tubarï¿½ï¿½o Te</t>
  </si>
  <si>
    <t>Bejeweled</t>
  </si>
  <si>
    <t>Lana Del Rey, Taylor Swift</t>
  </si>
  <si>
    <t>Tarot</t>
  </si>
  <si>
    <t>Lasso</t>
  </si>
  <si>
    <t>You Make It Feel Like Christmas (feat. Blake Shelton)</t>
  </si>
  <si>
    <t>Latto, Jung Kook</t>
  </si>
  <si>
    <t>Desesperados</t>
  </si>
  <si>
    <t>Lauren Spencer Smith</t>
  </si>
  <si>
    <t>Too Late</t>
  </si>
  <si>
    <t>Lauren Spencer Smith, Lauren Spencer Smith, Lauren Spencer Smith</t>
  </si>
  <si>
    <t>Party</t>
  </si>
  <si>
    <t>LE SSERAFIM</t>
  </si>
  <si>
    <t>Run Rudolph Run - Single Version</t>
  </si>
  <si>
    <t>Jingle Bells - Remastered 1999</t>
  </si>
  <si>
    <t>Leah Kate</t>
  </si>
  <si>
    <t>Far</t>
  </si>
  <si>
    <t>Leo Santana</t>
  </si>
  <si>
    <t>On Time (with John Legend)</t>
  </si>
  <si>
    <t>Lewis Capaldi</t>
  </si>
  <si>
    <t>GATï¿½ï¿½</t>
  </si>
  <si>
    <t>ýýýabcdefu</t>
  </si>
  <si>
    <t>Sacrifice</t>
  </si>
  <si>
    <t>LF System</t>
  </si>
  <si>
    <t>Is There Someone Else?</t>
  </si>
  <si>
    <t>Libianca</t>
  </si>
  <si>
    <t>Fingers Crossed</t>
  </si>
  <si>
    <t>Lil Baby</t>
  </si>
  <si>
    <t>Out of Time</t>
  </si>
  <si>
    <t>Do It To It</t>
  </si>
  <si>
    <t>Lil Durk, Morgan Wallen</t>
  </si>
  <si>
    <t>We Don't Talk About Bruno</t>
  </si>
  <si>
    <t>Lil Nas X</t>
  </si>
  <si>
    <t>Pepas</t>
  </si>
  <si>
    <t>How Do I Make You Love Me?</t>
  </si>
  <si>
    <t>Gasoline</t>
  </si>
  <si>
    <t>Lil Tjay</t>
  </si>
  <si>
    <t>Infinity</t>
  </si>
  <si>
    <t>Lil Uzi Vert</t>
  </si>
  <si>
    <t>Less Than Zero</t>
  </si>
  <si>
    <t>Lil Yachty</t>
  </si>
  <si>
    <t>Take My Breath</t>
  </si>
  <si>
    <t>Linkin Park</t>
  </si>
  <si>
    <t>good 4 u</t>
  </si>
  <si>
    <t>Here We Goï¿½ï¿½ï¿½ Again (feat. Tyler, the Cr</t>
  </si>
  <si>
    <t>Lisa</t>
  </si>
  <si>
    <t>Best Friends</t>
  </si>
  <si>
    <t>Lit Killah, Maria Becerra, Tiago pzk, NICKI NICOLE</t>
  </si>
  <si>
    <t>Kiss Me More (feat. SZA)</t>
  </si>
  <si>
    <t>Lizzo</t>
  </si>
  <si>
    <t>I Heard You're Married (feat. Lil Wayne)</t>
  </si>
  <si>
    <t>Need To Know</t>
  </si>
  <si>
    <t>MONTERO (Call Me By Your Name)</t>
  </si>
  <si>
    <t>Lizzy McAlpine</t>
  </si>
  <si>
    <t>love nwantiti (ah ah ah)</t>
  </si>
  <si>
    <t>Lord Huron</t>
  </si>
  <si>
    <t>Dawn FM</t>
  </si>
  <si>
    <t>Loreen</t>
  </si>
  <si>
    <t>Surface Pressure</t>
  </si>
  <si>
    <t>Lost Frequencies, Calum Scott</t>
  </si>
  <si>
    <t>Starry Eyes</t>
  </si>
  <si>
    <t>Luar La L</t>
  </si>
  <si>
    <t>THATS WHAT I WANT</t>
  </si>
  <si>
    <t>Luciano</t>
  </si>
  <si>
    <t>One Right Now (with The Weeknd)</t>
  </si>
  <si>
    <t>Luciano, Aitch, Bï¿½</t>
  </si>
  <si>
    <t>Beggin</t>
  </si>
  <si>
    <t>Ludwig Goransson, Foudeqush</t>
  </si>
  <si>
    <t>Mon Amour - Remix</t>
  </si>
  <si>
    <t>Luï¿½ï¿½sa Sonza, MC Frog, Dj Gabriel do Borel, Davi K</t>
  </si>
  <si>
    <t>Lo Siento BB:/ (with Bad Bunny &amp; Julieta Venegas)</t>
  </si>
  <si>
    <t>Luis R Conriquez, La Adictiva</t>
  </si>
  <si>
    <t>MONEY</t>
  </si>
  <si>
    <t>Luke Combs</t>
  </si>
  <si>
    <t>The Motto</t>
  </si>
  <si>
    <t>Luude, Colin Hay</t>
  </si>
  <si>
    <t>Happier Than Ever</t>
  </si>
  <si>
    <t>Mabel Matiz, Mert Demir</t>
  </si>
  <si>
    <t>Moth To A Flame (with The Weeknd)</t>
  </si>
  <si>
    <t>Mac DeMarco</t>
  </si>
  <si>
    <t>traitor</t>
  </si>
  <si>
    <t>Mae Stephens</t>
  </si>
  <si>
    <t>Toxic</t>
  </si>
  <si>
    <t>Mahalini</t>
  </si>
  <si>
    <t>drivers license</t>
  </si>
  <si>
    <t>Mahmood, Blanco</t>
  </si>
  <si>
    <t>Malvadï¿½ï¿</t>
  </si>
  <si>
    <t>Mainstreet, Chefin</t>
  </si>
  <si>
    <t>All Too Well (10 Minute Version) (Taylor's Version) (From The Vault)</t>
  </si>
  <si>
    <t>Maldy, Karol G</t>
  </si>
  <si>
    <t>Donï¿½ï¿½ï¿½t Break My</t>
  </si>
  <si>
    <t>Maluma</t>
  </si>
  <si>
    <t>Oh My God</t>
  </si>
  <si>
    <t>Mambo Kingz, DJ Luian, Anuel Aa</t>
  </si>
  <si>
    <t>Entre Nosotros (Remix) [con Nicki Nicole]</t>
  </si>
  <si>
    <t>A Tale By Quincy</t>
  </si>
  <si>
    <t>Manuel Turizo</t>
  </si>
  <si>
    <t>I AM WOMAN</t>
  </si>
  <si>
    <t>Marï¿½ï¿½lia Mendo</t>
  </si>
  <si>
    <t>Medallo</t>
  </si>
  <si>
    <t>Marï¿½ï¿½lia Mendonï¿½ï¿½a, George Henrique &amp;</t>
  </si>
  <si>
    <t>It'll Be Okay</t>
  </si>
  <si>
    <t>Marï¿½ï¿½lia Mendonï¿½ï¿½a, Hugo &amp; G</t>
  </si>
  <si>
    <t>Softcore</t>
  </si>
  <si>
    <t>Marï¿½ï¿½lia Mendonï¿½ï¿½a, Maiara &amp;</t>
  </si>
  <si>
    <t>Super Gremlin</t>
  </si>
  <si>
    <t>Maria Becerra</t>
  </si>
  <si>
    <t>Volvï¿</t>
  </si>
  <si>
    <t>Mariah Carey</t>
  </si>
  <si>
    <t>Todo De Ti</t>
  </si>
  <si>
    <t>Maroon 5</t>
  </si>
  <si>
    <t>Love Nwantiti - Remix</t>
  </si>
  <si>
    <t>Maroon 5, Wiz Khalifa</t>
  </si>
  <si>
    <t>Smokin Out The Window</t>
  </si>
  <si>
    <t>Marshmello, Jonas Brothers</t>
  </si>
  <si>
    <t>Meet Me At Our Spot</t>
  </si>
  <si>
    <t>Marshmello, Juice WRLD</t>
  </si>
  <si>
    <t>Every Angel is Terrifying</t>
  </si>
  <si>
    <t>Marshmello, Khalid</t>
  </si>
  <si>
    <t>Tacones Rojos</t>
  </si>
  <si>
    <t>Marshmello, Manuel Turizo</t>
  </si>
  <si>
    <t>Peaches (feat. Daniel Caesar &amp; Giveon)</t>
  </si>
  <si>
    <t>Masked Wolf</t>
  </si>
  <si>
    <t>Dakiti</t>
  </si>
  <si>
    <t xml:space="preserve">Matuï¿½ï¿½, Wiu, </t>
  </si>
  <si>
    <t>Tiago PZK: Bzrp Music Sessions, Vol. 48</t>
  </si>
  <si>
    <t>MC Caverinha, KayBlack</t>
  </si>
  <si>
    <t>Lï¿½ï¿½ï¿</t>
  </si>
  <si>
    <t>Mc Livinho, DJ Matt D</t>
  </si>
  <si>
    <t>Nostï¿½ï¿½l</t>
  </si>
  <si>
    <t>Mc Pedrinho, DJ 900</t>
  </si>
  <si>
    <t>Better Days (NEIKED x Mae Muller x Polo G)</t>
  </si>
  <si>
    <t>Mc Pedrinho, Pedro Sampaio</t>
  </si>
  <si>
    <t>Life Goes On</t>
  </si>
  <si>
    <t>MC Ryan SP, Love Funk, Mc Paiva ZS</t>
  </si>
  <si>
    <t>Sad Girlz Luv Money Remix (feat. Kali Uchis)</t>
  </si>
  <si>
    <t>Mc Vitin Da Igrejinha, MC Tairon, DJ Win</t>
  </si>
  <si>
    <t>Butter</t>
  </si>
  <si>
    <t>MC Xenon, Os Gemeos da Putaria</t>
  </si>
  <si>
    <t>pushin P (feat. Young Thug)</t>
  </si>
  <si>
    <t>Meghan Trainor</t>
  </si>
  <si>
    <t>You Right</t>
  </si>
  <si>
    <t>Melanie Martinez</t>
  </si>
  <si>
    <t>deja vu</t>
  </si>
  <si>
    <t>Melody, Ana Castela, Dj Chris No Beat</t>
  </si>
  <si>
    <t>Dynamite</t>
  </si>
  <si>
    <t>Metallica</t>
  </si>
  <si>
    <t>TO THE MOON</t>
  </si>
  <si>
    <t>Metro Boomin, Coi Leray</t>
  </si>
  <si>
    <t>Lost in the Fire</t>
  </si>
  <si>
    <t>Mï¿½ï¿½ne</t>
  </si>
  <si>
    <t>Salimo de Noche</t>
  </si>
  <si>
    <t>Volando - Remix</t>
  </si>
  <si>
    <t>Leave The Door Open</t>
  </si>
  <si>
    <t>Knife Talk (with 21 Savage ft. Project Pat)</t>
  </si>
  <si>
    <t>Michael Bublï¿</t>
  </si>
  <si>
    <t>Don't Be Shy</t>
  </si>
  <si>
    <t>Love Grows (Where My Rosemary Goes)</t>
  </si>
  <si>
    <t>BPM110KeyAModeMajorDanceability53Valence75Energy69Acousticness7Instrumentalness0Liveness17Speechiness3</t>
  </si>
  <si>
    <t>Migrantes, LiL CaKe, Nico Valdi</t>
  </si>
  <si>
    <t>LA FAMA (with The Weeknd)</t>
  </si>
  <si>
    <t>Miguel</t>
  </si>
  <si>
    <t>The Family Madrigal</t>
  </si>
  <si>
    <t>Miley Cyrus</t>
  </si>
  <si>
    <t>Phantom Regret by Jim</t>
  </si>
  <si>
    <t>Dos Oruguitas</t>
  </si>
  <si>
    <t>MNEK, Jax Jones</t>
  </si>
  <si>
    <t>Freaks</t>
  </si>
  <si>
    <t>Morgan Wallen</t>
  </si>
  <si>
    <t>Acapulco</t>
  </si>
  <si>
    <t>Daddy Issues</t>
  </si>
  <si>
    <t>thought i was playing</t>
  </si>
  <si>
    <t>ELEVEN</t>
  </si>
  <si>
    <t>Mood (feat. Iann Dior)</t>
  </si>
  <si>
    <t>What Else Can I Do?</t>
  </si>
  <si>
    <t>DANCE CRIP</t>
  </si>
  <si>
    <t>Miserable Man</t>
  </si>
  <si>
    <t>happier</t>
  </si>
  <si>
    <t>Praise God</t>
  </si>
  <si>
    <t>Get Into It (Yuh)</t>
  </si>
  <si>
    <t>Morgan Wallen, Eric Church</t>
  </si>
  <si>
    <t>Before You Go</t>
  </si>
  <si>
    <t>Mr.Kitty</t>
  </si>
  <si>
    <t>Sky</t>
  </si>
  <si>
    <t>Muni Long</t>
  </si>
  <si>
    <t>Rolling in the Deep</t>
  </si>
  <si>
    <t>Musical Youth</t>
  </si>
  <si>
    <t>Sobrio</t>
  </si>
  <si>
    <t>Myke Towers</t>
  </si>
  <si>
    <t>Peru</t>
  </si>
  <si>
    <t>Myke Towers, Quevedo</t>
  </si>
  <si>
    <t>favorite crime</t>
  </si>
  <si>
    <t>Nat King Cole</t>
  </si>
  <si>
    <t>Thunder</t>
  </si>
  <si>
    <t>The Business</t>
  </si>
  <si>
    <t>Natanael Cano</t>
  </si>
  <si>
    <t>positions</t>
  </si>
  <si>
    <t>Natanael Cano, Gabito Ballesteros, Peso Pluma</t>
  </si>
  <si>
    <t>I WANNA BE YOUR SLAVE</t>
  </si>
  <si>
    <t>Natanael Cano, Peso Pluma</t>
  </si>
  <si>
    <t xml:space="preserve">Vai Lï¿½ï¿½ Em Casa </t>
  </si>
  <si>
    <t>Nayeon</t>
  </si>
  <si>
    <t>The Feels</t>
  </si>
  <si>
    <t>NEIKED, Mae Muller, Polo G</t>
  </si>
  <si>
    <t>HEARTBREAK ANNIVERSARY</t>
  </si>
  <si>
    <t>Nengo Flow, Anuel Aa, Chris Jedi, Chencho Corleone</t>
  </si>
  <si>
    <t>No Lie</t>
  </si>
  <si>
    <t>Nengo Flow, Bad Bunny</t>
  </si>
  <si>
    <t>OUT OUT (feat. Charli XCX &amp; Saweetie)</t>
  </si>
  <si>
    <t>Nessa Barrett</t>
  </si>
  <si>
    <t>Pope Is a Rockstar</t>
  </si>
  <si>
    <t>New West</t>
  </si>
  <si>
    <t>NewJeans</t>
  </si>
  <si>
    <t>Bored</t>
  </si>
  <si>
    <t>Happier Than Ever - Edit</t>
  </si>
  <si>
    <t>Astronaut In The Ocean</t>
  </si>
  <si>
    <t>Ley Seca</t>
  </si>
  <si>
    <t>Every Summertime</t>
  </si>
  <si>
    <t>Talking To The Moon</t>
  </si>
  <si>
    <t>NF</t>
  </si>
  <si>
    <t>you broke me first</t>
  </si>
  <si>
    <t>Niall Horan</t>
  </si>
  <si>
    <t>The Nights</t>
  </si>
  <si>
    <t>Nicki Minaj</t>
  </si>
  <si>
    <t>Way 2 Sexy (with Future &amp; Young Thug)</t>
  </si>
  <si>
    <t>Nicki Minaj, Aqua, Ice Spice</t>
  </si>
  <si>
    <t>Cï¿½ï¿½</t>
  </si>
  <si>
    <t>Nicki Minaj, Ice Spice</t>
  </si>
  <si>
    <t>Enemy - from the series Arcane League of Legends</t>
  </si>
  <si>
    <t>Nicki Minaj, Lil Baby</t>
  </si>
  <si>
    <t>Dance Monkey</t>
  </si>
  <si>
    <t>Lucid Dreams</t>
  </si>
  <si>
    <t>Nicky Jam, Feid</t>
  </si>
  <si>
    <t>Quï¿½ï¿½ Mï¿½ï¿</t>
  </si>
  <si>
    <t>Nicky Youre, Dazy</t>
  </si>
  <si>
    <t>All of Me</t>
  </si>
  <si>
    <t>NIKI</t>
  </si>
  <si>
    <t>Smells Like Teen Spirit - Remastered 2021</t>
  </si>
  <si>
    <t>Nile Rodgers, LE SSERAFIM</t>
  </si>
  <si>
    <t>Arcade</t>
  </si>
  <si>
    <t>Nirvana</t>
  </si>
  <si>
    <t>Fair Trade (with Travis Scott)</t>
  </si>
  <si>
    <t>Bar</t>
  </si>
  <si>
    <t>NLE Choppa</t>
  </si>
  <si>
    <t>The Rumbling (TV Size)</t>
  </si>
  <si>
    <t>NMIXX</t>
  </si>
  <si>
    <t>family ties (with Kendrick Lamar)</t>
  </si>
  <si>
    <t>Offset, JID</t>
  </si>
  <si>
    <t>Mr. Brightside</t>
  </si>
  <si>
    <t>Olga Merediz, Stephanie Beatriz, Encanto - Cast</t>
  </si>
  <si>
    <t>Blessed-Cursed</t>
  </si>
  <si>
    <t>Oliver Tree</t>
  </si>
  <si>
    <t>AM Remix</t>
  </si>
  <si>
    <t>Olivia Rodrigo</t>
  </si>
  <si>
    <t>Streets</t>
  </si>
  <si>
    <t>Shallow</t>
  </si>
  <si>
    <t>Polaroid Love</t>
  </si>
  <si>
    <t>Leave Before You Love Me (with Jonas Brothers)</t>
  </si>
  <si>
    <t>Permission to Dance</t>
  </si>
  <si>
    <t>Friday (feat. Mufasa &amp; Hypeman) - Dopamine Re-Edit</t>
  </si>
  <si>
    <t>RAPSTAR</t>
  </si>
  <si>
    <t>Omar Apollo</t>
  </si>
  <si>
    <t>'Till I Collapse</t>
  </si>
  <si>
    <t>One Direction</t>
  </si>
  <si>
    <t>Memories</t>
  </si>
  <si>
    <t>OneRepublic</t>
  </si>
  <si>
    <t>Se Le Ve</t>
  </si>
  <si>
    <t>25k jacket (feat. Lil Baby)</t>
  </si>
  <si>
    <t>Oscar Maydon, Junior H</t>
  </si>
  <si>
    <t xml:space="preserve">When Iï¿½ï¿½ï¿½m Gone (with Katy </t>
  </si>
  <si>
    <t>Ovy On The Drums, Quevedo</t>
  </si>
  <si>
    <t>Esqueï¿½ï¿½a-Me Se For C</t>
  </si>
  <si>
    <t>Oxlade</t>
  </si>
  <si>
    <t>Miï¿½ï¿½n</t>
  </si>
  <si>
    <t>Ozuna, Feid</t>
  </si>
  <si>
    <t>Sï¿½ï¿½</t>
  </si>
  <si>
    <t>Ozuna, Shakira</t>
  </si>
  <si>
    <t>MAMIII</t>
  </si>
  <si>
    <t>Ozuna, Tiago pzk</t>
  </si>
  <si>
    <t>Still D.R.E.</t>
  </si>
  <si>
    <t>P!nk</t>
  </si>
  <si>
    <t>Stay Alive (Prod. SUGA of BTS)</t>
  </si>
  <si>
    <t>Paloma Faith</t>
  </si>
  <si>
    <t>Boyfriend</t>
  </si>
  <si>
    <t>Panic! At The Disco</t>
  </si>
  <si>
    <t>The Joker And The Queen (feat. Taylor Swift)</t>
  </si>
  <si>
    <t>Paul McCartney</t>
  </si>
  <si>
    <t>The Next Episode</t>
  </si>
  <si>
    <t>Paulo Londra</t>
  </si>
  <si>
    <t>Light Switch</t>
  </si>
  <si>
    <t>City of Gods</t>
  </si>
  <si>
    <t>Peggy Gou</t>
  </si>
  <si>
    <t>Brividi</t>
  </si>
  <si>
    <t>Perry Como, The Fontane Sisters, Mitchell Ayres &amp; His Orchestra</t>
  </si>
  <si>
    <t>Lost</t>
  </si>
  <si>
    <t>Peso Pluma</t>
  </si>
  <si>
    <t>In Da Club</t>
  </si>
  <si>
    <t>she's all i wanna be</t>
  </si>
  <si>
    <t>Peso Pluma, Grupo Frontera</t>
  </si>
  <si>
    <t>Ginseng Strip 2002</t>
  </si>
  <si>
    <t>Peso Pluma, Luis R Conriquez</t>
  </si>
  <si>
    <t>All For Us - from the HBO Original Series Euphoria</t>
  </si>
  <si>
    <t>Peso Pluma, Yng Lvcas</t>
  </si>
  <si>
    <t>Notion</t>
  </si>
  <si>
    <t>Pharrell Williams, Nile Rodgers, Daft Punk</t>
  </si>
  <si>
    <t>Formula</t>
  </si>
  <si>
    <t>Pharrell Williams, Tyler, The Creator, 21 Savage</t>
  </si>
  <si>
    <t>Mount Everest</t>
  </si>
  <si>
    <t>PinkPantheress</t>
  </si>
  <si>
    <t>Excuses</t>
  </si>
  <si>
    <t>PinkPantheress, Ice Spice</t>
  </si>
  <si>
    <t>Cigarettes</t>
  </si>
  <si>
    <t>Plan B</t>
  </si>
  <si>
    <t>Cayï¿½ï¿½ La Noche (feat. Cruz Cafunï¿½ï¿½, Abhir Hathi, Bejo, EL IMA)</t>
  </si>
  <si>
    <t>Playboi Carti</t>
  </si>
  <si>
    <t>California Love - Original Version (Explicit)</t>
  </si>
  <si>
    <t>PnB Rock</t>
  </si>
  <si>
    <t>Forgot About Dre</t>
  </si>
  <si>
    <t>Polima WestCoast, Pailita</t>
  </si>
  <si>
    <t>Down Under (feat. Colin Hay)</t>
  </si>
  <si>
    <t>Polo G</t>
  </si>
  <si>
    <t>Mujeriego</t>
  </si>
  <si>
    <t>Post Malone</t>
  </si>
  <si>
    <t>HUMBLE.</t>
  </si>
  <si>
    <t>Stan</t>
  </si>
  <si>
    <t>Contection</t>
  </si>
  <si>
    <t>Post Malone, Doja Cat</t>
  </si>
  <si>
    <t>Swim</t>
  </si>
  <si>
    <t>Post Malone, Roddy Ricch</t>
  </si>
  <si>
    <t>A Tu Merced</t>
  </si>
  <si>
    <t>Post Malone, Swae Lee</t>
  </si>
  <si>
    <t>Numb Little Bug</t>
  </si>
  <si>
    <t>Prezioso, Gabry Ponte, LUM!X</t>
  </si>
  <si>
    <t>Pritam, Arijit Singh, Amitabh Bhattacharya</t>
  </si>
  <si>
    <t>Problemï¿½</t>
  </si>
  <si>
    <t>PSY, Suga</t>
  </si>
  <si>
    <t>Bussin</t>
  </si>
  <si>
    <t>Queen</t>
  </si>
  <si>
    <t>Worst Day</t>
  </si>
  <si>
    <t>Quevedo</t>
  </si>
  <si>
    <t>Malvada</t>
  </si>
  <si>
    <t>Hrs and Hrs</t>
  </si>
  <si>
    <t>Alien Blues</t>
  </si>
  <si>
    <t>Thinking Out Loud</t>
  </si>
  <si>
    <t>Quevedo, Jhayco</t>
  </si>
  <si>
    <t>Still Don't Know My Name</t>
  </si>
  <si>
    <t>Quevedo, La Pantera, Juseph, Cruz Cafunï¿½ï¿½, Bï¿½ï¿½jo, Abhir Hathi</t>
  </si>
  <si>
    <t>Christmas Tree</t>
  </si>
  <si>
    <t>Radiohead</t>
  </si>
  <si>
    <t>Mal Feito - Ao Vivo</t>
  </si>
  <si>
    <t>Raim Laode</t>
  </si>
  <si>
    <t>When I R.I.P.</t>
  </si>
  <si>
    <t>Rauw Alejandro</t>
  </si>
  <si>
    <t>Do We Have A Problem?</t>
  </si>
  <si>
    <t>Forever</t>
  </si>
  <si>
    <t>Rauw Alejandro, Bizarrap</t>
  </si>
  <si>
    <t>Gospel (with Eminem)</t>
  </si>
  <si>
    <t>Seï¿½ï¿½o</t>
  </si>
  <si>
    <t>Rauw Alejandro, ROSALï¿½</t>
  </si>
  <si>
    <t>NEW MAGIC WAND</t>
  </si>
  <si>
    <t>Ray Dalton, Ryan Lewis, Macklemore</t>
  </si>
  <si>
    <t>Adore You</t>
  </si>
  <si>
    <t>RAYE, 070 Shake</t>
  </si>
  <si>
    <t>La Santa</t>
  </si>
  <si>
    <t>Something In The Way - Remastered 2021</t>
  </si>
  <si>
    <t>Rels B</t>
  </si>
  <si>
    <t>Sweetest Pie</t>
  </si>
  <si>
    <t>Residente, Bizarrap</t>
  </si>
  <si>
    <t>Bam Bam (feat. Ed Sheeran)</t>
  </si>
  <si>
    <t>Rex Orange County</t>
  </si>
  <si>
    <t>Una Noche en Medellï¿½</t>
  </si>
  <si>
    <t>Rï¿½ï</t>
  </si>
  <si>
    <t>Envolver</t>
  </si>
  <si>
    <t>Rï¿½ï¿½ma, Selena G</t>
  </si>
  <si>
    <t>Starlight</t>
  </si>
  <si>
    <t>Rich The Kid, Matuï¿</t>
  </si>
  <si>
    <t>Hati-Hati di Jalan</t>
  </si>
  <si>
    <t>Rihanna</t>
  </si>
  <si>
    <t>I'm Tired - From "Euphoria" An Original HBO Series</t>
  </si>
  <si>
    <t>Rihanna, Calvin Harris</t>
  </si>
  <si>
    <t>DANï¿½ï¿½A</t>
  </si>
  <si>
    <t>Riton, Nightcrawlers, Mufasa &amp; Hypeman, Dopamine</t>
  </si>
  <si>
    <t>Yo Voy (feat. Daddy Yankee)</t>
  </si>
  <si>
    <t>RM</t>
  </si>
  <si>
    <t>Residente: Bzrp Music Sessions, Vol. 49</t>
  </si>
  <si>
    <t>RM, Colde</t>
  </si>
  <si>
    <t>Jordan</t>
  </si>
  <si>
    <t>Robin Schulz, Oliver Tree</t>
  </si>
  <si>
    <t>Nail Tech</t>
  </si>
  <si>
    <t>Rosa Linn</t>
  </si>
  <si>
    <t>Chale</t>
  </si>
  <si>
    <t>DARARI</t>
  </si>
  <si>
    <t>Rosa Walton, Hallie Coggins</t>
  </si>
  <si>
    <t>Ya No Somos Ni Seremos</t>
  </si>
  <si>
    <t>ROSALï¿½</t>
  </si>
  <si>
    <t>Thinking with My Dick</t>
  </si>
  <si>
    <t>Freaky Deaky</t>
  </si>
  <si>
    <t>Ruth B.</t>
  </si>
  <si>
    <t>this is what falling in love feels like</t>
  </si>
  <si>
    <t>Ryan Castro</t>
  </si>
  <si>
    <t>La Zona</t>
  </si>
  <si>
    <t>Bohemian Rhapsody - Remastered 2011</t>
  </si>
  <si>
    <t>Sabrina Carpenter</t>
  </si>
  <si>
    <t>Hope</t>
  </si>
  <si>
    <t>Sachin-Jigar, Shadab Faridi, Altamash Faridi, Amitabh Bhattacharya, Varun Jain</t>
  </si>
  <si>
    <t>Levitating</t>
  </si>
  <si>
    <t>SALES</t>
  </si>
  <si>
    <t>Wake Me Up - Radio Edit</t>
  </si>
  <si>
    <t>Sam Ryder</t>
  </si>
  <si>
    <t>jealousy, jealousy</t>
  </si>
  <si>
    <t>Sam Smith</t>
  </si>
  <si>
    <t>Monï¿½ï¿½y so</t>
  </si>
  <si>
    <t>Sam Smith, Calvin Harris, Jessie Reyez</t>
  </si>
  <si>
    <t>Demasiadas Mujeres</t>
  </si>
  <si>
    <t>Sam Smith, Kim Petras</t>
  </si>
  <si>
    <t>Something Just Like This</t>
  </si>
  <si>
    <t>Schï¿½ï¿½rze, DJ R</t>
  </si>
  <si>
    <t>Closer</t>
  </si>
  <si>
    <t>Seafret</t>
  </si>
  <si>
    <t>O.O</t>
  </si>
  <si>
    <t>Sean Paul, Dua Lipa</t>
  </si>
  <si>
    <t>Somebody That I Used To Know</t>
  </si>
  <si>
    <t>Sean Paul, Feid</t>
  </si>
  <si>
    <t>Tom's Diner</t>
  </si>
  <si>
    <t>Sebastian Yatra</t>
  </si>
  <si>
    <t>First Class</t>
  </si>
  <si>
    <t>Plan A</t>
  </si>
  <si>
    <t>Sebastian Yatra, Manuel Turizo, Beï¿½ï</t>
  </si>
  <si>
    <t>Fuera del mercado</t>
  </si>
  <si>
    <t>Sech, Bad Bunny, Mora</t>
  </si>
  <si>
    <t>X ï¿½ï¿½LTIMA</t>
  </si>
  <si>
    <t>Sech, Mora</t>
  </si>
  <si>
    <t>When You're Gone</t>
  </si>
  <si>
    <t>Selena Gomez</t>
  </si>
  <si>
    <t>In My Head</t>
  </si>
  <si>
    <t xml:space="preserve">Semicenk, Doï¿½ï¿½u </t>
  </si>
  <si>
    <t>Wait a Minute!</t>
  </si>
  <si>
    <t>SEVENTEEN</t>
  </si>
  <si>
    <t>LOVE DIVE</t>
  </si>
  <si>
    <t>Shae Gill, Ali Sethi</t>
  </si>
  <si>
    <t>Pantysito</t>
  </si>
  <si>
    <t>Shakin' Stevens</t>
  </si>
  <si>
    <t>Chance</t>
  </si>
  <si>
    <t>Shakira</t>
  </si>
  <si>
    <t>Cool for the Summer</t>
  </si>
  <si>
    <t>Shakira, Bizarrap</t>
  </si>
  <si>
    <t>psychofreak (feat. WILLOW)</t>
  </si>
  <si>
    <t>Shakira, Rauw Alejandro</t>
  </si>
  <si>
    <t>Angel Baby</t>
  </si>
  <si>
    <t>Shawn Mendes</t>
  </si>
  <si>
    <t>Vampiro</t>
  </si>
  <si>
    <t>Si Quieren Frontear</t>
  </si>
  <si>
    <t>Right On</t>
  </si>
  <si>
    <t>Shawn Mendes, Camila Cabello</t>
  </si>
  <si>
    <t>Me Arrepentï¿</t>
  </si>
  <si>
    <t>Shubh</t>
  </si>
  <si>
    <t>That's Hilarious</t>
  </si>
  <si>
    <t>Sia</t>
  </si>
  <si>
    <t>Soy El Unico</t>
  </si>
  <si>
    <t>RUMBATï¿½</t>
  </si>
  <si>
    <t>Sidhu Moose Wala</t>
  </si>
  <si>
    <t>sentaDONA (Remix) s2</t>
  </si>
  <si>
    <t>SiM</t>
  </si>
  <si>
    <t>Falling</t>
  </si>
  <si>
    <t>Simone Mendes</t>
  </si>
  <si>
    <t>Sigue</t>
  </si>
  <si>
    <t>Skrillex, Flowdan, Fred again..</t>
  </si>
  <si>
    <t>Fim de Semana no Rio</t>
  </si>
  <si>
    <t>Sleepy hallow</t>
  </si>
  <si>
    <t>MANIAC</t>
  </si>
  <si>
    <t>Sleepy hallow, 347aidan</t>
  </si>
  <si>
    <t>There's Nothing Holdin' Me Back</t>
  </si>
  <si>
    <t>Snoop Dogg, BTS, Benny Blanco</t>
  </si>
  <si>
    <t>IDGAF (with blackbear)</t>
  </si>
  <si>
    <t>Sofia Carson</t>
  </si>
  <si>
    <t>Golden</t>
  </si>
  <si>
    <t>Sog, Ryan Castro, Peso Pluma</t>
  </si>
  <si>
    <t>Get Lucky - Radio Edit</t>
  </si>
  <si>
    <t>Southstar</t>
  </si>
  <si>
    <t>Ain't Shit</t>
  </si>
  <si>
    <t>sped up 8282</t>
  </si>
  <si>
    <t>Nobody Like U - From "Turning Red"</t>
  </si>
  <si>
    <t>sped up nightcore, ARIZONATEARS, Lil Uzi Vert</t>
  </si>
  <si>
    <t>Still Life</t>
  </si>
  <si>
    <t>Stephanie Beatriz, Diane Guerrero</t>
  </si>
  <si>
    <t>Photograph</t>
  </si>
  <si>
    <t>Stephen Sanchez</t>
  </si>
  <si>
    <t>Love Yourself</t>
  </si>
  <si>
    <t>Steve Aoki, Tini, La Joaqui</t>
  </si>
  <si>
    <t>N95</t>
  </si>
  <si>
    <t>Steve Lacy</t>
  </si>
  <si>
    <t>Die Hard</t>
  </si>
  <si>
    <t>Despuï¿½ï¿½s de la P</t>
  </si>
  <si>
    <t>Stray Kids</t>
  </si>
  <si>
    <t>Un Ratito</t>
  </si>
  <si>
    <t>United In Grief</t>
  </si>
  <si>
    <t>Stromae</t>
  </si>
  <si>
    <t>Father Time (feat. Sampha)</t>
  </si>
  <si>
    <t>Styrx, utku INC, Thezth</t>
  </si>
  <si>
    <t>Yo No Soy Celoso</t>
  </si>
  <si>
    <t>Suki Waterhouse</t>
  </si>
  <si>
    <t>Rich Spirit</t>
  </si>
  <si>
    <t>Surf Curse</t>
  </si>
  <si>
    <t>Cooped Up (with Roddy Ricch)</t>
  </si>
  <si>
    <t>Swae Lee, A Boogie Wit da Hoodie, Metro Boomin, NAV</t>
  </si>
  <si>
    <t>Me Fui de Vacaciones</t>
  </si>
  <si>
    <t>Swae Lee, Lil Wayne, Offset, Metro Boomin</t>
  </si>
  <si>
    <t>Silent Hill</t>
  </si>
  <si>
    <t>SZA</t>
  </si>
  <si>
    <t>La Corriente</t>
  </si>
  <si>
    <t>Count Me Out</t>
  </si>
  <si>
    <t>Andrea</t>
  </si>
  <si>
    <t>Dos Mil 16</t>
  </si>
  <si>
    <t>We Cry Together</t>
  </si>
  <si>
    <t>Savior</t>
  </si>
  <si>
    <t>Un Coco</t>
  </si>
  <si>
    <t>Otro Atardecer</t>
  </si>
  <si>
    <t>Worldwide Steppers</t>
  </si>
  <si>
    <t>Aguacero</t>
  </si>
  <si>
    <t>Purple Hearts</t>
  </si>
  <si>
    <t>Un Verano Sin Ti</t>
  </si>
  <si>
    <t>ULTRA SOLO</t>
  </si>
  <si>
    <t xml:space="preserve">Ensï¿½ï¿½ï¿½ï¿½ame </t>
  </si>
  <si>
    <t>El Apagï¿½</t>
  </si>
  <si>
    <t>Callaita</t>
  </si>
  <si>
    <t>Agosto</t>
  </si>
  <si>
    <t>House Of Memories</t>
  </si>
  <si>
    <t>SZA, Doja Cat</t>
  </si>
  <si>
    <t>Mr. Morale</t>
  </si>
  <si>
    <t>SZA, Don Toliver</t>
  </si>
  <si>
    <t>That That (prod. &amp; feat. SUGA of BTS)</t>
  </si>
  <si>
    <t>SZA, Phoebe Bridgers</t>
  </si>
  <si>
    <t>In The Stars</t>
  </si>
  <si>
    <t>SZA, Travis Scott</t>
  </si>
  <si>
    <t>Rich - Interlude</t>
  </si>
  <si>
    <t>TAEYANG, Jimin</t>
  </si>
  <si>
    <t>SUPERMODEL</t>
  </si>
  <si>
    <t>TAEYANG, Lisa</t>
  </si>
  <si>
    <t>Stefania (Kalush Orchestra)</t>
  </si>
  <si>
    <t>Tainy, Bad Bunny</t>
  </si>
  <si>
    <t>Thousand Miles</t>
  </si>
  <si>
    <t>Taiu, Milo j</t>
  </si>
  <si>
    <t>Crown</t>
  </si>
  <si>
    <t>Tate McRae</t>
  </si>
  <si>
    <t>Auntie Diaries</t>
  </si>
  <si>
    <t>PUFFIN ON ZOOTIEZ</t>
  </si>
  <si>
    <t>Taylor Swift</t>
  </si>
  <si>
    <t>Mirror</t>
  </si>
  <si>
    <t>Beautiful Girl</t>
  </si>
  <si>
    <t>Paulo Londra: Bzrp Music Sessions, Vol. 23</t>
  </si>
  <si>
    <t>Savior - Interlude</t>
  </si>
  <si>
    <t>Pasoori</t>
  </si>
  <si>
    <t>Mother I Sober (feat. Beth Gibbons of Portishead)</t>
  </si>
  <si>
    <t>TUS Lï¿½ï¿½GR</t>
  </si>
  <si>
    <t>Where Did You Go?</t>
  </si>
  <si>
    <t>I Tried to Tell Y'all</t>
  </si>
  <si>
    <t>Honest (feat. Don Toliver)</t>
  </si>
  <si>
    <t>ZOOM</t>
  </si>
  <si>
    <t>SloMo</t>
  </si>
  <si>
    <t>FEARLESS</t>
  </si>
  <si>
    <t>10 Things I Hate About You</t>
  </si>
  <si>
    <t>SPACE MAN</t>
  </si>
  <si>
    <t>With you</t>
  </si>
  <si>
    <t>Iris</t>
  </si>
  <si>
    <t>The Heart Part 5</t>
  </si>
  <si>
    <t>San Lucas</t>
  </si>
  <si>
    <t>This Love (Taylorï¿½ï¿½ï¿½s Ve</t>
  </si>
  <si>
    <t>Good Looking</t>
  </si>
  <si>
    <t>Yet To Come</t>
  </si>
  <si>
    <t>Run BTS</t>
  </si>
  <si>
    <t>Music For a Sushi Restaurant</t>
  </si>
  <si>
    <t>Matilda</t>
  </si>
  <si>
    <t>For Youth</t>
  </si>
  <si>
    <t>Vegas (From the Original Motion Picture Soundtrack ELVIS)</t>
  </si>
  <si>
    <t>Cash In Cash Out</t>
  </si>
  <si>
    <t>Potion (with Dua Lipa &amp; Young Thug)</t>
  </si>
  <si>
    <t>Born Singer</t>
  </si>
  <si>
    <t>Little Freak</t>
  </si>
  <si>
    <t>La Llevo Al Cielo (Ft. ï¿½ï¿½engo F</t>
  </si>
  <si>
    <t>Taylor Swift, Ice Spice</t>
  </si>
  <si>
    <t>True Love</t>
  </si>
  <si>
    <t>Taylor Swift, Lana Del Rey</t>
  </si>
  <si>
    <t>Satellite</t>
  </si>
  <si>
    <t>Tears For Fears</t>
  </si>
  <si>
    <t>Pass The Dutchie</t>
  </si>
  <si>
    <t>teto</t>
  </si>
  <si>
    <t>Villano Antillano: Bzrp Music Sessions, Vol. 51</t>
  </si>
  <si>
    <t>THE ANXIETY, Willow, Tyler Cole</t>
  </si>
  <si>
    <t>Love Of My Life</t>
  </si>
  <si>
    <t>The Chainsmokers, Coldplay</t>
  </si>
  <si>
    <t>Grapejuice</t>
  </si>
  <si>
    <t>The Chainsmokers, Halsey</t>
  </si>
  <si>
    <t>So Good</t>
  </si>
  <si>
    <t>The Goo Goo Dolls</t>
  </si>
  <si>
    <t>Belly Dancer</t>
  </si>
  <si>
    <t>The Kid Laroi</t>
  </si>
  <si>
    <t>Keep Driving</t>
  </si>
  <si>
    <t>Cinema</t>
  </si>
  <si>
    <t>The Killers</t>
  </si>
  <si>
    <t>Die Young (feat. 347aidan)</t>
  </si>
  <si>
    <t>The Neighbourhood</t>
  </si>
  <si>
    <t>Only Love Can Hurt Like This</t>
  </si>
  <si>
    <t>Hold My Hand</t>
  </si>
  <si>
    <t>Daydreaming</t>
  </si>
  <si>
    <t>The Police</t>
  </si>
  <si>
    <t>The Rare Occasions</t>
  </si>
  <si>
    <t>Nos Comemos (feat. Ozuna)</t>
  </si>
  <si>
    <t>The Ronettes</t>
  </si>
  <si>
    <t>Me and Your Mama</t>
  </si>
  <si>
    <t>The Walters</t>
  </si>
  <si>
    <t>Crazy What Love Can Do</t>
  </si>
  <si>
    <t>The Weeknd</t>
  </si>
  <si>
    <t>SLOW DANCING IN THE DARK</t>
  </si>
  <si>
    <t>Antes de Perderte</t>
  </si>
  <si>
    <t>Boyfriends</t>
  </si>
  <si>
    <t>Tak Ingin Usai</t>
  </si>
  <si>
    <t>En El Radio Un Cochinero</t>
  </si>
  <si>
    <t>Master of Puppets (Remastered)</t>
  </si>
  <si>
    <t>BREAK MY SOUL</t>
  </si>
  <si>
    <t>ULTRA SOLO REMIX</t>
  </si>
  <si>
    <t>Massive</t>
  </si>
  <si>
    <t>Betty (Get Money)</t>
  </si>
  <si>
    <t>Ojos Marrones</t>
  </si>
  <si>
    <t>POP!</t>
  </si>
  <si>
    <t>Layla</t>
  </si>
  <si>
    <t>MORE</t>
  </si>
  <si>
    <t>Sweet Child O' Mine</t>
  </si>
  <si>
    <t>Last Last</t>
  </si>
  <si>
    <t>Sticky</t>
  </si>
  <si>
    <t>Hot Shit (feat. Ye &amp; Lil Durk)</t>
  </si>
  <si>
    <t>Ai Preto</t>
  </si>
  <si>
    <t>La Loto</t>
  </si>
  <si>
    <t>The Weeknd, 21 Savage, Metro Boomin</t>
  </si>
  <si>
    <t>die first</t>
  </si>
  <si>
    <t>The Weeknd, Daft Punk</t>
  </si>
  <si>
    <t>Afraid To Feel</t>
  </si>
  <si>
    <t>The Weeknd, Future</t>
  </si>
  <si>
    <t>Baile no Morro</t>
  </si>
  <si>
    <t>The Weeknd, Gesaffelstein</t>
  </si>
  <si>
    <t>cï¿½ï¿½mo dormi</t>
  </si>
  <si>
    <t>Bad Decisions (with BTS &amp; Snoop Dogg)</t>
  </si>
  <si>
    <t>The Weeknd, Lana Del Rey</t>
  </si>
  <si>
    <t>STAYING ALIVE (feat. Drake &amp; Lil Baby)</t>
  </si>
  <si>
    <t>The Weeknd, Lil Wayne</t>
  </si>
  <si>
    <t>Caile</t>
  </si>
  <si>
    <t>The Weeknd, Madonna, Playboi Carti</t>
  </si>
  <si>
    <t>Si Te La Encuentras Por Ahï¿</t>
  </si>
  <si>
    <t>The Weeknd, Post Malone</t>
  </si>
  <si>
    <t>GIVENCHY</t>
  </si>
  <si>
    <t>The Weeknd, ROSALï¿½</t>
  </si>
  <si>
    <t>ALIEN SUPERSTAR</t>
  </si>
  <si>
    <t>The Weeknd, Swedish House Mafia</t>
  </si>
  <si>
    <t>Mary On A Cross</t>
  </si>
  <si>
    <t>The Weeknd, Tyler, The Creator</t>
  </si>
  <si>
    <t>Attention</t>
  </si>
  <si>
    <t>ThxSoMch</t>
  </si>
  <si>
    <t>THE SHADE</t>
  </si>
  <si>
    <t>Come Back Home - From "Purple Hearts"</t>
  </si>
  <si>
    <t>Tiï¿½ï¿</t>
  </si>
  <si>
    <t>El Rescate</t>
  </si>
  <si>
    <t>Tiï¿½ï¿½sto, Ava</t>
  </si>
  <si>
    <t>Heartless</t>
  </si>
  <si>
    <t>Tiï¿½ï¿½sto, Kar</t>
  </si>
  <si>
    <t>Stay With Me (with Justin Timberlake, Halsey, &amp; Pharrell)</t>
  </si>
  <si>
    <t>Tiï¿½ï¿½sto, Tate M</t>
  </si>
  <si>
    <t>Siempre Pendientes</t>
  </si>
  <si>
    <t>Tini</t>
  </si>
  <si>
    <t>JGL</t>
  </si>
  <si>
    <t>Tini, L-Gante</t>
  </si>
  <si>
    <t>Don't You Worry</t>
  </si>
  <si>
    <t>Tini, Maria Becerra</t>
  </si>
  <si>
    <t>Pipoco</t>
  </si>
  <si>
    <t>Tom Odell</t>
  </si>
  <si>
    <t>Hold Me Closer</t>
  </si>
  <si>
    <t>TOMORROW X TOGETHER</t>
  </si>
  <si>
    <t>Forget Me</t>
  </si>
  <si>
    <t>Tones and I</t>
  </si>
  <si>
    <t>After LIKE</t>
  </si>
  <si>
    <t>Tony Dize, Bad Bunny</t>
  </si>
  <si>
    <t>Bound 2</t>
  </si>
  <si>
    <t>Tory Lanez</t>
  </si>
  <si>
    <t>B.O.T.A. (Baddest Of Them All) - Edit</t>
  </si>
  <si>
    <t>Travis Scott, 21 Savage, Metro Boomin</t>
  </si>
  <si>
    <t>Talk that Talk</t>
  </si>
  <si>
    <t>Travis Scott, Metro Boomin</t>
  </si>
  <si>
    <t>BILLIE EILISH.</t>
  </si>
  <si>
    <t>Travis Scott, Young Thug, Metro Boomin</t>
  </si>
  <si>
    <t>Ferxxo 100</t>
  </si>
  <si>
    <t>Treasure</t>
  </si>
  <si>
    <t>KU LO SA - A COLORS SHOW</t>
  </si>
  <si>
    <t>Treyce</t>
  </si>
  <si>
    <t>Prohibidox</t>
  </si>
  <si>
    <t>Troye Sivan</t>
  </si>
  <si>
    <t>Static</t>
  </si>
  <si>
    <t>The Scientist</t>
  </si>
  <si>
    <t>Trueno</t>
  </si>
  <si>
    <t>Sparks</t>
  </si>
  <si>
    <t>Trueno, Tiago pzk</t>
  </si>
  <si>
    <t>Talk</t>
  </si>
  <si>
    <t>Tulus</t>
  </si>
  <si>
    <t>XQ Te Pones Asï¿</t>
  </si>
  <si>
    <t>TV Girl</t>
  </si>
  <si>
    <t>Selfish</t>
  </si>
  <si>
    <t>TWICE</t>
  </si>
  <si>
    <t>Sin Seï¿½ï</t>
  </si>
  <si>
    <t>Lady Mi Amor</t>
  </si>
  <si>
    <t>Twisted, Oliver Tree</t>
  </si>
  <si>
    <t>Poland</t>
  </si>
  <si>
    <t>Tyga, Doja Cat</t>
  </si>
  <si>
    <t>THE LONELIEST</t>
  </si>
  <si>
    <t>Tyler, The Creator</t>
  </si>
  <si>
    <t>Bye Bye</t>
  </si>
  <si>
    <t>BABY OTAKU</t>
  </si>
  <si>
    <t>Nxde</t>
  </si>
  <si>
    <t>Tyler, The Creator, Kali Uchis</t>
  </si>
  <si>
    <t>Ugly Dray, Tesla Jnr</t>
  </si>
  <si>
    <t>we fell in love in october</t>
  </si>
  <si>
    <t>V</t>
  </si>
  <si>
    <t>2 Be Loved (Am I Ready)</t>
  </si>
  <si>
    <t>Vance Joy</t>
  </si>
  <si>
    <t>Celestial</t>
  </si>
  <si>
    <t>Veigh, Bvga Beatz, Supernova Ent, Prod Malax</t>
  </si>
  <si>
    <t>Typa Girl</t>
  </si>
  <si>
    <t>Victor Cibrian</t>
  </si>
  <si>
    <t>I Really Want to Stay at Your House</t>
  </si>
  <si>
    <t>Vishal-Shekhar, Shilpa Rao, Caralisa Monteiro, Kumaar, Vishal Dadlani, Shekhar Ravjiani</t>
  </si>
  <si>
    <t>California Breeze</t>
  </si>
  <si>
    <t>Vundabar</t>
  </si>
  <si>
    <t>Bamba (feat. Aitch &amp; BIA)</t>
  </si>
  <si>
    <t>Wham!</t>
  </si>
  <si>
    <t>Casei Com a Putaria</t>
  </si>
  <si>
    <t>Willow</t>
  </si>
  <si>
    <t>Major Distribution</t>
  </si>
  <si>
    <t>Wisin &amp; Yandel, ROSALï¿½</t>
  </si>
  <si>
    <t>Pussy &amp; Millions (feat. Travis Scott)</t>
  </si>
  <si>
    <t>WizKid, Toian, Metro Boomin, Don Toliver, Beam</t>
  </si>
  <si>
    <t>Vigilante Shit</t>
  </si>
  <si>
    <t>Xamï¿½ï¿½, Gustah, Neo B</t>
  </si>
  <si>
    <t>Question...?</t>
  </si>
  <si>
    <t>XXXTENTACION</t>
  </si>
  <si>
    <t>On BS</t>
  </si>
  <si>
    <t>Mastermind</t>
  </si>
  <si>
    <t>Yahritza Y Su Esencia</t>
  </si>
  <si>
    <t>Circo Loco</t>
  </si>
  <si>
    <t>Yahritza Y Su Esencia, Grupo Frontera</t>
  </si>
  <si>
    <t>Labyrinth</t>
  </si>
  <si>
    <t>Yandel, Feid</t>
  </si>
  <si>
    <t>Spin Bout U</t>
  </si>
  <si>
    <t>Sweet Nothing</t>
  </si>
  <si>
    <t>YEAT</t>
  </si>
  <si>
    <t>Would've, Could've, Should've</t>
  </si>
  <si>
    <t>Con La Brisa</t>
  </si>
  <si>
    <t>Yng Lvcas</t>
  </si>
  <si>
    <t>Privileged Rappers</t>
  </si>
  <si>
    <t>YOASOBI</t>
  </si>
  <si>
    <t>The Astronaut</t>
  </si>
  <si>
    <t>Young Thug, Future, Gunna</t>
  </si>
  <si>
    <t>BackOutsideBoyz</t>
  </si>
  <si>
    <t>Yung Gravy</t>
  </si>
  <si>
    <t>Broke Boys</t>
  </si>
  <si>
    <t>Yung Lean</t>
  </si>
  <si>
    <t>The Great War</t>
  </si>
  <si>
    <t>Yuridia, Angela Aguilar</t>
  </si>
  <si>
    <t>My Mind &amp; Me</t>
  </si>
  <si>
    <t>Zach Bryan</t>
  </si>
  <si>
    <t>Bigger Than The Whole Sky</t>
  </si>
  <si>
    <t>Zï¿½ï¿½ Fe</t>
  </si>
  <si>
    <t>A Veces (feat. Feid)</t>
  </si>
  <si>
    <t>Zï¿½ï¿½ Neto &amp; Crist</t>
  </si>
  <si>
    <t>En La De Ella</t>
  </si>
  <si>
    <t>Zion &amp; Lennox</t>
  </si>
  <si>
    <t>Alone</t>
  </si>
  <si>
    <t>Count of artist(s)_name</t>
  </si>
  <si>
    <t>Grand Total</t>
  </si>
  <si>
    <t>Count of release_date</t>
  </si>
  <si>
    <t>Average of danceability_%</t>
  </si>
  <si>
    <t>Average of energy_%</t>
  </si>
  <si>
    <t>Spotify Music Analysis Dashboard</t>
  </si>
  <si>
    <t>Total Songs:</t>
  </si>
  <si>
    <t>Unique Artists:</t>
  </si>
  <si>
    <t>Average Energy:</t>
  </si>
  <si>
    <t>Taylor swift beats the competiton for number of songs released</t>
  </si>
  <si>
    <t>Year 2022 was a very popular year for releasing songs</t>
  </si>
  <si>
    <t>“Energy levels fluctuate over time but remain relatively stable in recent years.”</t>
  </si>
  <si>
    <t>even though Myke Towers has the most danibility i would argue that The Weeknd, Kelly Clarkson and Arctic Monkeys actually had more because of the nymber of songs they put out with high danciblility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</si>
</sst>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/>
    <xf numFmtId="20" fontId="0" fillId="0" borderId="0" xfId="0" applyNumberFormat="1" applyAlignment="1">
      <alignment wrapText="1"/>
    </xf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NumberFormat="1"/>
    <xf numFmtId="2" fontId="0" fillId="0" borderId="0" xfId="0" applyNumberFormat="1" applyAlignment="1"/>
    <xf numFmtId="2" fontId="0" fillId="0" borderId="0" xfId="0" applyNumberFormat="1"/>
    <xf numFmtId="0" fontId="18" fillId="0" borderId="0" xfId="0" applyFont="1" applyAlignment="1">
      <alignment horizontal="left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19" formatCode="m/d/yyyy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3" formatCode="0%"/>
      <alignment horizontal="general" vertical="bottom" textRotation="0" wrapText="0" indent="0" justifyLastLine="0" shrinkToFit="0" readingOrder="0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[spotify-2023.xlsx]artist count!PivotTable1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Artist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'artist count'!$B$3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'artist count'!$A$4:$A$649</c:f>
              <c:strCache>
                <c:ptCount val="645"/>
                <c:pt idx="0">
                  <c:v>Taylor Swift</c:v>
                </c:pt>
                <c:pt idx="1">
                  <c:v>The Weeknd</c:v>
                </c:pt>
                <c:pt idx="2">
                  <c:v>Bad Bunny</c:v>
                </c:pt>
                <c:pt idx="3">
                  <c:v>SZA</c:v>
                </c:pt>
                <c:pt idx="4">
                  <c:v>Harry Styles</c:v>
                </c:pt>
                <c:pt idx="5">
                  <c:v>Kendrick Lamar</c:v>
                </c:pt>
                <c:pt idx="6">
                  <c:v>Morgan Wallen</c:v>
                </c:pt>
                <c:pt idx="7">
                  <c:v>Ed Sheeran</c:v>
                </c:pt>
                <c:pt idx="8">
                  <c:v>Feid</c:v>
                </c:pt>
                <c:pt idx="9">
                  <c:v>Drake, 21 Savage</c:v>
                </c:pt>
                <c:pt idx="10">
                  <c:v>BTS</c:v>
                </c:pt>
                <c:pt idx="11">
                  <c:v>Olivia Rodrigo</c:v>
                </c:pt>
                <c:pt idx="12">
                  <c:v>Labrinth</c:v>
                </c:pt>
                <c:pt idx="13">
                  <c:v>NewJeans</c:v>
                </c:pt>
                <c:pt idx="14">
                  <c:v>Doja Cat</c:v>
                </c:pt>
                <c:pt idx="15">
                  <c:v>Billie Eilish</c:v>
                </c:pt>
                <c:pt idx="16">
                  <c:v>Adele</c:v>
                </c:pt>
                <c:pt idx="17">
                  <c:v>Karol G</c:v>
                </c:pt>
                <c:pt idx="18">
                  <c:v>Arctic Monkeys</c:v>
                </c:pt>
                <c:pt idx="19">
                  <c:v>Drake</c:v>
                </c:pt>
                <c:pt idx="20">
                  <c:v>Quevedo</c:v>
                </c:pt>
                <c:pt idx="21">
                  <c:v>Mï¿½ï¿½ne</c:v>
                </c:pt>
                <c:pt idx="22">
                  <c:v>Bruno Mars</c:v>
                </c:pt>
                <c:pt idx="23">
                  <c:v>Eminem</c:v>
                </c:pt>
                <c:pt idx="24">
                  <c:v>IVE</c:v>
                </c:pt>
                <c:pt idx="25">
                  <c:v>Joji</c:v>
                </c:pt>
                <c:pt idx="26">
                  <c:v>Post Malone</c:v>
                </c:pt>
                <c:pt idx="27">
                  <c:v>The Neighbourhood</c:v>
                </c:pt>
                <c:pt idx="28">
                  <c:v>ENHYPEN</c:v>
                </c:pt>
                <c:pt idx="29">
                  <c:v>Shawn Mendes</c:v>
                </c:pt>
                <c:pt idx="30">
                  <c:v>Coldplay</c:v>
                </c:pt>
                <c:pt idx="31">
                  <c:v>BLACKPINK</c:v>
                </c:pt>
                <c:pt idx="32">
                  <c:v>Lana Del Rey</c:v>
                </c:pt>
                <c:pt idx="33">
                  <c:v>Beyoncï¿</c:v>
                </c:pt>
                <c:pt idx="34">
                  <c:v>Lewis Capaldi</c:v>
                </c:pt>
                <c:pt idx="35">
                  <c:v>Jimin</c:v>
                </c:pt>
                <c:pt idx="36">
                  <c:v>Lil Nas X</c:v>
                </c:pt>
                <c:pt idx="37">
                  <c:v>Steve Lacy</c:v>
                </c:pt>
                <c:pt idx="38">
                  <c:v>Lizzo</c:v>
                </c:pt>
                <c:pt idx="39">
                  <c:v>Justin Bieber</c:v>
                </c:pt>
                <c:pt idx="40">
                  <c:v>Dua Lipa</c:v>
                </c:pt>
                <c:pt idx="41">
                  <c:v>Imagine Dragons</c:v>
                </c:pt>
                <c:pt idx="42">
                  <c:v>Tyler, The Creator</c:v>
                </c:pt>
                <c:pt idx="43">
                  <c:v>Jack Harlow</c:v>
                </c:pt>
                <c:pt idx="44">
                  <c:v>Kanye West</c:v>
                </c:pt>
                <c:pt idx="45">
                  <c:v>OneRepublic</c:v>
                </c:pt>
                <c:pt idx="46">
                  <c:v>Daddy Yankee, Bad Bunny</c:v>
                </c:pt>
                <c:pt idx="47">
                  <c:v>Rosa Linn</c:v>
                </c:pt>
                <c:pt idx="48">
                  <c:v>Juice WRLD</c:v>
                </c:pt>
                <c:pt idx="49">
                  <c:v>Troye Sivan</c:v>
                </c:pt>
                <c:pt idx="50">
                  <c:v>Jung Kook</c:v>
                </c:pt>
                <c:pt idx="51">
                  <c:v>d4vd</c:v>
                </c:pt>
                <c:pt idx="52">
                  <c:v>Junior H, Peso Pluma</c:v>
                </c:pt>
                <c:pt idx="53">
                  <c:v>Hotel Ugly</c:v>
                </c:pt>
                <c:pt idx="54">
                  <c:v>Bad Bunny, Jhay Cortez</c:v>
                </c:pt>
                <c:pt idx="55">
                  <c:v>James Arthur</c:v>
                </c:pt>
                <c:pt idx="56">
                  <c:v>JVKE</c:v>
                </c:pt>
                <c:pt idx="57">
                  <c:v>Nirvana</c:v>
                </c:pt>
                <c:pt idx="58">
                  <c:v>XXXTENTACION</c:v>
                </c:pt>
                <c:pt idx="59">
                  <c:v>Peso Pluma</c:v>
                </c:pt>
                <c:pt idx="60">
                  <c:v>Bruno Mars, Anderson .Paak, Silk Sonic</c:v>
                </c:pt>
                <c:pt idx="61">
                  <c:v>Rauw Alejandro, Bizarrap</c:v>
                </c:pt>
                <c:pt idx="62">
                  <c:v>Ariana Grande, The Weeknd</c:v>
                </c:pt>
                <c:pt idx="63">
                  <c:v>Ryan Castro</c:v>
                </c:pt>
                <c:pt idx="64">
                  <c:v>Yandel, Feid</c:v>
                </c:pt>
                <c:pt idx="65">
                  <c:v>Daddy Yankee</c:v>
                </c:pt>
                <c:pt idx="66">
                  <c:v>(G)I-DLE</c:v>
                </c:pt>
                <c:pt idx="67">
                  <c:v>David Kushner</c:v>
                </c:pt>
                <c:pt idx="68">
                  <c:v>Duki</c:v>
                </c:pt>
                <c:pt idx="69">
                  <c:v>The Weeknd, Gesaffelstein</c:v>
                </c:pt>
                <c:pt idx="70">
                  <c:v>Lady Gaga</c:v>
                </c:pt>
                <c:pt idx="71">
                  <c:v>Ariana Grande</c:v>
                </c:pt>
                <c:pt idx="72">
                  <c:v>Burna Boy</c:v>
                </c:pt>
                <c:pt idx="73">
                  <c:v>Fuerza Regida</c:v>
                </c:pt>
                <c:pt idx="74">
                  <c:v>LE SSERAFIM</c:v>
                </c:pt>
                <c:pt idx="75">
                  <c:v>Paulo Londra</c:v>
                </c:pt>
                <c:pt idx="76">
                  <c:v>Central Cee</c:v>
                </c:pt>
                <c:pt idx="77">
                  <c:v>Future</c:v>
                </c:pt>
                <c:pt idx="78">
                  <c:v>Lil Baby</c:v>
                </c:pt>
                <c:pt idx="79">
                  <c:v>Rauw Alejandro</c:v>
                </c:pt>
                <c:pt idx="80">
                  <c:v>Eminem, Dr. Dre</c:v>
                </c:pt>
                <c:pt idx="81">
                  <c:v>RAYE, 070 Shake</c:v>
                </c:pt>
                <c:pt idx="82">
                  <c:v>Linkin Park</c:v>
                </c:pt>
                <c:pt idx="83">
                  <c:v>ROSALï¿½</c:v>
                </c:pt>
                <c:pt idx="84">
                  <c:v>Charlie Puth</c:v>
                </c:pt>
                <c:pt idx="85">
                  <c:v>Sebastian Yatra</c:v>
                </c:pt>
                <c:pt idx="86">
                  <c:v>Mambo Kingz, DJ Luian, Anuel Aa</c:v>
                </c:pt>
                <c:pt idx="87">
                  <c:v>Sia</c:v>
                </c:pt>
                <c:pt idx="88">
                  <c:v>Avicii</c:v>
                </c:pt>
                <c:pt idx="89">
                  <c:v>Stray Kids</c:v>
                </c:pt>
                <c:pt idx="90">
                  <c:v>Michael Bublï¿</c:v>
                </c:pt>
                <c:pt idx="91">
                  <c:v>Tate McRae</c:v>
                </c:pt>
                <c:pt idx="92">
                  <c:v>Miley Cyrus</c:v>
                </c:pt>
                <c:pt idx="93">
                  <c:v>The Kid Laroi</c:v>
                </c:pt>
                <c:pt idx="94">
                  <c:v>Fifty Fifty</c:v>
                </c:pt>
                <c:pt idx="95">
                  <c:v>Jasiel Nuï¿½ï¿½ez, Peso P</c:v>
                </c:pt>
                <c:pt idx="96">
                  <c:v>Nat King Cole</c:v>
                </c:pt>
                <c:pt idx="97">
                  <c:v>ThxSoMch</c:v>
                </c:pt>
                <c:pt idx="98">
                  <c:v>Frank Ocean</c:v>
                </c:pt>
                <c:pt idx="99">
                  <c:v>TWICE</c:v>
                </c:pt>
                <c:pt idx="100">
                  <c:v>Nicki Minaj</c:v>
                </c:pt>
                <c:pt idx="101">
                  <c:v>Dr. Dre, Snoop Dogg</c:v>
                </c:pt>
                <c:pt idx="102">
                  <c:v>Nicki Minaj, Lil Baby</c:v>
                </c:pt>
                <c:pt idx="103">
                  <c:v>YEAT</c:v>
                </c:pt>
                <c:pt idx="104">
                  <c:v>Tyga, Doja Cat</c:v>
                </c:pt>
                <c:pt idx="105">
                  <c:v>Rex Orange County</c:v>
                </c:pt>
                <c:pt idx="106">
                  <c:v>Brray, Rauw Alejandro, Lyanno</c:v>
                </c:pt>
                <c:pt idx="107">
                  <c:v>Chris Rea</c:v>
                </c:pt>
                <c:pt idx="108">
                  <c:v>Swae Lee, Lil Wayne, Offset, Metro Boomin</c:v>
                </c:pt>
                <c:pt idx="109">
                  <c:v>Christian Nodal</c:v>
                </c:pt>
                <c:pt idx="110">
                  <c:v>MC Xenon, Os Gemeos da Putaria</c:v>
                </c:pt>
                <c:pt idx="111">
                  <c:v>Chuck Berry</c:v>
                </c:pt>
                <c:pt idx="112">
                  <c:v>Peso Pluma, Grupo Frontera</c:v>
                </c:pt>
                <c:pt idx="113">
                  <c:v>Cigarettes After Sex</c:v>
                </c:pt>
                <c:pt idx="114">
                  <c:v>SEVENTEEN</c:v>
                </c:pt>
                <c:pt idx="115">
                  <c:v>Ckay</c:v>
                </c:pt>
                <c:pt idx="116">
                  <c:v>The Weeknd, Lana Del Rey</c:v>
                </c:pt>
                <c:pt idx="117">
                  <c:v>Ckay, AX'EL, Dj Yo!</c:v>
                </c:pt>
                <c:pt idx="118">
                  <c:v>Maria Becerra</c:v>
                </c:pt>
                <c:pt idx="119">
                  <c:v>Coi Leray</c:v>
                </c:pt>
                <c:pt idx="120">
                  <c:v>Musical Youth</c:v>
                </c:pt>
                <c:pt idx="121">
                  <c:v>Anggi Marito</c:v>
                </c:pt>
                <c:pt idx="122">
                  <c:v>One Direction</c:v>
                </c:pt>
                <c:pt idx="123">
                  <c:v>Coldplay, BTS</c:v>
                </c:pt>
                <c:pt idx="124">
                  <c:v>Prezioso, Gabry Ponte, LUM!X</c:v>
                </c:pt>
                <c:pt idx="125">
                  <c:v>Conan Gray</c:v>
                </c:pt>
                <c:pt idx="126">
                  <c:v>Sachin-Jigar, Shadab Faridi, Altamash Faridi, Amitabh Bhattacharya, Varun Jain</c:v>
                </c:pt>
                <c:pt idx="127">
                  <c:v>Coolio, L.V.</c:v>
                </c:pt>
                <c:pt idx="128">
                  <c:v>Snoop Dogg, BTS, Benny Blanco</c:v>
                </c:pt>
                <c:pt idx="129">
                  <c:v>Creedence Clearwater Revival</c:v>
                </c:pt>
                <c:pt idx="130">
                  <c:v>THE ANXIETY, Willow, Tyler Cole</c:v>
                </c:pt>
                <c:pt idx="131">
                  <c:v>Cris Mj</c:v>
                </c:pt>
                <c:pt idx="132">
                  <c:v>TOMORROW X TOGETHER</c:v>
                </c:pt>
                <c:pt idx="133">
                  <c:v>Anitta</c:v>
                </c:pt>
                <c:pt idx="134">
                  <c:v>Yahritza Y Su Esencia</c:v>
                </c:pt>
                <c:pt idx="135">
                  <c:v>Anitta, Tini, Becky G</c:v>
                </c:pt>
                <c:pt idx="136">
                  <c:v>Masked Wolf</c:v>
                </c:pt>
                <c:pt idx="137">
                  <c:v>AnnenMayKantereit, Giant Rooks</c:v>
                </c:pt>
                <c:pt idx="138">
                  <c:v>Migrantes, LiL CaKe, Nico Valdi</c:v>
                </c:pt>
                <c:pt idx="139">
                  <c:v>Danny Ocean</c:v>
                </c:pt>
                <c:pt idx="140">
                  <c:v>NEIKED, Mae Muller, Polo G</c:v>
                </c:pt>
                <c:pt idx="141">
                  <c:v>Darlene Love</c:v>
                </c:pt>
                <c:pt idx="142">
                  <c:v>Ak4:20, Cris Mj, Pailita</c:v>
                </c:pt>
                <c:pt idx="143">
                  <c:v>Dave</c:v>
                </c:pt>
                <c:pt idx="144">
                  <c:v>P!nk</c:v>
                </c:pt>
                <c:pt idx="145">
                  <c:v>Dave, Central Cee</c:v>
                </c:pt>
                <c:pt idx="146">
                  <c:v>Playboi Carti</c:v>
                </c:pt>
                <c:pt idx="147">
                  <c:v>David Guetta, Anne-Marie, Coi Leray</c:v>
                </c:pt>
                <c:pt idx="148">
                  <c:v>Raim Laode</c:v>
                </c:pt>
                <c:pt idx="149">
                  <c:v>David Guetta, Ella Henderson, Becky Hill</c:v>
                </c:pt>
                <c:pt idx="150">
                  <c:v>RM, Colde</c:v>
                </c:pt>
                <c:pt idx="151">
                  <c:v>David Guetta, Shakira, Black Eyed Peas</c:v>
                </c:pt>
                <c:pt idx="152">
                  <c:v>Sean Paul, Dua Lipa</c:v>
                </c:pt>
                <c:pt idx="153">
                  <c:v>Anuel Aa, Jhay Cortez</c:v>
                </c:pt>
                <c:pt idx="154">
                  <c:v>Shubh</c:v>
                </c:pt>
                <c:pt idx="155">
                  <c:v>De La Ghetto, Duki, Quevedo</c:v>
                </c:pt>
                <c:pt idx="156">
                  <c:v>Steve Aoki, Tini, La Joaqui</c:v>
                </c:pt>
                <c:pt idx="157">
                  <c:v>De La Ghetto, Feid, Polima WestCoast, Paloma Mami, Pailita</c:v>
                </c:pt>
                <c:pt idx="158">
                  <c:v>Tainy, Bad Bunny</c:v>
                </c:pt>
                <c:pt idx="159">
                  <c:v>Dean Lewis</c:v>
                </c:pt>
                <c:pt idx="160">
                  <c:v>The Rare Occasions</c:v>
                </c:pt>
                <c:pt idx="161">
                  <c:v>Dean Martin</c:v>
                </c:pt>
                <c:pt idx="162">
                  <c:v>Tiï¿½ï¿</c:v>
                </c:pt>
                <c:pt idx="163">
                  <c:v>Demi Lovato</c:v>
                </c:pt>
                <c:pt idx="164">
                  <c:v>Treyce</c:v>
                </c:pt>
                <c:pt idx="165">
                  <c:v>dennis, MC Kevin o Chris</c:v>
                </c:pt>
                <c:pt idx="166">
                  <c:v>Vishal-Shekhar, Shilpa Rao, Caralisa Monteiro, Kumaar, Vishal Dadlani, Shekhar Ravjiani</c:v>
                </c:pt>
                <c:pt idx="167">
                  <c:v>DJ Escobar, MC MENOR SG, MC MENOR HR</c:v>
                </c:pt>
                <c:pt idx="168">
                  <c:v>Marï¿½ï¿½lia Mendo</c:v>
                </c:pt>
                <c:pt idx="169">
                  <c:v>Dj LK da Escï¿½ï¿½cia, Tchakabum, mc jhenny, M</c:v>
                </c:pt>
                <c:pt idx="170">
                  <c:v>Marshmello, Jonas Brothers</c:v>
                </c:pt>
                <c:pt idx="171">
                  <c:v>Doechii</c:v>
                </c:pt>
                <c:pt idx="172">
                  <c:v>Mc Pedrinho, DJ 900</c:v>
                </c:pt>
                <c:pt idx="173">
                  <c:v>Anuel Aa, Myke Towers, Jhay Cortez</c:v>
                </c:pt>
                <c:pt idx="174">
                  <c:v>Metallica</c:v>
                </c:pt>
                <c:pt idx="175">
                  <c:v>Doja Cat, The Weeknd</c:v>
                </c:pt>
                <c:pt idx="176">
                  <c:v>BoyWithUke</c:v>
                </c:pt>
                <c:pt idx="177">
                  <c:v>Don Omar, Lucenzo</c:v>
                </c:pt>
                <c:pt idx="178">
                  <c:v>Natanael Cano</c:v>
                </c:pt>
                <c:pt idx="179">
                  <c:v>Don Toliver, Future, Justin Bieber</c:v>
                </c:pt>
                <c:pt idx="180">
                  <c:v>New West</c:v>
                </c:pt>
                <c:pt idx="181">
                  <c:v>Dove Cameron</c:v>
                </c:pt>
                <c:pt idx="182">
                  <c:v>Nicky Jam, Feid</c:v>
                </c:pt>
                <c:pt idx="183">
                  <c:v>Dr. Dre, 2Pac, Roger</c:v>
                </c:pt>
                <c:pt idx="184">
                  <c:v>Olga Merediz, Stephanie Beatriz, Encanto - Cast</c:v>
                </c:pt>
                <c:pt idx="185">
                  <c:v>Arcangel, Bad Bunny</c:v>
                </c:pt>
                <c:pt idx="186">
                  <c:v>Oxlade</c:v>
                </c:pt>
                <c:pt idx="187">
                  <c:v>Arcangel, Bizarrap</c:v>
                </c:pt>
                <c:pt idx="188">
                  <c:v>Burl Ives</c:v>
                </c:pt>
                <c:pt idx="189">
                  <c:v>Arcangel, De La Ghetto, Justin Quiles, Lenny Tavï¿½ï¿½rez, Sech, Dalex, Dimelo Flow, Rich Music</c:v>
                </c:pt>
                <c:pt idx="190">
                  <c:v>Pharrell Williams, Tyler, The Creator, 21 Savage</c:v>
                </c:pt>
                <c:pt idx="191">
                  <c:v>Drake, DJ Khaled, Lil Baby</c:v>
                </c:pt>
                <c:pt idx="192">
                  <c:v>Buscabulla, Bad Bunny</c:v>
                </c:pt>
                <c:pt idx="193">
                  <c:v>Drake, Future, Tems</c:v>
                </c:pt>
                <c:pt idx="194">
                  <c:v>BYOR, Imanbek</c:v>
                </c:pt>
                <c:pt idx="195">
                  <c:v>Drake, Future, Young Thug</c:v>
                </c:pt>
                <c:pt idx="196">
                  <c:v>Ray Dalton, Ryan Lewis, Macklemore</c:v>
                </c:pt>
                <c:pt idx="197">
                  <c:v>Drake, Project Pat, 21 Savage</c:v>
                </c:pt>
                <c:pt idx="198">
                  <c:v>Rihanna</c:v>
                </c:pt>
                <c:pt idx="199">
                  <c:v>Drake, Travis Scott</c:v>
                </c:pt>
                <c:pt idx="200">
                  <c:v>Calvin Harris, Halsey, Pharrell Williams, Justin Timberlake</c:v>
                </c:pt>
                <c:pt idx="201">
                  <c:v>Drake, Travis Scott, 21 Savage</c:v>
                </c:pt>
                <c:pt idx="202">
                  <c:v>Sam Smith, Calvin Harris, Jessie Reyez</c:v>
                </c:pt>
                <c:pt idx="203">
                  <c:v>Drake, WizKid, Kyla</c:v>
                </c:pt>
                <c:pt idx="204">
                  <c:v>Sech, Bad Bunny, Mora</c:v>
                </c:pt>
                <c:pt idx="205">
                  <c:v>24kgoldn, Iann Dior</c:v>
                </c:pt>
                <c:pt idx="206">
                  <c:v>Shakira, Bizarrap</c:v>
                </c:pt>
                <c:pt idx="207">
                  <c:v>Dua Lipa, DaBaby</c:v>
                </c:pt>
                <c:pt idx="208">
                  <c:v>Simone Mendes</c:v>
                </c:pt>
                <c:pt idx="209">
                  <c:v>Dua Lipa, Elton John, Pnau</c:v>
                </c:pt>
                <c:pt idx="210">
                  <c:v>sped up 8282</c:v>
                </c:pt>
                <c:pt idx="211">
                  <c:v>Dua Lipa, Megan Thee Stallion</c:v>
                </c:pt>
                <c:pt idx="212">
                  <c:v>Styrx, utku INC, Thezth</c:v>
                </c:pt>
                <c:pt idx="213">
                  <c:v>50 Cent</c:v>
                </c:pt>
                <c:pt idx="214">
                  <c:v>SZA, Phoebe Bridgers</c:v>
                </c:pt>
                <c:pt idx="215">
                  <c:v>Duki, NICKI NICOLE, Cris Mj, Standly, Stars Music Chile</c:v>
                </c:pt>
                <c:pt idx="216">
                  <c:v>Taylor Swift, Ice Spice</c:v>
                </c:pt>
                <c:pt idx="217">
                  <c:v>Duncan Laurence</c:v>
                </c:pt>
                <c:pt idx="218">
                  <c:v>Charlie Puth, BTS, Jung Kook</c:v>
                </c:pt>
                <c:pt idx="219">
                  <c:v>A$AP Rocky, Metro Boomin, Roisee</c:v>
                </c:pt>
                <c:pt idx="220">
                  <c:v>The Weeknd, 21 Savage, Metro Boomin</c:v>
                </c:pt>
                <c:pt idx="221">
                  <c:v>Ed Sheeran, Elton John</c:v>
                </c:pt>
                <c:pt idx="222">
                  <c:v>The Weeknd, ROSALï¿½</c:v>
                </c:pt>
                <c:pt idx="223">
                  <c:v>Ed Sheeran, Fireboy DML</c:v>
                </c:pt>
                <c:pt idx="224">
                  <c:v>Tini</c:v>
                </c:pt>
                <c:pt idx="225">
                  <c:v>Ed Sheeran, J Balvin</c:v>
                </c:pt>
                <c:pt idx="226">
                  <c:v>Travis Scott, 21 Savage, Metro Boomin</c:v>
                </c:pt>
                <c:pt idx="227">
                  <c:v>Ed Sheeran, Taylor Swift</c:v>
                </c:pt>
                <c:pt idx="228">
                  <c:v>Tulus</c:v>
                </c:pt>
                <c:pt idx="229">
                  <c:v>Eden Muï¿½ï</c:v>
                </c:pt>
                <c:pt idx="230">
                  <c:v>V</c:v>
                </c:pt>
                <c:pt idx="231">
                  <c:v>Edison Lighthouse</c:v>
                </c:pt>
                <c:pt idx="232">
                  <c:v>Wisin &amp; Yandel, ROSALï¿½</c:v>
                </c:pt>
                <c:pt idx="233">
                  <c:v>El Chachito, Junior H</c:v>
                </c:pt>
                <c:pt idx="234">
                  <c:v>a-ha</c:v>
                </c:pt>
                <c:pt idx="235">
                  <c:v>Elley Duhï¿</c:v>
                </c:pt>
                <c:pt idx="236">
                  <c:v>Marï¿½ï¿½lia Mendonï¿½ï¿½a, Hugo &amp; G</c:v>
                </c:pt>
                <c:pt idx="237">
                  <c:v>Elton John, Britney Spears</c:v>
                </c:pt>
                <c:pt idx="238">
                  <c:v>Maroon 5</c:v>
                </c:pt>
                <c:pt idx="239">
                  <c:v>Em Beihold</c:v>
                </c:pt>
                <c:pt idx="240">
                  <c:v>Marshmello, Khalid</c:v>
                </c:pt>
                <c:pt idx="241">
                  <c:v>Em Beihold, Stephen Sanchez</c:v>
                </c:pt>
                <c:pt idx="242">
                  <c:v>MC Caverinha, KayBlack</c:v>
                </c:pt>
                <c:pt idx="243">
                  <c:v>Arijit Singh, Sachin-Jigar</c:v>
                </c:pt>
                <c:pt idx="244">
                  <c:v>MC Ryan SP, Love Funk, Mc Paiva ZS</c:v>
                </c:pt>
                <c:pt idx="245">
                  <c:v>Eminem, Dido</c:v>
                </c:pt>
                <c:pt idx="246">
                  <c:v>Melanie Martinez</c:v>
                </c:pt>
                <c:pt idx="247">
                  <c:v>Eminem, Dina Rae</c:v>
                </c:pt>
                <c:pt idx="248">
                  <c:v>BLESSD, Peso Pluma</c:v>
                </c:pt>
                <c:pt idx="249">
                  <c:v>Arijit Singh, Sachin-Jigar, Amitabha Bhattacharya</c:v>
                </c:pt>
                <c:pt idx="250">
                  <c:v>Bomba Estï¿½ï¿½reo, Bad B</c:v>
                </c:pt>
                <c:pt idx="251">
                  <c:v>Eminem, Nate Dogg</c:v>
                </c:pt>
                <c:pt idx="252">
                  <c:v>Mr.Kitty</c:v>
                </c:pt>
                <c:pt idx="253">
                  <c:v>Emmy Meli</c:v>
                </c:pt>
                <c:pt idx="254">
                  <c:v>Myke Towers, Quevedo</c:v>
                </c:pt>
                <c:pt idx="255">
                  <c:v>Arijit Singh, Vishal Dadlani, Sukriti Kakar, Vishal-Shekhar, Shekhar Ravjiani, Kumaar</c:v>
                </c:pt>
                <c:pt idx="256">
                  <c:v>Natanael Cano, Peso Pluma</c:v>
                </c:pt>
                <c:pt idx="257">
                  <c:v>Eslabon Armado, Peso Pluma</c:v>
                </c:pt>
                <c:pt idx="258">
                  <c:v>Nengo Flow, Bad Bunny</c:v>
                </c:pt>
                <c:pt idx="259">
                  <c:v>Farruko</c:v>
                </c:pt>
                <c:pt idx="260">
                  <c:v>NF</c:v>
                </c:pt>
                <c:pt idx="261">
                  <c:v>Armani White</c:v>
                </c:pt>
                <c:pt idx="262">
                  <c:v>Nicki Minaj, Ice Spice</c:v>
                </c:pt>
                <c:pt idx="263">
                  <c:v>Feid, Alejo, Robi</c:v>
                </c:pt>
                <c:pt idx="264">
                  <c:v>NIKI</c:v>
                </c:pt>
                <c:pt idx="265">
                  <c:v>Feid, Mora</c:v>
                </c:pt>
                <c:pt idx="266">
                  <c:v>NMIXX</c:v>
                </c:pt>
                <c:pt idx="267">
                  <c:v>Feid, Mora, Saiko, Quevedo</c:v>
                </c:pt>
                <c:pt idx="268">
                  <c:v>Alec Benjamin</c:v>
                </c:pt>
                <c:pt idx="269">
                  <c:v>Feid, Myke Towers, Sky Rompiendo</c:v>
                </c:pt>
                <c:pt idx="270">
                  <c:v>Oscar Maydon, Junior H</c:v>
                </c:pt>
                <c:pt idx="271">
                  <c:v>Feid, Paulo Londra</c:v>
                </c:pt>
                <c:pt idx="272">
                  <c:v>Ozuna, Shakira</c:v>
                </c:pt>
                <c:pt idx="273">
                  <c:v>Feid, Sech, Jhayco</c:v>
                </c:pt>
                <c:pt idx="274">
                  <c:v>Panic! At The Disco</c:v>
                </c:pt>
                <c:pt idx="275">
                  <c:v>Feid, Young Miko</c:v>
                </c:pt>
                <c:pt idx="276">
                  <c:v>Perry Como, The Fontane Sisters, Mitchell Ayres &amp; His Orchestra</c:v>
                </c:pt>
                <c:pt idx="277">
                  <c:v>Aventura, Bad Bunny</c:v>
                </c:pt>
                <c:pt idx="278">
                  <c:v>Peso Pluma, Yng Lvcas</c:v>
                </c:pt>
                <c:pt idx="279">
                  <c:v>Fran C, Polima WestCoast, Nickoog Clk, Pablito Pesadilla</c:v>
                </c:pt>
                <c:pt idx="280">
                  <c:v>PinkPantheress, Ice Spice</c:v>
                </c:pt>
                <c:pt idx="281">
                  <c:v>Abhijay Sharma, Riar Saab</c:v>
                </c:pt>
                <c:pt idx="282">
                  <c:v>Polima WestCoast, Pailita</c:v>
                </c:pt>
                <c:pt idx="283">
                  <c:v>Frank Sinatra</c:v>
                </c:pt>
                <c:pt idx="284">
                  <c:v>Post Malone, Roddy Ricch</c:v>
                </c:pt>
                <c:pt idx="285">
                  <c:v>Frank Sinatra, B. Swanson Quartet</c:v>
                </c:pt>
                <c:pt idx="286">
                  <c:v>PSY, Suga</c:v>
                </c:pt>
                <c:pt idx="287">
                  <c:v>Freddie Dredd</c:v>
                </c:pt>
                <c:pt idx="288">
                  <c:v>Quevedo, La Pantera, Juseph, Cruz Cafunï¿½ï¿½, Bï¿½ï¿½jo, Abhir Hathi</c:v>
                </c:pt>
                <c:pt idx="289">
                  <c:v>Ayparia, unxbected</c:v>
                </c:pt>
                <c:pt idx="290">
                  <c:v>Calvin Harris, Dua Lipa</c:v>
                </c:pt>
                <c:pt idx="291">
                  <c:v>Fuerza Regida, Chino Pacas</c:v>
                </c:pt>
                <c:pt idx="292">
                  <c:v>Rels B</c:v>
                </c:pt>
                <c:pt idx="293">
                  <c:v>Fuerza Regida, Grupo Frontera</c:v>
                </c:pt>
                <c:pt idx="294">
                  <c:v>Rï¿½ï¿½ma, Selena G</c:v>
                </c:pt>
                <c:pt idx="295">
                  <c:v>Fuerza Regida, Natanael Cano</c:v>
                </c:pt>
                <c:pt idx="296">
                  <c:v>Riton, Nightcrawlers, Mufasa &amp; Hypeman, Dopamine</c:v>
                </c:pt>
                <c:pt idx="297">
                  <c:v>Fuerza Regida, Peso Pluma</c:v>
                </c:pt>
                <c:pt idx="298">
                  <c:v>Calvin Harris, Ellie Goulding</c:v>
                </c:pt>
                <c:pt idx="299">
                  <c:v>Fujii Kaze</c:v>
                </c:pt>
                <c:pt idx="300">
                  <c:v>Camila Cabello, Ed Sheeran</c:v>
                </c:pt>
                <c:pt idx="301">
                  <c:v>Baby Rasta, Rauw Alejandro</c:v>
                </c:pt>
                <c:pt idx="302">
                  <c:v>Sam Ryder</c:v>
                </c:pt>
                <c:pt idx="303">
                  <c:v>Future, Chris Brown, Metro Boomin</c:v>
                </c:pt>
                <c:pt idx="304">
                  <c:v>Schï¿½ï¿½rze, DJ R</c:v>
                </c:pt>
                <c:pt idx="305">
                  <c:v>Future, Lil Uzi Vert, Metro Boomin</c:v>
                </c:pt>
                <c:pt idx="306">
                  <c:v>Camila Cabello, Willow</c:v>
                </c:pt>
                <c:pt idx="307">
                  <c:v>Future, Metro Boomin, Don Toliver</c:v>
                </c:pt>
                <c:pt idx="308">
                  <c:v>Selena Gomez</c:v>
                </c:pt>
                <c:pt idx="309">
                  <c:v>Gabito Ballesteros, Junior H, Peso Pluma</c:v>
                </c:pt>
                <c:pt idx="310">
                  <c:v>Shakin' Stevens</c:v>
                </c:pt>
                <c:pt idx="311">
                  <c:v>Gayle</c:v>
                </c:pt>
                <c:pt idx="312">
                  <c:v>Carin Leon</c:v>
                </c:pt>
                <c:pt idx="313">
                  <c:v>Ghost</c:v>
                </c:pt>
                <c:pt idx="314">
                  <c:v>Sidhu Moose Wala</c:v>
                </c:pt>
                <c:pt idx="315">
                  <c:v>girl in red</c:v>
                </c:pt>
                <c:pt idx="316">
                  <c:v>Sleepy hallow</c:v>
                </c:pt>
                <c:pt idx="317">
                  <c:v>Giveon</c:v>
                </c:pt>
                <c:pt idx="318">
                  <c:v>Sog, Ryan Castro, Peso Pluma</c:v>
                </c:pt>
                <c:pt idx="319">
                  <c:v>Glass Animals</c:v>
                </c:pt>
                <c:pt idx="320">
                  <c:v>Stephanie Beatriz, Diane Guerrero</c:v>
                </c:pt>
                <c:pt idx="321">
                  <c:v>GODZZ__-, Zakaria</c:v>
                </c:pt>
                <c:pt idx="322">
                  <c:v>Ana Castela, AgroPlay</c:v>
                </c:pt>
                <c:pt idx="323">
                  <c:v>Gorillaz, Bad Bunny</c:v>
                </c:pt>
                <c:pt idx="324">
                  <c:v>Surf Curse</c:v>
                </c:pt>
                <c:pt idx="325">
                  <c:v>Gotye, Kimbra</c:v>
                </c:pt>
                <c:pt idx="326">
                  <c:v>SZA, Doja Cat</c:v>
                </c:pt>
                <c:pt idx="327">
                  <c:v>Grupo Frontera</c:v>
                </c:pt>
                <c:pt idx="328">
                  <c:v>TAEYANG, Jimin</c:v>
                </c:pt>
                <c:pt idx="329">
                  <c:v>Grupo Marca Registrada, Grupo Frontera</c:v>
                </c:pt>
                <c:pt idx="330">
                  <c:v>Charli XCX, Jax Jones, Joel Corry, Saweetie</c:v>
                </c:pt>
                <c:pt idx="331">
                  <c:v>Grupo Marca Registrada, Junior H</c:v>
                </c:pt>
                <c:pt idx="332">
                  <c:v>Tears For Fears</c:v>
                </c:pt>
                <c:pt idx="333">
                  <c:v>Gunna</c:v>
                </c:pt>
                <c:pt idx="334">
                  <c:v>The Chainsmokers, Halsey</c:v>
                </c:pt>
                <c:pt idx="335">
                  <c:v>Gunna, Lil Baby</c:v>
                </c:pt>
                <c:pt idx="336">
                  <c:v>Chase Atlantic</c:v>
                </c:pt>
                <c:pt idx="337">
                  <c:v>Guns N' Roses</c:v>
                </c:pt>
                <c:pt idx="338">
                  <c:v>The Walters</c:v>
                </c:pt>
                <c:pt idx="339">
                  <c:v>Gustavo Mioto, Mari Fernandez</c:v>
                </c:pt>
                <c:pt idx="340">
                  <c:v>The Weeknd, Future</c:v>
                </c:pt>
                <c:pt idx="341">
                  <c:v>Gwen Stefani, Blake Shelton</c:v>
                </c:pt>
                <c:pt idx="342">
                  <c:v>The Weeknd, Madonna, Playboi Carti</c:v>
                </c:pt>
                <c:pt idx="343">
                  <c:v>HA SUNG WOON, Jimin</c:v>
                </c:pt>
                <c:pt idx="344">
                  <c:v>The Weeknd, Tyler, The Creator</c:v>
                </c:pt>
                <c:pt idx="345">
                  <c:v>Halsey</c:v>
                </c:pt>
                <c:pt idx="346">
                  <c:v>Tiï¿½ï¿½sto, Kar</c:v>
                </c:pt>
                <c:pt idx="347">
                  <c:v>Halsey, BTS</c:v>
                </c:pt>
                <c:pt idx="348">
                  <c:v>Tini, Maria Becerra</c:v>
                </c:pt>
                <c:pt idx="349">
                  <c:v>Halsey, Suga</c:v>
                </c:pt>
                <c:pt idx="350">
                  <c:v>Tony Dize, Bad Bunny</c:v>
                </c:pt>
                <c:pt idx="351">
                  <c:v>Baby Tate</c:v>
                </c:pt>
                <c:pt idx="352">
                  <c:v>Travis Scott, Young Thug, Metro Boomin</c:v>
                </c:pt>
                <c:pt idx="353">
                  <c:v>Adassa, Mauro Castillo, Stephanie Beatriz, Encanto - Cast, Rhenzy Feliz, Diane Guerrero, Carolina Gaitan</c:v>
                </c:pt>
                <c:pt idx="354">
                  <c:v>Trueno</c:v>
                </c:pt>
                <c:pt idx="355">
                  <c:v>Hozier</c:v>
                </c:pt>
                <c:pt idx="356">
                  <c:v>Chino Pacas</c:v>
                </c:pt>
                <c:pt idx="357">
                  <c:v>Bad Bunny, Eladio Carrion</c:v>
                </c:pt>
                <c:pt idx="358">
                  <c:v>Tyler, The Creator, Kali Uchis</c:v>
                </c:pt>
                <c:pt idx="359">
                  <c:v>Imagine Dragons, League of Legends, Arcane</c:v>
                </c:pt>
                <c:pt idx="360">
                  <c:v>Veigh, Bvga Beatz, Supernova Ent, Prod Malax</c:v>
                </c:pt>
                <c:pt idx="361">
                  <c:v>Imagine Dragons, League of Legends, JID, Arcane</c:v>
                </c:pt>
                <c:pt idx="362">
                  <c:v>Wham!</c:v>
                </c:pt>
                <c:pt idx="363">
                  <c:v>Intense, AP Dhillon, Gurinder Gill</c:v>
                </c:pt>
                <c:pt idx="364">
                  <c:v>Xamï¿½ï¿½, Gustah, Neo B</c:v>
                </c:pt>
                <c:pt idx="365">
                  <c:v>Interplanetary Criminal, Eliza Rose</c:v>
                </c:pt>
                <c:pt idx="366">
                  <c:v>Chris Molitor</c:v>
                </c:pt>
                <c:pt idx="367">
                  <c:v>INTERWORLD</c:v>
                </c:pt>
                <c:pt idx="368">
                  <c:v>Manuel Turizo</c:v>
                </c:pt>
                <c:pt idx="369">
                  <c:v>Israel &amp; Rodolffo, Ana Castela</c:v>
                </c:pt>
                <c:pt idx="370">
                  <c:v>Marï¿½ï¿½lia Mendonï¿½ï¿½a, George Henrique &amp;</c:v>
                </c:pt>
                <c:pt idx="371">
                  <c:v>Israel &amp; Rodolffo, Mari Fernandez</c:v>
                </c:pt>
                <c:pt idx="372">
                  <c:v>Marï¿½ï¿½lia Mendonï¿½ï¿½a, Maiara &amp;</c:v>
                </c:pt>
                <c:pt idx="373">
                  <c:v>IU, Agust D</c:v>
                </c:pt>
                <c:pt idx="374">
                  <c:v>Mariah Carey</c:v>
                </c:pt>
                <c:pt idx="375">
                  <c:v>Bad Bunny, Grupo Frontera</c:v>
                </c:pt>
                <c:pt idx="376">
                  <c:v>Maroon 5, Wiz Khalifa</c:v>
                </c:pt>
                <c:pt idx="377">
                  <c:v>J Balvin, Bad Bunny</c:v>
                </c:pt>
                <c:pt idx="378">
                  <c:v>Marshmello, Juice WRLD</c:v>
                </c:pt>
                <c:pt idx="379">
                  <c:v>J Balvin, Maria Becerra</c:v>
                </c:pt>
                <c:pt idx="380">
                  <c:v>Marshmello, Manuel Turizo</c:v>
                </c:pt>
                <c:pt idx="381">
                  <c:v>J Balvin, Nio Garcia, Bad Bunny</c:v>
                </c:pt>
                <c:pt idx="382">
                  <c:v>Matuï¿½ï¿½, Wiu, </c:v>
                </c:pt>
                <c:pt idx="383">
                  <c:v>J. Cole</c:v>
                </c:pt>
                <c:pt idx="384">
                  <c:v>Mc Livinho, DJ Matt D</c:v>
                </c:pt>
                <c:pt idx="385">
                  <c:v>J. Cole, Lil Durk</c:v>
                </c:pt>
                <c:pt idx="386">
                  <c:v>Mc Pedrinho, Pedro Sampaio</c:v>
                </c:pt>
                <c:pt idx="387">
                  <c:v>Jack Black</c:v>
                </c:pt>
                <c:pt idx="388">
                  <c:v>Mc Vitin Da Igrejinha, MC Tairon, DJ Win</c:v>
                </c:pt>
                <c:pt idx="389">
                  <c:v>21 Savage, Gunna</c:v>
                </c:pt>
                <c:pt idx="390">
                  <c:v>Meghan Trainor</c:v>
                </c:pt>
                <c:pt idx="391">
                  <c:v>Jack Harlow, Lil Nas X</c:v>
                </c:pt>
                <c:pt idx="392">
                  <c:v>Melody, Ana Castela, Dj Chris No Beat</c:v>
                </c:pt>
                <c:pt idx="393">
                  <c:v>Jain</c:v>
                </c:pt>
                <c:pt idx="394">
                  <c:v>Metro Boomin, Coi Leray</c:v>
                </c:pt>
                <c:pt idx="395">
                  <c:v>Bad Bunny, Rauw Alejandro</c:v>
                </c:pt>
                <c:pt idx="396">
                  <c:v>Bobby Helms</c:v>
                </c:pt>
                <c:pt idx="397">
                  <c:v>James Blake, Metro Boomin</c:v>
                </c:pt>
                <c:pt idx="398">
                  <c:v>Miguel</c:v>
                </c:pt>
                <c:pt idx="399">
                  <c:v>James Hype, Miggy Dela Rosa</c:v>
                </c:pt>
                <c:pt idx="400">
                  <c:v>MNEK, Jax Jones</c:v>
                </c:pt>
                <c:pt idx="401">
                  <c:v>Bad Bunny, Tainy</c:v>
                </c:pt>
                <c:pt idx="402">
                  <c:v>Morgan Wallen, Eric Church</c:v>
                </c:pt>
                <c:pt idx="403">
                  <c:v>Jason Derulo</c:v>
                </c:pt>
                <c:pt idx="404">
                  <c:v>Muni Long</c:v>
                </c:pt>
                <c:pt idx="405">
                  <c:v>Jaymes Young</c:v>
                </c:pt>
                <c:pt idx="406">
                  <c:v>Myke Towers</c:v>
                </c:pt>
                <c:pt idx="407">
                  <c:v>Jessi</c:v>
                </c:pt>
                <c:pt idx="408">
                  <c:v>Brenda Lee</c:v>
                </c:pt>
                <c:pt idx="409">
                  <c:v>Jessica Darrow</c:v>
                </c:pt>
                <c:pt idx="410">
                  <c:v>Natanael Cano, Gabito Ballesteros, Peso Pluma</c:v>
                </c:pt>
                <c:pt idx="411">
                  <c:v>j-hope</c:v>
                </c:pt>
                <c:pt idx="412">
                  <c:v>Nayeon</c:v>
                </c:pt>
                <c:pt idx="413">
                  <c:v>j-hope, J. Cole</c:v>
                </c:pt>
                <c:pt idx="414">
                  <c:v>Nengo Flow, Anuel Aa, Chris Jedi, Chencho Corleone</c:v>
                </c:pt>
                <c:pt idx="415">
                  <c:v>Bad Bunny, The Marï¿½ï</c:v>
                </c:pt>
                <c:pt idx="416">
                  <c:v>Nessa Barrett</c:v>
                </c:pt>
                <c:pt idx="417">
                  <c:v>Jin</c:v>
                </c:pt>
                <c:pt idx="418">
                  <c:v>Britney Spears</c:v>
                </c:pt>
                <c:pt idx="419">
                  <c:v>JISOO</c:v>
                </c:pt>
                <c:pt idx="420">
                  <c:v>Niall Horan</c:v>
                </c:pt>
                <c:pt idx="421">
                  <c:v>Jnr Choi</c:v>
                </c:pt>
                <c:pt idx="422">
                  <c:v>Nicki Minaj, Aqua, Ice Spice</c:v>
                </c:pt>
                <c:pt idx="423">
                  <c:v>John Legend</c:v>
                </c:pt>
                <c:pt idx="424">
                  <c:v>Aitana, zzoilo</c:v>
                </c:pt>
                <c:pt idx="425">
                  <c:v>John Legend, Metro Boomin</c:v>
                </c:pt>
                <c:pt idx="426">
                  <c:v>Nicky Youre, Dazy</c:v>
                </c:pt>
                <c:pt idx="427">
                  <c:v>John Lennon, The Harlem Community Choir, The Plastic Ono Band, Yoko Ono</c:v>
                </c:pt>
                <c:pt idx="428">
                  <c:v>Nile Rodgers, LE SSERAFIM</c:v>
                </c:pt>
                <c:pt idx="429">
                  <c:v>Band Aid</c:v>
                </c:pt>
                <c:pt idx="430">
                  <c:v>NLE Choppa</c:v>
                </c:pt>
                <c:pt idx="431">
                  <c:v>Jordan Fisher, Josh Levi, Finneas O'Connell, 4*TOWN (From Disney and Pixarï¿½ï¿½ï¿½s Turning Red), Topher Ngo, Grayson Vill</c:v>
                </c:pt>
                <c:pt idx="432">
                  <c:v>Offset, JID</c:v>
                </c:pt>
                <c:pt idx="433">
                  <c:v>Josï¿½ï¿½ Felic</c:v>
                </c:pt>
                <c:pt idx="434">
                  <c:v>Oliver Tree</c:v>
                </c:pt>
                <c:pt idx="435">
                  <c:v>Juan Cruz Toledo, Huilen Toledo</c:v>
                </c:pt>
                <c:pt idx="436">
                  <c:v>Omar Apollo</c:v>
                </c:pt>
                <c:pt idx="437">
                  <c:v>Beach House</c:v>
                </c:pt>
                <c:pt idx="438">
                  <c:v>BTS, Jung Kook, FIFA Sound</c:v>
                </c:pt>
                <c:pt idx="439">
                  <c:v>Julieta Venegas, Bad Bunny, Tainy</c:v>
                </c:pt>
                <c:pt idx="440">
                  <c:v>Ovy On The Drums, Quevedo</c:v>
                </c:pt>
                <c:pt idx="441">
                  <c:v>Beach Weather</c:v>
                </c:pt>
                <c:pt idx="442">
                  <c:v>Ozuna, Feid</c:v>
                </c:pt>
                <c:pt idx="443">
                  <c:v>Junior H, Eden Muï¿½ï</c:v>
                </c:pt>
                <c:pt idx="444">
                  <c:v>Ozuna, Tiago pzk</c:v>
                </c:pt>
                <c:pt idx="445">
                  <c:v>Bebe Rexha, David Guetta</c:v>
                </c:pt>
                <c:pt idx="446">
                  <c:v>Paloma Faith</c:v>
                </c:pt>
                <c:pt idx="447">
                  <c:v>Becky G, Peso Pluma</c:v>
                </c:pt>
                <c:pt idx="448">
                  <c:v>Paul McCartney</c:v>
                </c:pt>
                <c:pt idx="449">
                  <c:v>Justin Bieber, Daniel Caesar, Giveon</c:v>
                </c:pt>
                <c:pt idx="450">
                  <c:v>Peggy Gou</c:v>
                </c:pt>
                <c:pt idx="451">
                  <c:v>Justin Bieber, Don Toliver</c:v>
                </c:pt>
                <c:pt idx="452">
                  <c:v>Alvaro Diaz, Rauw Alejandro</c:v>
                </c:pt>
                <c:pt idx="453">
                  <c:v>Justin Bieber, The Kid Laroi</c:v>
                </c:pt>
                <c:pt idx="454">
                  <c:v>Peso Pluma, Luis R Conriquez</c:v>
                </c:pt>
                <c:pt idx="455">
                  <c:v>Justin Quiles, Lenny Tavï¿½ï¿½rez, BL</c:v>
                </c:pt>
                <c:pt idx="456">
                  <c:v>Pharrell Williams, Nile Rodgers, Daft Punk</c:v>
                </c:pt>
                <c:pt idx="457">
                  <c:v>Bellakath</c:v>
                </c:pt>
                <c:pt idx="458">
                  <c:v>PinkPantheress</c:v>
                </c:pt>
                <c:pt idx="459">
                  <c:v>Kaifi Khalil</c:v>
                </c:pt>
                <c:pt idx="460">
                  <c:v>Plan B</c:v>
                </c:pt>
                <c:pt idx="461">
                  <c:v>Kali Uchis</c:v>
                </c:pt>
                <c:pt idx="462">
                  <c:v>PnB Rock</c:v>
                </c:pt>
                <c:pt idx="463">
                  <c:v>Kali Uchis, Amaarae, Moliy</c:v>
                </c:pt>
                <c:pt idx="464">
                  <c:v>Polo G</c:v>
                </c:pt>
                <c:pt idx="465">
                  <c:v>Kaliii, Kaliii</c:v>
                </c:pt>
                <c:pt idx="466">
                  <c:v>Post Malone, Doja Cat</c:v>
                </c:pt>
                <c:pt idx="467">
                  <c:v>KALUSH</c:v>
                </c:pt>
                <c:pt idx="468">
                  <c:v>Post Malone, Swae Lee</c:v>
                </c:pt>
                <c:pt idx="469">
                  <c:v>Kanii, PR1ISVX</c:v>
                </c:pt>
                <c:pt idx="470">
                  <c:v>Pritam, Arijit Singh, Amitabh Bhattacharya</c:v>
                </c:pt>
                <c:pt idx="471">
                  <c:v>Benson Boone</c:v>
                </c:pt>
                <c:pt idx="472">
                  <c:v>Queen</c:v>
                </c:pt>
                <c:pt idx="473">
                  <c:v>Kanye West, Alicia Keys, Fivio Foreign</c:v>
                </c:pt>
                <c:pt idx="474">
                  <c:v>Quevedo, Jhayco</c:v>
                </c:pt>
                <c:pt idx="475">
                  <c:v>Kanye West, Lil Durk, Cardi B</c:v>
                </c:pt>
                <c:pt idx="476">
                  <c:v>Radiohead</c:v>
                </c:pt>
                <c:pt idx="477">
                  <c:v>Kanye West, XXXTENTACION</c:v>
                </c:pt>
                <c:pt idx="478">
                  <c:v>C. Tangana</c:v>
                </c:pt>
                <c:pt idx="479">
                  <c:v>Aerosmith</c:v>
                </c:pt>
                <c:pt idx="480">
                  <c:v>Rauw Alejandro, ROSALï¿½</c:v>
                </c:pt>
                <c:pt idx="481">
                  <c:v>Karol G, Becky G</c:v>
                </c:pt>
                <c:pt idx="482">
                  <c:v>Calvin Harris, Dua Lipa, Young Thug</c:v>
                </c:pt>
                <c:pt idx="483">
                  <c:v>Karol G, Ovy On The Drums</c:v>
                </c:pt>
                <c:pt idx="484">
                  <c:v>Residente, Bizarrap</c:v>
                </c:pt>
                <c:pt idx="485">
                  <c:v>Karol G, Quevedo</c:v>
                </c:pt>
                <c:pt idx="486">
                  <c:v>Rï¿½ï</c:v>
                </c:pt>
                <c:pt idx="487">
                  <c:v>Karol G, Romeo Santos</c:v>
                </c:pt>
                <c:pt idx="488">
                  <c:v>Rich The Kid, Matuï¿</c:v>
                </c:pt>
                <c:pt idx="489">
                  <c:v>Karol G, Shakira</c:v>
                </c:pt>
                <c:pt idx="490">
                  <c:v>Rihanna, Calvin Harris</c:v>
                </c:pt>
                <c:pt idx="491">
                  <c:v>Kate Bush</c:v>
                </c:pt>
                <c:pt idx="492">
                  <c:v>RM</c:v>
                </c:pt>
                <c:pt idx="493">
                  <c:v>Katy Perry, Alesso</c:v>
                </c:pt>
                <c:pt idx="494">
                  <c:v>Robin Schulz, Oliver Tree</c:v>
                </c:pt>
                <c:pt idx="495">
                  <c:v>Keane</c:v>
                </c:pt>
                <c:pt idx="496">
                  <c:v>Rosa Walton, Hallie Coggins</c:v>
                </c:pt>
                <c:pt idx="497">
                  <c:v>Keisya Levronka</c:v>
                </c:pt>
                <c:pt idx="498">
                  <c:v>Ruth B.</c:v>
                </c:pt>
                <c:pt idx="499">
                  <c:v>Kelly Clarkson</c:v>
                </c:pt>
                <c:pt idx="500">
                  <c:v>Sabrina Carpenter</c:v>
                </c:pt>
                <c:pt idx="501">
                  <c:v>Big One, Duki, Lit Killah, Maria Becerra, FMK, Rusherking, Emilia, Tiago pzk</c:v>
                </c:pt>
                <c:pt idx="502">
                  <c:v>SALES</c:v>
                </c:pt>
                <c:pt idx="503">
                  <c:v>Kendrick Lamar, Baby Keem</c:v>
                </c:pt>
                <c:pt idx="504">
                  <c:v>Sam Smith</c:v>
                </c:pt>
                <c:pt idx="505">
                  <c:v>Kendrick Lamar, Beth Gibbons</c:v>
                </c:pt>
                <c:pt idx="506">
                  <c:v>Sam Smith, Kim Petras</c:v>
                </c:pt>
                <c:pt idx="507">
                  <c:v>Kendrick Lamar, Beyoncï¿</c:v>
                </c:pt>
                <c:pt idx="508">
                  <c:v>Seafret</c:v>
                </c:pt>
                <c:pt idx="509">
                  <c:v>Kendrick Lamar, Blxst, Amanda Reifer</c:v>
                </c:pt>
                <c:pt idx="510">
                  <c:v>Sean Paul, Feid</c:v>
                </c:pt>
                <c:pt idx="511">
                  <c:v>Kendrick Lamar, Ghostface Killah, Summer Walker</c:v>
                </c:pt>
                <c:pt idx="512">
                  <c:v>Sebastian Yatra, Manuel Turizo, Beï¿½ï</c:v>
                </c:pt>
                <c:pt idx="513">
                  <c:v>Kendrick Lamar, Jay Rock</c:v>
                </c:pt>
                <c:pt idx="514">
                  <c:v>Sech, Mora</c:v>
                </c:pt>
                <c:pt idx="515">
                  <c:v>Kendrick Lamar, Kodak Black</c:v>
                </c:pt>
                <c:pt idx="516">
                  <c:v>Semicenk, Doï¿½ï¿½u </c:v>
                </c:pt>
                <c:pt idx="517">
                  <c:v>Kendrick Lamar, Sam Dew, Baby Keem</c:v>
                </c:pt>
                <c:pt idx="518">
                  <c:v>Shae Gill, Ali Sethi</c:v>
                </c:pt>
                <c:pt idx="519">
                  <c:v>Kendrick Lamar, Sampha</c:v>
                </c:pt>
                <c:pt idx="520">
                  <c:v>Shakira</c:v>
                </c:pt>
                <c:pt idx="521">
                  <c:v>Kendrick Lamar, Tanna Leone</c:v>
                </c:pt>
                <c:pt idx="522">
                  <c:v>Shakira, Rauw Alejandro</c:v>
                </c:pt>
                <c:pt idx="523">
                  <c:v>Kendrick Lamar, Taylour Paige</c:v>
                </c:pt>
                <c:pt idx="524">
                  <c:v>Shawn Mendes, Camila Cabello</c:v>
                </c:pt>
                <c:pt idx="525">
                  <c:v>Kenia OS</c:v>
                </c:pt>
                <c:pt idx="526">
                  <c:v>Carin Leon, Grupo Frontera</c:v>
                </c:pt>
                <c:pt idx="527">
                  <c:v>Kenshi Yonezu</c:v>
                </c:pt>
                <c:pt idx="528">
                  <c:v>SiM</c:v>
                </c:pt>
                <c:pt idx="529">
                  <c:v>Big One, FMK, Ke personajes</c:v>
                </c:pt>
                <c:pt idx="530">
                  <c:v>Skrillex, Flowdan, Fred again..</c:v>
                </c:pt>
                <c:pt idx="531">
                  <c:v>Yng Lvcas</c:v>
                </c:pt>
                <c:pt idx="532">
                  <c:v>Sleepy hallow, 347aidan</c:v>
                </c:pt>
                <c:pt idx="533">
                  <c:v>Young Thug, Future, Gunna</c:v>
                </c:pt>
                <c:pt idx="534">
                  <c:v>Sofia Carson</c:v>
                </c:pt>
                <c:pt idx="535">
                  <c:v>Yung Lean</c:v>
                </c:pt>
                <c:pt idx="536">
                  <c:v>Southstar</c:v>
                </c:pt>
                <c:pt idx="537">
                  <c:v>Zach Bryan</c:v>
                </c:pt>
                <c:pt idx="538">
                  <c:v>sped up nightcore, ARIZONATEARS, Lil Uzi Vert</c:v>
                </c:pt>
                <c:pt idx="539">
                  <c:v>Zï¿½ï¿½ Neto &amp; Crist</c:v>
                </c:pt>
                <c:pt idx="540">
                  <c:v>Stephen Sanchez</c:v>
                </c:pt>
                <c:pt idx="541">
                  <c:v>BIGBANG</c:v>
                </c:pt>
                <c:pt idx="542">
                  <c:v>Cartel De Santa, La Kelly</c:v>
                </c:pt>
                <c:pt idx="543">
                  <c:v>Agust D</c:v>
                </c:pt>
                <c:pt idx="544">
                  <c:v>Stromae</c:v>
                </c:pt>
                <c:pt idx="545">
                  <c:v>Labrinth, Zendaya</c:v>
                </c:pt>
                <c:pt idx="546">
                  <c:v>Suki Waterhouse</c:v>
                </c:pt>
                <c:pt idx="547">
                  <c:v>Billie Eilish, Khalid</c:v>
                </c:pt>
                <c:pt idx="548">
                  <c:v>Swae Lee, A Boogie Wit da Hoodie, Metro Boomin, NAV</c:v>
                </c:pt>
                <c:pt idx="549">
                  <c:v>Lady Gaga, Bradley Cooper</c:v>
                </c:pt>
                <c:pt idx="550">
                  <c:v>Chanel</c:v>
                </c:pt>
                <c:pt idx="551">
                  <c:v>Bing Crosby, John Scott Trotter &amp; His Orchestra, Ken Darby Singers</c:v>
                </c:pt>
                <c:pt idx="552">
                  <c:v>SZA, Don Toliver</c:v>
                </c:pt>
                <c:pt idx="553">
                  <c:v>Lana Del Rey, Taylor Swift</c:v>
                </c:pt>
                <c:pt idx="554">
                  <c:v>SZA, Travis Scott</c:v>
                </c:pt>
                <c:pt idx="555">
                  <c:v>Lasso</c:v>
                </c:pt>
                <c:pt idx="556">
                  <c:v>TAEYANG, Lisa</c:v>
                </c:pt>
                <c:pt idx="557">
                  <c:v>Latto, Jung Kook</c:v>
                </c:pt>
                <c:pt idx="558">
                  <c:v>Taiu, Milo j</c:v>
                </c:pt>
                <c:pt idx="559">
                  <c:v>Lauren Spencer Smith</c:v>
                </c:pt>
                <c:pt idx="560">
                  <c:v>Andy Williams</c:v>
                </c:pt>
                <c:pt idx="561">
                  <c:v>Lauren Spencer Smith, Lauren Spencer Smith, Lauren Spencer Smith</c:v>
                </c:pt>
                <c:pt idx="562">
                  <c:v>Taylor Swift, Lana Del Rey</c:v>
                </c:pt>
                <c:pt idx="563">
                  <c:v>Bizarrap, Paulo Londra</c:v>
                </c:pt>
                <c:pt idx="564">
                  <c:v>teto</c:v>
                </c:pt>
                <c:pt idx="565">
                  <c:v>Leah Kate</c:v>
                </c:pt>
                <c:pt idx="566">
                  <c:v>The Chainsmokers, Coldplay</c:v>
                </c:pt>
                <c:pt idx="567">
                  <c:v>Leo Santana</c:v>
                </c:pt>
                <c:pt idx="568">
                  <c:v>The Goo Goo Dolls</c:v>
                </c:pt>
                <c:pt idx="569">
                  <c:v>Bizarrap, Peso Pluma</c:v>
                </c:pt>
                <c:pt idx="570">
                  <c:v>The Killers</c:v>
                </c:pt>
                <c:pt idx="571">
                  <c:v>LF System</c:v>
                </c:pt>
                <c:pt idx="572">
                  <c:v>The Police</c:v>
                </c:pt>
                <c:pt idx="573">
                  <c:v>Libianca</c:v>
                </c:pt>
                <c:pt idx="574">
                  <c:v>The Ronettes</c:v>
                </c:pt>
                <c:pt idx="575">
                  <c:v>Bizarrap, Quevedo</c:v>
                </c:pt>
                <c:pt idx="576">
                  <c:v>Chencho Corleone, Bad Bunny</c:v>
                </c:pt>
                <c:pt idx="577">
                  <c:v>Lil Durk, Morgan Wallen</c:v>
                </c:pt>
                <c:pt idx="578">
                  <c:v>The Weeknd, Daft Punk</c:v>
                </c:pt>
                <c:pt idx="579">
                  <c:v>Bizarrap, Tiago pzk</c:v>
                </c:pt>
                <c:pt idx="580">
                  <c:v>Chencho Corleone, Rauw Alejandro</c:v>
                </c:pt>
                <c:pt idx="581">
                  <c:v>Lil Tjay</c:v>
                </c:pt>
                <c:pt idx="582">
                  <c:v>The Weeknd, Lil Wayne</c:v>
                </c:pt>
                <c:pt idx="583">
                  <c:v>Lil Uzi Vert</c:v>
                </c:pt>
                <c:pt idx="584">
                  <c:v>The Weeknd, Post Malone</c:v>
                </c:pt>
                <c:pt idx="585">
                  <c:v>Lil Yachty</c:v>
                </c:pt>
                <c:pt idx="586">
                  <c:v>The Weeknd, Swedish House Mafia</c:v>
                </c:pt>
                <c:pt idx="587">
                  <c:v>Bizarrap, Villano Antillano</c:v>
                </c:pt>
                <c:pt idx="588">
                  <c:v>Cherish, ACRAZE</c:v>
                </c:pt>
                <c:pt idx="589">
                  <c:v>Lisa</c:v>
                </c:pt>
                <c:pt idx="590">
                  <c:v>Tiï¿½ï¿½sto, Ava</c:v>
                </c:pt>
                <c:pt idx="591">
                  <c:v>Lit Killah, Maria Becerra, Tiago pzk, NICKI NICOLE</c:v>
                </c:pt>
                <c:pt idx="592">
                  <c:v>Tiï¿½ï¿½sto, Tate M</c:v>
                </c:pt>
                <c:pt idx="593">
                  <c:v>Blackbear, BoyWithUke</c:v>
                </c:pt>
                <c:pt idx="594">
                  <c:v>Tini, L-Gante</c:v>
                </c:pt>
                <c:pt idx="595">
                  <c:v>Lizzy McAlpine</c:v>
                </c:pt>
                <c:pt idx="596">
                  <c:v>Tom Odell</c:v>
                </c:pt>
                <c:pt idx="597">
                  <c:v>Lord Huron</c:v>
                </c:pt>
                <c:pt idx="598">
                  <c:v>Tones and I</c:v>
                </c:pt>
                <c:pt idx="599">
                  <c:v>Loreen</c:v>
                </c:pt>
                <c:pt idx="600">
                  <c:v>Tory Lanez</c:v>
                </c:pt>
                <c:pt idx="601">
                  <c:v>Lost Frequencies, Calum Scott</c:v>
                </c:pt>
                <c:pt idx="602">
                  <c:v>Travis Scott, Metro Boomin</c:v>
                </c:pt>
                <c:pt idx="603">
                  <c:v>Luar La L</c:v>
                </c:pt>
                <c:pt idx="604">
                  <c:v>Treasure</c:v>
                </c:pt>
                <c:pt idx="605">
                  <c:v>Luciano</c:v>
                </c:pt>
                <c:pt idx="606">
                  <c:v>Childish Gambino</c:v>
                </c:pt>
                <c:pt idx="607">
                  <c:v>Luciano, Aitch, Bï¿½</c:v>
                </c:pt>
                <c:pt idx="608">
                  <c:v>Trueno, Tiago pzk</c:v>
                </c:pt>
                <c:pt idx="609">
                  <c:v>Ludwig Goransson, Foudeqush</c:v>
                </c:pt>
                <c:pt idx="610">
                  <c:v>TV Girl</c:v>
                </c:pt>
                <c:pt idx="611">
                  <c:v>Luï¿½ï¿½sa Sonza, MC Frog, Dj Gabriel do Borel, Davi K</c:v>
                </c:pt>
                <c:pt idx="612">
                  <c:v>Twisted, Oliver Tree</c:v>
                </c:pt>
                <c:pt idx="613">
                  <c:v>Luis R Conriquez, La Adictiva</c:v>
                </c:pt>
                <c:pt idx="614">
                  <c:v>Chris Brown</c:v>
                </c:pt>
                <c:pt idx="615">
                  <c:v>Luke Combs</c:v>
                </c:pt>
                <c:pt idx="616">
                  <c:v>Ugly Dray, Tesla Jnr</c:v>
                </c:pt>
                <c:pt idx="617">
                  <c:v>Luude, Colin Hay</c:v>
                </c:pt>
                <c:pt idx="618">
                  <c:v>Vance Joy</c:v>
                </c:pt>
                <c:pt idx="619">
                  <c:v>Mabel Matiz, Mert Demir</c:v>
                </c:pt>
                <c:pt idx="620">
                  <c:v>Victor Cibrian</c:v>
                </c:pt>
                <c:pt idx="621">
                  <c:v>Mac DeMarco</c:v>
                </c:pt>
                <c:pt idx="622">
                  <c:v>Vundabar</c:v>
                </c:pt>
                <c:pt idx="623">
                  <c:v>Mae Stephens</c:v>
                </c:pt>
                <c:pt idx="624">
                  <c:v>Willow</c:v>
                </c:pt>
                <c:pt idx="625">
                  <c:v>Mahalini</c:v>
                </c:pt>
                <c:pt idx="626">
                  <c:v>WizKid, Toian, Metro Boomin, Don Toliver, Beam</c:v>
                </c:pt>
                <c:pt idx="627">
                  <c:v>Mahmood, Blanco</c:v>
                </c:pt>
                <c:pt idx="628">
                  <c:v>Chris Brown, Rvssian, Rauw Alejandro</c:v>
                </c:pt>
                <c:pt idx="629">
                  <c:v>Mainstreet, Chefin</c:v>
                </c:pt>
                <c:pt idx="630">
                  <c:v>Yahritza Y Su Esencia, Grupo Frontera</c:v>
                </c:pt>
                <c:pt idx="631">
                  <c:v>Maldy, Karol G</c:v>
                </c:pt>
                <c:pt idx="632">
                  <c:v>Maluma</c:v>
                </c:pt>
                <c:pt idx="633">
                  <c:v>Kevin Gates, Juicy J</c:v>
                </c:pt>
                <c:pt idx="634">
                  <c:v>YOASOBI</c:v>
                </c:pt>
                <c:pt idx="635">
                  <c:v>Kevin Kaarl</c:v>
                </c:pt>
                <c:pt idx="636">
                  <c:v>Yung Gravy</c:v>
                </c:pt>
                <c:pt idx="637">
                  <c:v>King</c:v>
                </c:pt>
                <c:pt idx="638">
                  <c:v>Yuridia, Angela Aguilar</c:v>
                </c:pt>
                <c:pt idx="639">
                  <c:v>Kodak Black</c:v>
                </c:pt>
                <c:pt idx="640">
                  <c:v>Zï¿½ï¿½ Fe</c:v>
                </c:pt>
                <c:pt idx="641">
                  <c:v>Kodak Black, NLE Choppa, Muni Long, JVKE, Jimin</c:v>
                </c:pt>
                <c:pt idx="642">
                  <c:v>Zion &amp; Lennox</c:v>
                </c:pt>
                <c:pt idx="643">
                  <c:v>Kordhell</c:v>
                </c:pt>
                <c:pt idx="644">
                  <c:v>L7nnon, DJ Biel do Furduncinho, Bianca</c:v>
                </c:pt>
              </c:strCache>
            </c:strRef>
          </c:cat>
          <c:val>
            <c:numRef>
              <c:f>'artist count'!$B$4:$B$649</c:f>
              <c:numCache>
                <c:formatCode>General</c:formatCode>
                <c:ptCount val="645"/>
                <c:pt idx="0">
                  <c:v>34</c:v>
                </c:pt>
                <c:pt idx="1">
                  <c:v>22</c:v>
                </c:pt>
                <c:pt idx="2">
                  <c:v>19</c:v>
                </c:pt>
                <c:pt idx="3">
                  <c:v>19</c:v>
                </c:pt>
                <c:pt idx="4">
                  <c:v>17</c:v>
                </c:pt>
                <c:pt idx="5">
                  <c:v>12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4-4365-BAEA-A4B0F93DB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4"/>
        <c:axId val="32900103"/>
        <c:axId val="32902151"/>
      </c:barChart>
      <c:catAx>
        <c:axId val="329001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artist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02151"/>
        <c:crosses val="autoZero"/>
        <c:auto val="1"/>
        <c:lblAlgn val="ctr"/>
        <c:lblOffset val="100"/>
        <c:noMultiLvlLbl val="0"/>
      </c:catAx>
      <c:valAx>
        <c:axId val="32902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songs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00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[spotify-2023.xlsx]date!PivotTable2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songs released by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date!$B$3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date!$A$4:$A$481</c:f>
              <c:strCache>
                <c:ptCount val="477"/>
                <c:pt idx="0">
                  <c:v>1/1/1930</c:v>
                </c:pt>
                <c:pt idx="1">
                  <c:v>1/1/1942</c:v>
                </c:pt>
                <c:pt idx="2">
                  <c:v>11/1/1946</c:v>
                </c:pt>
                <c:pt idx="3">
                  <c:v>1/1/1950</c:v>
                </c:pt>
                <c:pt idx="4">
                  <c:v>1/1/1952</c:v>
                </c:pt>
                <c:pt idx="5">
                  <c:v>1/1/1957</c:v>
                </c:pt>
                <c:pt idx="6">
                  <c:v>1/1/1958</c:v>
                </c:pt>
                <c:pt idx="7">
                  <c:v>1/1/1959</c:v>
                </c:pt>
                <c:pt idx="8">
                  <c:v>11/16/1959</c:v>
                </c:pt>
                <c:pt idx="9">
                  <c:v>10/14/1963</c:v>
                </c:pt>
                <c:pt idx="10">
                  <c:v>11/22/1963</c:v>
                </c:pt>
                <c:pt idx="11">
                  <c:v>7/1/1968</c:v>
                </c:pt>
                <c:pt idx="12">
                  <c:v>1/1/1970</c:v>
                </c:pt>
                <c:pt idx="13">
                  <c:v>11/1/1970</c:v>
                </c:pt>
                <c:pt idx="14">
                  <c:v>12/1/1971</c:v>
                </c:pt>
                <c:pt idx="15">
                  <c:v>1/5/1973</c:v>
                </c:pt>
                <c:pt idx="16">
                  <c:v>1/1/1975</c:v>
                </c:pt>
                <c:pt idx="17">
                  <c:v>10/31/1975</c:v>
                </c:pt>
                <c:pt idx="18">
                  <c:v>11/16/1979</c:v>
                </c:pt>
                <c:pt idx="19">
                  <c:v>1/1/1982</c:v>
                </c:pt>
                <c:pt idx="20">
                  <c:v>5/16/1982</c:v>
                </c:pt>
                <c:pt idx="21">
                  <c:v>1/6/1983</c:v>
                </c:pt>
                <c:pt idx="22">
                  <c:v>1/1/1984</c:v>
                </c:pt>
                <c:pt idx="23">
                  <c:v>10/19/1984</c:v>
                </c:pt>
                <c:pt idx="24">
                  <c:v>11/25/1984</c:v>
                </c:pt>
                <c:pt idx="25">
                  <c:v>2/17/1985</c:v>
                </c:pt>
                <c:pt idx="26">
                  <c:v>9/16/1985</c:v>
                </c:pt>
                <c:pt idx="27">
                  <c:v>1/1/1986</c:v>
                </c:pt>
                <c:pt idx="28">
                  <c:v>3/3/1986</c:v>
                </c:pt>
                <c:pt idx="29">
                  <c:v>1/1/1987</c:v>
                </c:pt>
                <c:pt idx="30">
                  <c:v>9/10/1991</c:v>
                </c:pt>
                <c:pt idx="31">
                  <c:v>9/24/1991</c:v>
                </c:pt>
                <c:pt idx="32">
                  <c:v>9/21/1992</c:v>
                </c:pt>
                <c:pt idx="33">
                  <c:v>10/28/1994</c:v>
                </c:pt>
                <c:pt idx="34">
                  <c:v>7/11/1995</c:v>
                </c:pt>
                <c:pt idx="35">
                  <c:v>12/28/1995</c:v>
                </c:pt>
                <c:pt idx="36">
                  <c:v>11/24/1996</c:v>
                </c:pt>
                <c:pt idx="37">
                  <c:v>1/1/1997</c:v>
                </c:pt>
                <c:pt idx="38">
                  <c:v>3/31/1998</c:v>
                </c:pt>
                <c:pt idx="39">
                  <c:v>1/1/1999</c:v>
                </c:pt>
                <c:pt idx="40">
                  <c:v>11/21/1999</c:v>
                </c:pt>
                <c:pt idx="41">
                  <c:v>1/1/2000</c:v>
                </c:pt>
                <c:pt idx="42">
                  <c:v>7/10/2000</c:v>
                </c:pt>
                <c:pt idx="43">
                  <c:v>10/24/2000</c:v>
                </c:pt>
                <c:pt idx="44">
                  <c:v>11/7/2000</c:v>
                </c:pt>
                <c:pt idx="45">
                  <c:v>1/1/2002</c:v>
                </c:pt>
                <c:pt idx="46">
                  <c:v>5/26/2002</c:v>
                </c:pt>
                <c:pt idx="47">
                  <c:v>8/5/2002</c:v>
                </c:pt>
                <c:pt idx="48">
                  <c:v>3/24/2003</c:v>
                </c:pt>
                <c:pt idx="49">
                  <c:v>9/23/2003</c:v>
                </c:pt>
                <c:pt idx="50">
                  <c:v>1/1/2004</c:v>
                </c:pt>
                <c:pt idx="51">
                  <c:v>5/4/2004</c:v>
                </c:pt>
                <c:pt idx="52">
                  <c:v>7/13/2004</c:v>
                </c:pt>
                <c:pt idx="53">
                  <c:v>9/20/2005</c:v>
                </c:pt>
                <c:pt idx="54">
                  <c:v>4/20/2007</c:v>
                </c:pt>
                <c:pt idx="55">
                  <c:v>1/1/2008</c:v>
                </c:pt>
                <c:pt idx="56">
                  <c:v>1/1/2010</c:v>
                </c:pt>
                <c:pt idx="57">
                  <c:v>5/25/2010</c:v>
                </c:pt>
                <c:pt idx="58">
                  <c:v>7/20/2010</c:v>
                </c:pt>
                <c:pt idx="59">
                  <c:v>10/4/2010</c:v>
                </c:pt>
                <c:pt idx="60">
                  <c:v>11/29/2010</c:v>
                </c:pt>
                <c:pt idx="61">
                  <c:v>1/1/2011</c:v>
                </c:pt>
                <c:pt idx="62">
                  <c:v>8/16/2011</c:v>
                </c:pt>
                <c:pt idx="63">
                  <c:v>10/14/2011</c:v>
                </c:pt>
                <c:pt idx="64">
                  <c:v>1/1/2012</c:v>
                </c:pt>
                <c:pt idx="65">
                  <c:v>5/14/2012</c:v>
                </c:pt>
                <c:pt idx="66">
                  <c:v>6/20/2012</c:v>
                </c:pt>
                <c:pt idx="67">
                  <c:v>10/15/2012</c:v>
                </c:pt>
                <c:pt idx="68">
                  <c:v>12/5/2012</c:v>
                </c:pt>
                <c:pt idx="69">
                  <c:v>1/1/2013</c:v>
                </c:pt>
                <c:pt idx="70">
                  <c:v>7/16/2013</c:v>
                </c:pt>
                <c:pt idx="71">
                  <c:v>8/1/2013</c:v>
                </c:pt>
                <c:pt idx="72">
                  <c:v>8/16/2013</c:v>
                </c:pt>
                <c:pt idx="73">
                  <c:v>9/13/2013</c:v>
                </c:pt>
                <c:pt idx="74">
                  <c:v>10/25/2013</c:v>
                </c:pt>
                <c:pt idx="75">
                  <c:v>12/13/2013</c:v>
                </c:pt>
                <c:pt idx="76">
                  <c:v>1/1/2014</c:v>
                </c:pt>
                <c:pt idx="77">
                  <c:v>6/5/2014</c:v>
                </c:pt>
                <c:pt idx="78">
                  <c:v>6/20/2014</c:v>
                </c:pt>
                <c:pt idx="79">
                  <c:v>8/8/2014</c:v>
                </c:pt>
                <c:pt idx="80">
                  <c:v>11/17/2014</c:v>
                </c:pt>
                <c:pt idx="81">
                  <c:v>11/28/2014</c:v>
                </c:pt>
                <c:pt idx="82">
                  <c:v>12/9/2014</c:v>
                </c:pt>
                <c:pt idx="83">
                  <c:v>1/1/2015</c:v>
                </c:pt>
                <c:pt idx="84">
                  <c:v>1/11/2015</c:v>
                </c:pt>
                <c:pt idx="85">
                  <c:v>2/2/2015</c:v>
                </c:pt>
                <c:pt idx="86">
                  <c:v>4/22/2015</c:v>
                </c:pt>
                <c:pt idx="87">
                  <c:v>5/10/2015</c:v>
                </c:pt>
                <c:pt idx="88">
                  <c:v>5/27/2015</c:v>
                </c:pt>
                <c:pt idx="89">
                  <c:v>6/22/2015</c:v>
                </c:pt>
                <c:pt idx="90">
                  <c:v>7/24/2015</c:v>
                </c:pt>
                <c:pt idx="91">
                  <c:v>10/30/2015</c:v>
                </c:pt>
                <c:pt idx="92">
                  <c:v>11/9/2015</c:v>
                </c:pt>
                <c:pt idx="93">
                  <c:v>1/15/2016</c:v>
                </c:pt>
                <c:pt idx="94">
                  <c:v>1/21/2016</c:v>
                </c:pt>
                <c:pt idx="95">
                  <c:v>4/4/2016</c:v>
                </c:pt>
                <c:pt idx="96">
                  <c:v>4/20/2016</c:v>
                </c:pt>
                <c:pt idx="97">
                  <c:v>5/31/2016</c:v>
                </c:pt>
                <c:pt idx="98">
                  <c:v>6/23/2016</c:v>
                </c:pt>
                <c:pt idx="99">
                  <c:v>8/5/2016</c:v>
                </c:pt>
                <c:pt idx="100">
                  <c:v>8/20/2016</c:v>
                </c:pt>
                <c:pt idx="101">
                  <c:v>9/9/2016</c:v>
                </c:pt>
                <c:pt idx="102">
                  <c:v>9/21/2016</c:v>
                </c:pt>
                <c:pt idx="103">
                  <c:v>9/23/2016</c:v>
                </c:pt>
                <c:pt idx="104">
                  <c:v>9/27/2016</c:v>
                </c:pt>
                <c:pt idx="105">
                  <c:v>11/4/2016</c:v>
                </c:pt>
                <c:pt idx="106">
                  <c:v>11/10/2016</c:v>
                </c:pt>
                <c:pt idx="107">
                  <c:v>11/18/2016</c:v>
                </c:pt>
                <c:pt idx="108">
                  <c:v>11/24/2016</c:v>
                </c:pt>
                <c:pt idx="109">
                  <c:v>11/25/2016</c:v>
                </c:pt>
                <c:pt idx="110">
                  <c:v>1/1/2017</c:v>
                </c:pt>
                <c:pt idx="111">
                  <c:v>1/6/2017</c:v>
                </c:pt>
                <c:pt idx="112">
                  <c:v>1/31/2017</c:v>
                </c:pt>
                <c:pt idx="113">
                  <c:v>2/20/2017</c:v>
                </c:pt>
                <c:pt idx="114">
                  <c:v>2/22/2017</c:v>
                </c:pt>
                <c:pt idx="115">
                  <c:v>3/21/2017</c:v>
                </c:pt>
                <c:pt idx="116">
                  <c:v>3/30/2017</c:v>
                </c:pt>
                <c:pt idx="117">
                  <c:v>4/28/2017</c:v>
                </c:pt>
                <c:pt idx="118">
                  <c:v>6/2/2017</c:v>
                </c:pt>
                <c:pt idx="119">
                  <c:v>6/15/2017</c:v>
                </c:pt>
                <c:pt idx="120">
                  <c:v>6/23/2017</c:v>
                </c:pt>
                <c:pt idx="121">
                  <c:v>7/21/2017</c:v>
                </c:pt>
                <c:pt idx="122">
                  <c:v>8/11/2017</c:v>
                </c:pt>
                <c:pt idx="123">
                  <c:v>8/25/2017</c:v>
                </c:pt>
                <c:pt idx="124">
                  <c:v>10/4/2017</c:v>
                </c:pt>
                <c:pt idx="125">
                  <c:v>10/20/2017</c:v>
                </c:pt>
                <c:pt idx="126">
                  <c:v>11/8/2017</c:v>
                </c:pt>
                <c:pt idx="127">
                  <c:v>11/10/2017</c:v>
                </c:pt>
                <c:pt idx="128">
                  <c:v>12/8/2017</c:v>
                </c:pt>
                <c:pt idx="129">
                  <c:v>3/9/2018</c:v>
                </c:pt>
                <c:pt idx="130">
                  <c:v>3/16/2018</c:v>
                </c:pt>
                <c:pt idx="131">
                  <c:v>3/29/2018</c:v>
                </c:pt>
                <c:pt idx="132">
                  <c:v>5/25/2018</c:v>
                </c:pt>
                <c:pt idx="133">
                  <c:v>9/12/2018</c:v>
                </c:pt>
                <c:pt idx="134">
                  <c:v>9/27/2018</c:v>
                </c:pt>
                <c:pt idx="135">
                  <c:v>10/9/2018</c:v>
                </c:pt>
                <c:pt idx="136">
                  <c:v>11/8/2018</c:v>
                </c:pt>
                <c:pt idx="137">
                  <c:v>11/21/2018</c:v>
                </c:pt>
                <c:pt idx="138">
                  <c:v>1/1/2019</c:v>
                </c:pt>
                <c:pt idx="139">
                  <c:v>1/11/2019</c:v>
                </c:pt>
                <c:pt idx="140">
                  <c:v>3/7/2019</c:v>
                </c:pt>
                <c:pt idx="141">
                  <c:v>4/12/2019</c:v>
                </c:pt>
                <c:pt idx="142">
                  <c:v>5/10/2019</c:v>
                </c:pt>
                <c:pt idx="143">
                  <c:v>5/16/2019</c:v>
                </c:pt>
                <c:pt idx="144">
                  <c:v>5/31/2019</c:v>
                </c:pt>
                <c:pt idx="145">
                  <c:v>6/19/2019</c:v>
                </c:pt>
                <c:pt idx="146">
                  <c:v>6/21/2019</c:v>
                </c:pt>
                <c:pt idx="147">
                  <c:v>6/28/2019</c:v>
                </c:pt>
                <c:pt idx="148">
                  <c:v>7/26/2019</c:v>
                </c:pt>
                <c:pt idx="149">
                  <c:v>8/4/2019</c:v>
                </c:pt>
                <c:pt idx="150">
                  <c:v>8/23/2019</c:v>
                </c:pt>
                <c:pt idx="151">
                  <c:v>8/30/2019</c:v>
                </c:pt>
                <c:pt idx="152">
                  <c:v>9/13/2019</c:v>
                </c:pt>
                <c:pt idx="153">
                  <c:v>9/20/2019</c:v>
                </c:pt>
                <c:pt idx="154">
                  <c:v>10/4/2019</c:v>
                </c:pt>
                <c:pt idx="155">
                  <c:v>10/18/2019</c:v>
                </c:pt>
                <c:pt idx="156">
                  <c:v>10/31/2019</c:v>
                </c:pt>
                <c:pt idx="157">
                  <c:v>11/1/2019</c:v>
                </c:pt>
                <c:pt idx="158">
                  <c:v>11/7/2019</c:v>
                </c:pt>
                <c:pt idx="159">
                  <c:v>11/17/2019</c:v>
                </c:pt>
                <c:pt idx="160">
                  <c:v>11/29/2019</c:v>
                </c:pt>
                <c:pt idx="161">
                  <c:v>12/6/2019</c:v>
                </c:pt>
                <c:pt idx="162">
                  <c:v>12/13/2019</c:v>
                </c:pt>
                <c:pt idx="163">
                  <c:v>1/1/2020</c:v>
                </c:pt>
                <c:pt idx="164">
                  <c:v>1/10/2020</c:v>
                </c:pt>
                <c:pt idx="165">
                  <c:v>1/16/2020</c:v>
                </c:pt>
                <c:pt idx="166">
                  <c:v>2/10/2020</c:v>
                </c:pt>
                <c:pt idx="167">
                  <c:v>2/19/2020</c:v>
                </c:pt>
                <c:pt idx="168">
                  <c:v>2/21/2020</c:v>
                </c:pt>
                <c:pt idx="169">
                  <c:v>2/29/2020</c:v>
                </c:pt>
                <c:pt idx="170">
                  <c:v>3/13/2020</c:v>
                </c:pt>
                <c:pt idx="171">
                  <c:v>3/20/2020</c:v>
                </c:pt>
                <c:pt idx="172">
                  <c:v>3/27/2020</c:v>
                </c:pt>
                <c:pt idx="173">
                  <c:v>4/17/2020</c:v>
                </c:pt>
                <c:pt idx="174">
                  <c:v>5/20/2020</c:v>
                </c:pt>
                <c:pt idx="175">
                  <c:v>6/5/2020</c:v>
                </c:pt>
                <c:pt idx="176">
                  <c:v>6/28/2020</c:v>
                </c:pt>
                <c:pt idx="177">
                  <c:v>7/17/2020</c:v>
                </c:pt>
                <c:pt idx="178">
                  <c:v>7/24/2020</c:v>
                </c:pt>
                <c:pt idx="179">
                  <c:v>8/21/2020</c:v>
                </c:pt>
                <c:pt idx="180">
                  <c:v>9/3/2020</c:v>
                </c:pt>
                <c:pt idx="181">
                  <c:v>9/18/2020</c:v>
                </c:pt>
                <c:pt idx="182">
                  <c:v>9/21/2020</c:v>
                </c:pt>
                <c:pt idx="183">
                  <c:v>10/8/2020</c:v>
                </c:pt>
                <c:pt idx="184">
                  <c:v>10/23/2020</c:v>
                </c:pt>
                <c:pt idx="185">
                  <c:v>10/30/2020</c:v>
                </c:pt>
                <c:pt idx="186">
                  <c:v>11/2/2020</c:v>
                </c:pt>
                <c:pt idx="187">
                  <c:v>11/27/2020</c:v>
                </c:pt>
                <c:pt idx="188">
                  <c:v>12/18/2020</c:v>
                </c:pt>
                <c:pt idx="189">
                  <c:v>12/24/2020</c:v>
                </c:pt>
                <c:pt idx="190">
                  <c:v>12/25/2020</c:v>
                </c:pt>
                <c:pt idx="191">
                  <c:v>1/8/2021</c:v>
                </c:pt>
                <c:pt idx="192">
                  <c:v>1/15/2021</c:v>
                </c:pt>
                <c:pt idx="193">
                  <c:v>1/28/2021</c:v>
                </c:pt>
                <c:pt idx="194">
                  <c:v>3/5/2021</c:v>
                </c:pt>
                <c:pt idx="195">
                  <c:v>3/11/2021</c:v>
                </c:pt>
                <c:pt idx="196">
                  <c:v>3/19/2021</c:v>
                </c:pt>
                <c:pt idx="197">
                  <c:v>4/1/2021</c:v>
                </c:pt>
                <c:pt idx="198">
                  <c:v>4/9/2021</c:v>
                </c:pt>
                <c:pt idx="199">
                  <c:v>4/14/2021</c:v>
                </c:pt>
                <c:pt idx="200">
                  <c:v>4/28/2021</c:v>
                </c:pt>
                <c:pt idx="201">
                  <c:v>4/29/2021</c:v>
                </c:pt>
                <c:pt idx="202">
                  <c:v>4/30/2021</c:v>
                </c:pt>
                <c:pt idx="203">
                  <c:v>5/7/2021</c:v>
                </c:pt>
                <c:pt idx="204">
                  <c:v>5/14/2021</c:v>
                </c:pt>
                <c:pt idx="205">
                  <c:v>5/15/2021</c:v>
                </c:pt>
                <c:pt idx="206">
                  <c:v>5/21/2021</c:v>
                </c:pt>
                <c:pt idx="207">
                  <c:v>6/4/2021</c:v>
                </c:pt>
                <c:pt idx="208">
                  <c:v>6/11/2021</c:v>
                </c:pt>
                <c:pt idx="209">
                  <c:v>6/24/2021</c:v>
                </c:pt>
                <c:pt idx="210">
                  <c:v>6/25/2021</c:v>
                </c:pt>
                <c:pt idx="211">
                  <c:v>7/8/2021</c:v>
                </c:pt>
                <c:pt idx="212">
                  <c:v>7/9/2021</c:v>
                </c:pt>
                <c:pt idx="213">
                  <c:v>7/23/2021</c:v>
                </c:pt>
                <c:pt idx="214">
                  <c:v>7/28/2021</c:v>
                </c:pt>
                <c:pt idx="215">
                  <c:v>7/30/2021</c:v>
                </c:pt>
                <c:pt idx="216">
                  <c:v>8/1/2021</c:v>
                </c:pt>
                <c:pt idx="217">
                  <c:v>8/3/2021</c:v>
                </c:pt>
                <c:pt idx="218">
                  <c:v>8/6/2021</c:v>
                </c:pt>
                <c:pt idx="219">
                  <c:v>8/9/2021</c:v>
                </c:pt>
                <c:pt idx="220">
                  <c:v>8/10/2021</c:v>
                </c:pt>
                <c:pt idx="221">
                  <c:v>8/12/2021</c:v>
                </c:pt>
                <c:pt idx="222">
                  <c:v>8/13/2021</c:v>
                </c:pt>
                <c:pt idx="223">
                  <c:v>8/20/2021</c:v>
                </c:pt>
                <c:pt idx="224">
                  <c:v>8/27/2021</c:v>
                </c:pt>
                <c:pt idx="225">
                  <c:v>8/29/2021</c:v>
                </c:pt>
                <c:pt idx="226">
                  <c:v>9/1/2021</c:v>
                </c:pt>
                <c:pt idx="227">
                  <c:v>9/2/2021</c:v>
                </c:pt>
                <c:pt idx="228">
                  <c:v>9/3/2021</c:v>
                </c:pt>
                <c:pt idx="229">
                  <c:v>9/8/2021</c:v>
                </c:pt>
                <c:pt idx="230">
                  <c:v>9/9/2021</c:v>
                </c:pt>
                <c:pt idx="231">
                  <c:v>9/10/2021</c:v>
                </c:pt>
                <c:pt idx="232">
                  <c:v>9/16/2021</c:v>
                </c:pt>
                <c:pt idx="233">
                  <c:v>9/17/2021</c:v>
                </c:pt>
                <c:pt idx="234">
                  <c:v>9/24/2021</c:v>
                </c:pt>
                <c:pt idx="235">
                  <c:v>10/1/2021</c:v>
                </c:pt>
                <c:pt idx="236">
                  <c:v>10/5/2021</c:v>
                </c:pt>
                <c:pt idx="237">
                  <c:v>10/14/2021</c:v>
                </c:pt>
                <c:pt idx="238">
                  <c:v>10/21/2021</c:v>
                </c:pt>
                <c:pt idx="239">
                  <c:v>10/22/2021</c:v>
                </c:pt>
                <c:pt idx="240">
                  <c:v>10/27/2021</c:v>
                </c:pt>
                <c:pt idx="241">
                  <c:v>10/30/2021</c:v>
                </c:pt>
                <c:pt idx="242">
                  <c:v>11/4/2021</c:v>
                </c:pt>
                <c:pt idx="243">
                  <c:v>11/5/2021</c:v>
                </c:pt>
                <c:pt idx="244">
                  <c:v>11/11/2021</c:v>
                </c:pt>
                <c:pt idx="245">
                  <c:v>11/12/2021</c:v>
                </c:pt>
                <c:pt idx="246">
                  <c:v>11/17/2021</c:v>
                </c:pt>
                <c:pt idx="247">
                  <c:v>11/18/2021</c:v>
                </c:pt>
                <c:pt idx="248">
                  <c:v>11/19/2021</c:v>
                </c:pt>
                <c:pt idx="249">
                  <c:v>11/25/2021</c:v>
                </c:pt>
                <c:pt idx="250">
                  <c:v>11/30/2021</c:v>
                </c:pt>
                <c:pt idx="251">
                  <c:v>12/1/2021</c:v>
                </c:pt>
                <c:pt idx="252">
                  <c:v>12/3/2021</c:v>
                </c:pt>
                <c:pt idx="253">
                  <c:v>12/10/2021</c:v>
                </c:pt>
                <c:pt idx="254">
                  <c:v>12/17/2021</c:v>
                </c:pt>
                <c:pt idx="255">
                  <c:v>12/23/2021</c:v>
                </c:pt>
                <c:pt idx="256">
                  <c:v>12/24/2021</c:v>
                </c:pt>
                <c:pt idx="257">
                  <c:v>12/29/2021</c:v>
                </c:pt>
                <c:pt idx="258">
                  <c:v>1/5/2022</c:v>
                </c:pt>
                <c:pt idx="259">
                  <c:v>1/7/2022</c:v>
                </c:pt>
                <c:pt idx="260">
                  <c:v>1/9/2022</c:v>
                </c:pt>
                <c:pt idx="261">
                  <c:v>1/10/2022</c:v>
                </c:pt>
                <c:pt idx="262">
                  <c:v>1/14/2022</c:v>
                </c:pt>
                <c:pt idx="263">
                  <c:v>1/15/2022</c:v>
                </c:pt>
                <c:pt idx="264">
                  <c:v>1/17/2022</c:v>
                </c:pt>
                <c:pt idx="265">
                  <c:v>1/19/2022</c:v>
                </c:pt>
                <c:pt idx="266">
                  <c:v>1/20/2022</c:v>
                </c:pt>
                <c:pt idx="267">
                  <c:v>1/21/2022</c:v>
                </c:pt>
                <c:pt idx="268">
                  <c:v>1/26/2022</c:v>
                </c:pt>
                <c:pt idx="269">
                  <c:v>1/28/2022</c:v>
                </c:pt>
                <c:pt idx="270">
                  <c:v>1/30/2022</c:v>
                </c:pt>
                <c:pt idx="271">
                  <c:v>2/1/2022</c:v>
                </c:pt>
                <c:pt idx="272">
                  <c:v>2/2/2022</c:v>
                </c:pt>
                <c:pt idx="273">
                  <c:v>2/4/2022</c:v>
                </c:pt>
                <c:pt idx="274">
                  <c:v>2/6/2022</c:v>
                </c:pt>
                <c:pt idx="275">
                  <c:v>2/9/2022</c:v>
                </c:pt>
                <c:pt idx="276">
                  <c:v>2/10/2022</c:v>
                </c:pt>
                <c:pt idx="277">
                  <c:v>2/11/2022</c:v>
                </c:pt>
                <c:pt idx="278">
                  <c:v>2/14/2022</c:v>
                </c:pt>
                <c:pt idx="279">
                  <c:v>2/15/2022</c:v>
                </c:pt>
                <c:pt idx="280">
                  <c:v>2/17/2022</c:v>
                </c:pt>
                <c:pt idx="281">
                  <c:v>2/18/2022</c:v>
                </c:pt>
                <c:pt idx="282">
                  <c:v>2/22/2022</c:v>
                </c:pt>
                <c:pt idx="283">
                  <c:v>2/25/2022</c:v>
                </c:pt>
                <c:pt idx="284">
                  <c:v>3/3/2022</c:v>
                </c:pt>
                <c:pt idx="285">
                  <c:v>3/4/2022</c:v>
                </c:pt>
                <c:pt idx="286">
                  <c:v>3/10/2022</c:v>
                </c:pt>
                <c:pt idx="287">
                  <c:v>3/11/2022</c:v>
                </c:pt>
                <c:pt idx="288">
                  <c:v>3/14/2022</c:v>
                </c:pt>
                <c:pt idx="289">
                  <c:v>3/17/2022</c:v>
                </c:pt>
                <c:pt idx="290">
                  <c:v>3/18/2022</c:v>
                </c:pt>
                <c:pt idx="291">
                  <c:v>3/19/2022</c:v>
                </c:pt>
                <c:pt idx="292">
                  <c:v>3/23/2022</c:v>
                </c:pt>
                <c:pt idx="293">
                  <c:v>3/24/2022</c:v>
                </c:pt>
                <c:pt idx="294">
                  <c:v>3/25/2022</c:v>
                </c:pt>
                <c:pt idx="295">
                  <c:v>3/30/2022</c:v>
                </c:pt>
                <c:pt idx="296">
                  <c:v>3/31/2022</c:v>
                </c:pt>
                <c:pt idx="297">
                  <c:v>4/1/2022</c:v>
                </c:pt>
                <c:pt idx="298">
                  <c:v>4/5/2022</c:v>
                </c:pt>
                <c:pt idx="299">
                  <c:v>4/6/2022</c:v>
                </c:pt>
                <c:pt idx="300">
                  <c:v>4/7/2022</c:v>
                </c:pt>
                <c:pt idx="301">
                  <c:v>4/8/2022</c:v>
                </c:pt>
                <c:pt idx="302">
                  <c:v>4/13/2022</c:v>
                </c:pt>
                <c:pt idx="303">
                  <c:v>4/14/2022</c:v>
                </c:pt>
                <c:pt idx="304">
                  <c:v>4/20/2022</c:v>
                </c:pt>
                <c:pt idx="305">
                  <c:v>4/21/2022</c:v>
                </c:pt>
                <c:pt idx="306">
                  <c:v>4/22/2022</c:v>
                </c:pt>
                <c:pt idx="307">
                  <c:v>4/24/2022</c:v>
                </c:pt>
                <c:pt idx="308">
                  <c:v>4/25/2022</c:v>
                </c:pt>
                <c:pt idx="309">
                  <c:v>4/27/2022</c:v>
                </c:pt>
                <c:pt idx="310">
                  <c:v>4/28/2022</c:v>
                </c:pt>
                <c:pt idx="311">
                  <c:v>4/29/2022</c:v>
                </c:pt>
                <c:pt idx="312">
                  <c:v>5/2/2022</c:v>
                </c:pt>
                <c:pt idx="313">
                  <c:v>5/3/2022</c:v>
                </c:pt>
                <c:pt idx="314">
                  <c:v>5/6/2022</c:v>
                </c:pt>
                <c:pt idx="315">
                  <c:v>5/8/2022</c:v>
                </c:pt>
                <c:pt idx="316">
                  <c:v>5/12/2022</c:v>
                </c:pt>
                <c:pt idx="317">
                  <c:v>5/13/2022</c:v>
                </c:pt>
                <c:pt idx="318">
                  <c:v>5/20/2022</c:v>
                </c:pt>
                <c:pt idx="319">
                  <c:v>5/25/2022</c:v>
                </c:pt>
                <c:pt idx="320">
                  <c:v>5/26/2022</c:v>
                </c:pt>
                <c:pt idx="321">
                  <c:v>5/27/2022</c:v>
                </c:pt>
                <c:pt idx="322">
                  <c:v>5/31/2022</c:v>
                </c:pt>
                <c:pt idx="323">
                  <c:v>6/2/2022</c:v>
                </c:pt>
                <c:pt idx="324">
                  <c:v>6/3/2022</c:v>
                </c:pt>
                <c:pt idx="325">
                  <c:v>6/8/2022</c:v>
                </c:pt>
                <c:pt idx="326">
                  <c:v>6/9/2022</c:v>
                </c:pt>
                <c:pt idx="327">
                  <c:v>6/10/2022</c:v>
                </c:pt>
                <c:pt idx="328">
                  <c:v>6/15/2022</c:v>
                </c:pt>
                <c:pt idx="329">
                  <c:v>6/16/2022</c:v>
                </c:pt>
                <c:pt idx="330">
                  <c:v>6/17/2022</c:v>
                </c:pt>
                <c:pt idx="331">
                  <c:v>6/21/2022</c:v>
                </c:pt>
                <c:pt idx="332">
                  <c:v>6/23/2022</c:v>
                </c:pt>
                <c:pt idx="333">
                  <c:v>6/24/2022</c:v>
                </c:pt>
                <c:pt idx="334">
                  <c:v>6/29/2022</c:v>
                </c:pt>
                <c:pt idx="335">
                  <c:v>7/1/2022</c:v>
                </c:pt>
                <c:pt idx="336">
                  <c:v>7/6/2022</c:v>
                </c:pt>
                <c:pt idx="337">
                  <c:v>7/8/2022</c:v>
                </c:pt>
                <c:pt idx="338">
                  <c:v>7/12/2022</c:v>
                </c:pt>
                <c:pt idx="339">
                  <c:v>7/14/2022</c:v>
                </c:pt>
                <c:pt idx="340">
                  <c:v>7/15/2022</c:v>
                </c:pt>
                <c:pt idx="341">
                  <c:v>7/17/2022</c:v>
                </c:pt>
                <c:pt idx="342">
                  <c:v>7/20/2022</c:v>
                </c:pt>
                <c:pt idx="343">
                  <c:v>7/21/2022</c:v>
                </c:pt>
                <c:pt idx="344">
                  <c:v>7/22/2022</c:v>
                </c:pt>
                <c:pt idx="345">
                  <c:v>7/25/2022</c:v>
                </c:pt>
                <c:pt idx="346">
                  <c:v>7/28/2022</c:v>
                </c:pt>
                <c:pt idx="347">
                  <c:v>7/29/2022</c:v>
                </c:pt>
                <c:pt idx="348">
                  <c:v>8/1/2022</c:v>
                </c:pt>
                <c:pt idx="349">
                  <c:v>8/4/2022</c:v>
                </c:pt>
                <c:pt idx="350">
                  <c:v>8/5/2022</c:v>
                </c:pt>
                <c:pt idx="351">
                  <c:v>8/11/2022</c:v>
                </c:pt>
                <c:pt idx="352">
                  <c:v>8/12/2022</c:v>
                </c:pt>
                <c:pt idx="353">
                  <c:v>8/15/2022</c:v>
                </c:pt>
                <c:pt idx="354">
                  <c:v>8/16/2022</c:v>
                </c:pt>
                <c:pt idx="355">
                  <c:v>8/18/2022</c:v>
                </c:pt>
                <c:pt idx="356">
                  <c:v>8/19/2022</c:v>
                </c:pt>
                <c:pt idx="357">
                  <c:v>8/22/2022</c:v>
                </c:pt>
                <c:pt idx="358">
                  <c:v>8/25/2022</c:v>
                </c:pt>
                <c:pt idx="359">
                  <c:v>8/26/2022</c:v>
                </c:pt>
                <c:pt idx="360">
                  <c:v>9/2/2022</c:v>
                </c:pt>
                <c:pt idx="361">
                  <c:v>9/8/2022</c:v>
                </c:pt>
                <c:pt idx="362">
                  <c:v>9/9/2022</c:v>
                </c:pt>
                <c:pt idx="363">
                  <c:v>9/13/2022</c:v>
                </c:pt>
                <c:pt idx="364">
                  <c:v>9/14/2022</c:v>
                </c:pt>
                <c:pt idx="365">
                  <c:v>9/16/2022</c:v>
                </c:pt>
                <c:pt idx="366">
                  <c:v>9/22/2022</c:v>
                </c:pt>
                <c:pt idx="367">
                  <c:v>9/28/2022</c:v>
                </c:pt>
                <c:pt idx="368">
                  <c:v>9/29/2022</c:v>
                </c:pt>
                <c:pt idx="369">
                  <c:v>10/3/2022</c:v>
                </c:pt>
                <c:pt idx="370">
                  <c:v>10/6/2022</c:v>
                </c:pt>
                <c:pt idx="371">
                  <c:v>10/7/2022</c:v>
                </c:pt>
                <c:pt idx="372">
                  <c:v>10/12/2022</c:v>
                </c:pt>
                <c:pt idx="373">
                  <c:v>10/14/2022</c:v>
                </c:pt>
                <c:pt idx="374">
                  <c:v>10/17/2022</c:v>
                </c:pt>
                <c:pt idx="375">
                  <c:v>10/19/2022</c:v>
                </c:pt>
                <c:pt idx="376">
                  <c:v>10/20/2022</c:v>
                </c:pt>
                <c:pt idx="377">
                  <c:v>10/21/2022</c:v>
                </c:pt>
                <c:pt idx="378">
                  <c:v>10/26/2022</c:v>
                </c:pt>
                <c:pt idx="379">
                  <c:v>10/28/2022</c:v>
                </c:pt>
                <c:pt idx="380">
                  <c:v>10/31/2022</c:v>
                </c:pt>
                <c:pt idx="381">
                  <c:v>11/1/2022</c:v>
                </c:pt>
                <c:pt idx="382">
                  <c:v>11/3/2022</c:v>
                </c:pt>
                <c:pt idx="383">
                  <c:v>11/4/2022</c:v>
                </c:pt>
                <c:pt idx="384">
                  <c:v>11/5/2022</c:v>
                </c:pt>
                <c:pt idx="385">
                  <c:v>11/13/2022</c:v>
                </c:pt>
                <c:pt idx="386">
                  <c:v>11/20/2022</c:v>
                </c:pt>
                <c:pt idx="387">
                  <c:v>11/24/2022</c:v>
                </c:pt>
                <c:pt idx="388">
                  <c:v>11/25/2022</c:v>
                </c:pt>
                <c:pt idx="389">
                  <c:v>11/30/2022</c:v>
                </c:pt>
                <c:pt idx="390">
                  <c:v>12/1/2022</c:v>
                </c:pt>
                <c:pt idx="391">
                  <c:v>12/2/2022</c:v>
                </c:pt>
                <c:pt idx="392">
                  <c:v>12/8/2022</c:v>
                </c:pt>
                <c:pt idx="393">
                  <c:v>12/9/2022</c:v>
                </c:pt>
                <c:pt idx="394">
                  <c:v>12/12/2022</c:v>
                </c:pt>
                <c:pt idx="395">
                  <c:v>12/15/2022</c:v>
                </c:pt>
                <c:pt idx="396">
                  <c:v>12/16/2022</c:v>
                </c:pt>
                <c:pt idx="397">
                  <c:v>12/19/2022</c:v>
                </c:pt>
                <c:pt idx="398">
                  <c:v>12/20/2022</c:v>
                </c:pt>
                <c:pt idx="399">
                  <c:v>12/22/2022</c:v>
                </c:pt>
                <c:pt idx="400">
                  <c:v>12/23/2022</c:v>
                </c:pt>
                <c:pt idx="401">
                  <c:v>12/24/2022</c:v>
                </c:pt>
                <c:pt idx="402">
                  <c:v>12/30/2022</c:v>
                </c:pt>
                <c:pt idx="403">
                  <c:v>1/2/2023</c:v>
                </c:pt>
                <c:pt idx="404">
                  <c:v>1/11/2023</c:v>
                </c:pt>
                <c:pt idx="405">
                  <c:v>1/12/2023</c:v>
                </c:pt>
                <c:pt idx="406">
                  <c:v>1/13/2023</c:v>
                </c:pt>
                <c:pt idx="407">
                  <c:v>1/20/2023</c:v>
                </c:pt>
                <c:pt idx="408">
                  <c:v>1/23/2023</c:v>
                </c:pt>
                <c:pt idx="409">
                  <c:v>1/27/2023</c:v>
                </c:pt>
                <c:pt idx="410">
                  <c:v>1/31/2023</c:v>
                </c:pt>
                <c:pt idx="411">
                  <c:v>2/2/2023</c:v>
                </c:pt>
                <c:pt idx="412">
                  <c:v>2/3/2023</c:v>
                </c:pt>
                <c:pt idx="413">
                  <c:v>2/5/2023</c:v>
                </c:pt>
                <c:pt idx="414">
                  <c:v>2/8/2023</c:v>
                </c:pt>
                <c:pt idx="415">
                  <c:v>2/10/2023</c:v>
                </c:pt>
                <c:pt idx="416">
                  <c:v>2/14/2023</c:v>
                </c:pt>
                <c:pt idx="417">
                  <c:v>2/17/2023</c:v>
                </c:pt>
                <c:pt idx="418">
                  <c:v>2/23/2023</c:v>
                </c:pt>
                <c:pt idx="419">
                  <c:v>2/24/2023</c:v>
                </c:pt>
                <c:pt idx="420">
                  <c:v>2/25/2023</c:v>
                </c:pt>
                <c:pt idx="421">
                  <c:v>3/1/2023</c:v>
                </c:pt>
                <c:pt idx="422">
                  <c:v>3/2/2023</c:v>
                </c:pt>
                <c:pt idx="423">
                  <c:v>3/3/2023</c:v>
                </c:pt>
                <c:pt idx="424">
                  <c:v>3/4/2023</c:v>
                </c:pt>
                <c:pt idx="425">
                  <c:v>3/10/2023</c:v>
                </c:pt>
                <c:pt idx="426">
                  <c:v>3/14/2023</c:v>
                </c:pt>
                <c:pt idx="427">
                  <c:v>3/16/2023</c:v>
                </c:pt>
                <c:pt idx="428">
                  <c:v>3/17/2023</c:v>
                </c:pt>
                <c:pt idx="429">
                  <c:v>3/22/2023</c:v>
                </c:pt>
                <c:pt idx="430">
                  <c:v>3/23/2023</c:v>
                </c:pt>
                <c:pt idx="431">
                  <c:v>3/24/2023</c:v>
                </c:pt>
                <c:pt idx="432">
                  <c:v>3/25/2023</c:v>
                </c:pt>
                <c:pt idx="433">
                  <c:v>3/27/2023</c:v>
                </c:pt>
                <c:pt idx="434">
                  <c:v>3/29/2023</c:v>
                </c:pt>
                <c:pt idx="435">
                  <c:v>3/30/2023</c:v>
                </c:pt>
                <c:pt idx="436">
                  <c:v>3/31/2023</c:v>
                </c:pt>
                <c:pt idx="437">
                  <c:v>4/4/2023</c:v>
                </c:pt>
                <c:pt idx="438">
                  <c:v>4/6/2023</c:v>
                </c:pt>
                <c:pt idx="439">
                  <c:v>4/7/2023</c:v>
                </c:pt>
                <c:pt idx="440">
                  <c:v>4/10/2023</c:v>
                </c:pt>
                <c:pt idx="441">
                  <c:v>4/12/2023</c:v>
                </c:pt>
                <c:pt idx="442">
                  <c:v>4/14/2023</c:v>
                </c:pt>
                <c:pt idx="443">
                  <c:v>4/17/2023</c:v>
                </c:pt>
                <c:pt idx="444">
                  <c:v>4/21/2023</c:v>
                </c:pt>
                <c:pt idx="445">
                  <c:v>4/24/2023</c:v>
                </c:pt>
                <c:pt idx="446">
                  <c:v>4/25/2023</c:v>
                </c:pt>
                <c:pt idx="447">
                  <c:v>4/27/2023</c:v>
                </c:pt>
                <c:pt idx="448">
                  <c:v>4/30/2023</c:v>
                </c:pt>
                <c:pt idx="449">
                  <c:v>5/1/2023</c:v>
                </c:pt>
                <c:pt idx="450">
                  <c:v>5/4/2023</c:v>
                </c:pt>
                <c:pt idx="451">
                  <c:v>5/5/2023</c:v>
                </c:pt>
                <c:pt idx="452">
                  <c:v>5/11/2023</c:v>
                </c:pt>
                <c:pt idx="453">
                  <c:v>5/12/2023</c:v>
                </c:pt>
                <c:pt idx="454">
                  <c:v>5/13/2023</c:v>
                </c:pt>
                <c:pt idx="455">
                  <c:v>5/15/2023</c:v>
                </c:pt>
                <c:pt idx="456">
                  <c:v>5/18/2023</c:v>
                </c:pt>
                <c:pt idx="457">
                  <c:v>5/19/2023</c:v>
                </c:pt>
                <c:pt idx="458">
                  <c:v>5/22/2023</c:v>
                </c:pt>
                <c:pt idx="459">
                  <c:v>5/25/2023</c:v>
                </c:pt>
                <c:pt idx="460">
                  <c:v>5/26/2023</c:v>
                </c:pt>
                <c:pt idx="461">
                  <c:v>5/31/2023</c:v>
                </c:pt>
                <c:pt idx="462">
                  <c:v>6/1/2023</c:v>
                </c:pt>
                <c:pt idx="463">
                  <c:v>6/2/2023</c:v>
                </c:pt>
                <c:pt idx="464">
                  <c:v>6/5/2023</c:v>
                </c:pt>
                <c:pt idx="465">
                  <c:v>6/8/2023</c:v>
                </c:pt>
                <c:pt idx="466">
                  <c:v>6/9/2023</c:v>
                </c:pt>
                <c:pt idx="467">
                  <c:v>6/15/2023</c:v>
                </c:pt>
                <c:pt idx="468">
                  <c:v>6/21/2023</c:v>
                </c:pt>
                <c:pt idx="469">
                  <c:v>6/22/2023</c:v>
                </c:pt>
                <c:pt idx="470">
                  <c:v>6/23/2023</c:v>
                </c:pt>
                <c:pt idx="471">
                  <c:v>6/28/2023</c:v>
                </c:pt>
                <c:pt idx="472">
                  <c:v>6/29/2023</c:v>
                </c:pt>
                <c:pt idx="473">
                  <c:v>6/30/2023</c:v>
                </c:pt>
                <c:pt idx="474">
                  <c:v>7/7/2023</c:v>
                </c:pt>
                <c:pt idx="475">
                  <c:v>7/13/2023</c:v>
                </c:pt>
                <c:pt idx="476">
                  <c:v>7/14/2023</c:v>
                </c:pt>
              </c:strCache>
            </c:strRef>
          </c:cat>
          <c:val>
            <c:numRef>
              <c:f>date!$B$4:$B$481</c:f>
              <c:numCache>
                <c:formatCode>General</c:formatCode>
                <c:ptCount val="47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4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3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2</c:v>
                </c:pt>
                <c:pt idx="56">
                  <c:v>3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7</c:v>
                </c:pt>
                <c:pt idx="62">
                  <c:v>1</c:v>
                </c:pt>
                <c:pt idx="63">
                  <c:v>2</c:v>
                </c:pt>
                <c:pt idx="64">
                  <c:v>5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7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7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2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2</c:v>
                </c:pt>
                <c:pt idx="109">
                  <c:v>1</c:v>
                </c:pt>
                <c:pt idx="110">
                  <c:v>2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2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3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2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3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2</c:v>
                </c:pt>
                <c:pt idx="148">
                  <c:v>1</c:v>
                </c:pt>
                <c:pt idx="149">
                  <c:v>1</c:v>
                </c:pt>
                <c:pt idx="150">
                  <c:v>2</c:v>
                </c:pt>
                <c:pt idx="151">
                  <c:v>2</c:v>
                </c:pt>
                <c:pt idx="152">
                  <c:v>1</c:v>
                </c:pt>
                <c:pt idx="153">
                  <c:v>1</c:v>
                </c:pt>
                <c:pt idx="154">
                  <c:v>5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2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2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3</c:v>
                </c:pt>
                <c:pt idx="170">
                  <c:v>1</c:v>
                </c:pt>
                <c:pt idx="171">
                  <c:v>3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4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2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3</c:v>
                </c:pt>
                <c:pt idx="197">
                  <c:v>1</c:v>
                </c:pt>
                <c:pt idx="198">
                  <c:v>3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5</c:v>
                </c:pt>
                <c:pt idx="207">
                  <c:v>1</c:v>
                </c:pt>
                <c:pt idx="208">
                  <c:v>2</c:v>
                </c:pt>
                <c:pt idx="209">
                  <c:v>3</c:v>
                </c:pt>
                <c:pt idx="210">
                  <c:v>5</c:v>
                </c:pt>
                <c:pt idx="211">
                  <c:v>2</c:v>
                </c:pt>
                <c:pt idx="212">
                  <c:v>2</c:v>
                </c:pt>
                <c:pt idx="213">
                  <c:v>1</c:v>
                </c:pt>
                <c:pt idx="214">
                  <c:v>1</c:v>
                </c:pt>
                <c:pt idx="215">
                  <c:v>2</c:v>
                </c:pt>
                <c:pt idx="216">
                  <c:v>1</c:v>
                </c:pt>
                <c:pt idx="217">
                  <c:v>1</c:v>
                </c:pt>
                <c:pt idx="218">
                  <c:v>2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2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2</c:v>
                </c:pt>
                <c:pt idx="227">
                  <c:v>1</c:v>
                </c:pt>
                <c:pt idx="228">
                  <c:v>5</c:v>
                </c:pt>
                <c:pt idx="229">
                  <c:v>1</c:v>
                </c:pt>
                <c:pt idx="230">
                  <c:v>2</c:v>
                </c:pt>
                <c:pt idx="231">
                  <c:v>3</c:v>
                </c:pt>
                <c:pt idx="232">
                  <c:v>1</c:v>
                </c:pt>
                <c:pt idx="233">
                  <c:v>1</c:v>
                </c:pt>
                <c:pt idx="234">
                  <c:v>2</c:v>
                </c:pt>
                <c:pt idx="235">
                  <c:v>1</c:v>
                </c:pt>
                <c:pt idx="236">
                  <c:v>1</c:v>
                </c:pt>
                <c:pt idx="237">
                  <c:v>2</c:v>
                </c:pt>
                <c:pt idx="238">
                  <c:v>1</c:v>
                </c:pt>
                <c:pt idx="239">
                  <c:v>4</c:v>
                </c:pt>
                <c:pt idx="240">
                  <c:v>2</c:v>
                </c:pt>
                <c:pt idx="241">
                  <c:v>1</c:v>
                </c:pt>
                <c:pt idx="242">
                  <c:v>1</c:v>
                </c:pt>
                <c:pt idx="243">
                  <c:v>3</c:v>
                </c:pt>
                <c:pt idx="244">
                  <c:v>3</c:v>
                </c:pt>
                <c:pt idx="245">
                  <c:v>1</c:v>
                </c:pt>
                <c:pt idx="246">
                  <c:v>1</c:v>
                </c:pt>
                <c:pt idx="247">
                  <c:v>2</c:v>
                </c:pt>
                <c:pt idx="248">
                  <c:v>8</c:v>
                </c:pt>
                <c:pt idx="249">
                  <c:v>1</c:v>
                </c:pt>
                <c:pt idx="250">
                  <c:v>1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1</c:v>
                </c:pt>
                <c:pt idx="255">
                  <c:v>1</c:v>
                </c:pt>
                <c:pt idx="256">
                  <c:v>3</c:v>
                </c:pt>
                <c:pt idx="257">
                  <c:v>2</c:v>
                </c:pt>
                <c:pt idx="258">
                  <c:v>2</c:v>
                </c:pt>
                <c:pt idx="259">
                  <c:v>19</c:v>
                </c:pt>
                <c:pt idx="260">
                  <c:v>1</c:v>
                </c:pt>
                <c:pt idx="261">
                  <c:v>3</c:v>
                </c:pt>
                <c:pt idx="262">
                  <c:v>2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2</c:v>
                </c:pt>
                <c:pt idx="268">
                  <c:v>1</c:v>
                </c:pt>
                <c:pt idx="269">
                  <c:v>2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4</c:v>
                </c:pt>
                <c:pt idx="274">
                  <c:v>2</c:v>
                </c:pt>
                <c:pt idx="275">
                  <c:v>1</c:v>
                </c:pt>
                <c:pt idx="276">
                  <c:v>1</c:v>
                </c:pt>
                <c:pt idx="277">
                  <c:v>6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5</c:v>
                </c:pt>
                <c:pt idx="282">
                  <c:v>2</c:v>
                </c:pt>
                <c:pt idx="283">
                  <c:v>2</c:v>
                </c:pt>
                <c:pt idx="284">
                  <c:v>3</c:v>
                </c:pt>
                <c:pt idx="285">
                  <c:v>1</c:v>
                </c:pt>
                <c:pt idx="286">
                  <c:v>1</c:v>
                </c:pt>
                <c:pt idx="287">
                  <c:v>2</c:v>
                </c:pt>
                <c:pt idx="288">
                  <c:v>1</c:v>
                </c:pt>
                <c:pt idx="289">
                  <c:v>1</c:v>
                </c:pt>
                <c:pt idx="290">
                  <c:v>4</c:v>
                </c:pt>
                <c:pt idx="291">
                  <c:v>2</c:v>
                </c:pt>
                <c:pt idx="292">
                  <c:v>2</c:v>
                </c:pt>
                <c:pt idx="293">
                  <c:v>1</c:v>
                </c:pt>
                <c:pt idx="294">
                  <c:v>4</c:v>
                </c:pt>
                <c:pt idx="295">
                  <c:v>2</c:v>
                </c:pt>
                <c:pt idx="296">
                  <c:v>3</c:v>
                </c:pt>
                <c:pt idx="297">
                  <c:v>3</c:v>
                </c:pt>
                <c:pt idx="298">
                  <c:v>2</c:v>
                </c:pt>
                <c:pt idx="299">
                  <c:v>1</c:v>
                </c:pt>
                <c:pt idx="300">
                  <c:v>1</c:v>
                </c:pt>
                <c:pt idx="301">
                  <c:v>5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2</c:v>
                </c:pt>
                <c:pt idx="306">
                  <c:v>5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4</c:v>
                </c:pt>
                <c:pt idx="312">
                  <c:v>2</c:v>
                </c:pt>
                <c:pt idx="313">
                  <c:v>1</c:v>
                </c:pt>
                <c:pt idx="314">
                  <c:v>27</c:v>
                </c:pt>
                <c:pt idx="315">
                  <c:v>1</c:v>
                </c:pt>
                <c:pt idx="316">
                  <c:v>2</c:v>
                </c:pt>
                <c:pt idx="317">
                  <c:v>23</c:v>
                </c:pt>
                <c:pt idx="318">
                  <c:v>14</c:v>
                </c:pt>
                <c:pt idx="319">
                  <c:v>1</c:v>
                </c:pt>
                <c:pt idx="320">
                  <c:v>1</c:v>
                </c:pt>
                <c:pt idx="321">
                  <c:v>2</c:v>
                </c:pt>
                <c:pt idx="322">
                  <c:v>1</c:v>
                </c:pt>
                <c:pt idx="323">
                  <c:v>2</c:v>
                </c:pt>
                <c:pt idx="324">
                  <c:v>3</c:v>
                </c:pt>
                <c:pt idx="325">
                  <c:v>1</c:v>
                </c:pt>
                <c:pt idx="326">
                  <c:v>1</c:v>
                </c:pt>
                <c:pt idx="327">
                  <c:v>10</c:v>
                </c:pt>
                <c:pt idx="328">
                  <c:v>1</c:v>
                </c:pt>
                <c:pt idx="329">
                  <c:v>2</c:v>
                </c:pt>
                <c:pt idx="330">
                  <c:v>3</c:v>
                </c:pt>
                <c:pt idx="331">
                  <c:v>1</c:v>
                </c:pt>
                <c:pt idx="332">
                  <c:v>1</c:v>
                </c:pt>
                <c:pt idx="333">
                  <c:v>3</c:v>
                </c:pt>
                <c:pt idx="334">
                  <c:v>1</c:v>
                </c:pt>
                <c:pt idx="335">
                  <c:v>3</c:v>
                </c:pt>
                <c:pt idx="336">
                  <c:v>2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5</c:v>
                </c:pt>
                <c:pt idx="341">
                  <c:v>2</c:v>
                </c:pt>
                <c:pt idx="342">
                  <c:v>3</c:v>
                </c:pt>
                <c:pt idx="343">
                  <c:v>1</c:v>
                </c:pt>
                <c:pt idx="344">
                  <c:v>2</c:v>
                </c:pt>
                <c:pt idx="345">
                  <c:v>1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1</c:v>
                </c:pt>
                <c:pt idx="350">
                  <c:v>5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2</c:v>
                </c:pt>
                <c:pt idx="357">
                  <c:v>1</c:v>
                </c:pt>
                <c:pt idx="358">
                  <c:v>1</c:v>
                </c:pt>
                <c:pt idx="359">
                  <c:v>2</c:v>
                </c:pt>
                <c:pt idx="360">
                  <c:v>1</c:v>
                </c:pt>
                <c:pt idx="361">
                  <c:v>1</c:v>
                </c:pt>
                <c:pt idx="362">
                  <c:v>2</c:v>
                </c:pt>
                <c:pt idx="363">
                  <c:v>3</c:v>
                </c:pt>
                <c:pt idx="364">
                  <c:v>1</c:v>
                </c:pt>
                <c:pt idx="365">
                  <c:v>3</c:v>
                </c:pt>
                <c:pt idx="366">
                  <c:v>4</c:v>
                </c:pt>
                <c:pt idx="367">
                  <c:v>2</c:v>
                </c:pt>
                <c:pt idx="368">
                  <c:v>3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3</c:v>
                </c:pt>
                <c:pt idx="373">
                  <c:v>2</c:v>
                </c:pt>
                <c:pt idx="374">
                  <c:v>3</c:v>
                </c:pt>
                <c:pt idx="375">
                  <c:v>1</c:v>
                </c:pt>
                <c:pt idx="376">
                  <c:v>2</c:v>
                </c:pt>
                <c:pt idx="377">
                  <c:v>17</c:v>
                </c:pt>
                <c:pt idx="378">
                  <c:v>1</c:v>
                </c:pt>
                <c:pt idx="379">
                  <c:v>3</c:v>
                </c:pt>
                <c:pt idx="380">
                  <c:v>2</c:v>
                </c:pt>
                <c:pt idx="381">
                  <c:v>1</c:v>
                </c:pt>
                <c:pt idx="382">
                  <c:v>3</c:v>
                </c:pt>
                <c:pt idx="383">
                  <c:v>14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3</c:v>
                </c:pt>
                <c:pt idx="390">
                  <c:v>1</c:v>
                </c:pt>
                <c:pt idx="391">
                  <c:v>12</c:v>
                </c:pt>
                <c:pt idx="392">
                  <c:v>5</c:v>
                </c:pt>
                <c:pt idx="393">
                  <c:v>17</c:v>
                </c:pt>
                <c:pt idx="394">
                  <c:v>1</c:v>
                </c:pt>
                <c:pt idx="395">
                  <c:v>3</c:v>
                </c:pt>
                <c:pt idx="396">
                  <c:v>2</c:v>
                </c:pt>
                <c:pt idx="397">
                  <c:v>1</c:v>
                </c:pt>
                <c:pt idx="398">
                  <c:v>1</c:v>
                </c:pt>
                <c:pt idx="399">
                  <c:v>2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2</c:v>
                </c:pt>
                <c:pt idx="406">
                  <c:v>2</c:v>
                </c:pt>
                <c:pt idx="407">
                  <c:v>1</c:v>
                </c:pt>
                <c:pt idx="408">
                  <c:v>2</c:v>
                </c:pt>
                <c:pt idx="409">
                  <c:v>7</c:v>
                </c:pt>
                <c:pt idx="410">
                  <c:v>3</c:v>
                </c:pt>
                <c:pt idx="411">
                  <c:v>3</c:v>
                </c:pt>
                <c:pt idx="412">
                  <c:v>2</c:v>
                </c:pt>
                <c:pt idx="413">
                  <c:v>1</c:v>
                </c:pt>
                <c:pt idx="414">
                  <c:v>1</c:v>
                </c:pt>
                <c:pt idx="415">
                  <c:v>2</c:v>
                </c:pt>
                <c:pt idx="416">
                  <c:v>2</c:v>
                </c:pt>
                <c:pt idx="417">
                  <c:v>1</c:v>
                </c:pt>
                <c:pt idx="418">
                  <c:v>3</c:v>
                </c:pt>
                <c:pt idx="419">
                  <c:v>7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9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7</c:v>
                </c:pt>
                <c:pt idx="429">
                  <c:v>1</c:v>
                </c:pt>
                <c:pt idx="430">
                  <c:v>2</c:v>
                </c:pt>
                <c:pt idx="431">
                  <c:v>5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3</c:v>
                </c:pt>
                <c:pt idx="437">
                  <c:v>2</c:v>
                </c:pt>
                <c:pt idx="438">
                  <c:v>1</c:v>
                </c:pt>
                <c:pt idx="439">
                  <c:v>5</c:v>
                </c:pt>
                <c:pt idx="440">
                  <c:v>1</c:v>
                </c:pt>
                <c:pt idx="441">
                  <c:v>1</c:v>
                </c:pt>
                <c:pt idx="442">
                  <c:v>3</c:v>
                </c:pt>
                <c:pt idx="443">
                  <c:v>1</c:v>
                </c:pt>
                <c:pt idx="444">
                  <c:v>3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2</c:v>
                </c:pt>
                <c:pt idx="450">
                  <c:v>3</c:v>
                </c:pt>
                <c:pt idx="451">
                  <c:v>1</c:v>
                </c:pt>
                <c:pt idx="452">
                  <c:v>2</c:v>
                </c:pt>
                <c:pt idx="453">
                  <c:v>2</c:v>
                </c:pt>
                <c:pt idx="454">
                  <c:v>1</c:v>
                </c:pt>
                <c:pt idx="455">
                  <c:v>3</c:v>
                </c:pt>
                <c:pt idx="456">
                  <c:v>2</c:v>
                </c:pt>
                <c:pt idx="457">
                  <c:v>4</c:v>
                </c:pt>
                <c:pt idx="458">
                  <c:v>2</c:v>
                </c:pt>
                <c:pt idx="459">
                  <c:v>1</c:v>
                </c:pt>
                <c:pt idx="460">
                  <c:v>5</c:v>
                </c:pt>
                <c:pt idx="461">
                  <c:v>1</c:v>
                </c:pt>
                <c:pt idx="462">
                  <c:v>3</c:v>
                </c:pt>
                <c:pt idx="463">
                  <c:v>12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5</c:v>
                </c:pt>
                <c:pt idx="470">
                  <c:v>3</c:v>
                </c:pt>
                <c:pt idx="471">
                  <c:v>1</c:v>
                </c:pt>
                <c:pt idx="472">
                  <c:v>1</c:v>
                </c:pt>
                <c:pt idx="473">
                  <c:v>2</c:v>
                </c:pt>
                <c:pt idx="474">
                  <c:v>8</c:v>
                </c:pt>
                <c:pt idx="475">
                  <c:v>3</c:v>
                </c:pt>
                <c:pt idx="47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E5-4613-9B03-5BAD02373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320967"/>
        <c:axId val="2102714376"/>
      </c:lineChart>
      <c:catAx>
        <c:axId val="105320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714376"/>
        <c:crosses val="autoZero"/>
        <c:auto val="1"/>
        <c:lblAlgn val="ctr"/>
        <c:lblOffset val="100"/>
        <c:noMultiLvlLbl val="0"/>
      </c:catAx>
      <c:valAx>
        <c:axId val="210271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20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[spotify-2023.xlsx]dancability!PivotTable3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dancibility by artist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dancability!$B$3</c:f>
              <c:strCache>
                <c:ptCount val="1"/>
                <c:pt idx="0">
                  <c:v>Average of danceability_%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dancability!$A$4:$A$649</c:f>
              <c:strCache>
                <c:ptCount val="645"/>
                <c:pt idx="0">
                  <c:v>Myke Towers</c:v>
                </c:pt>
                <c:pt idx="1">
                  <c:v>Guns N' Roses</c:v>
                </c:pt>
                <c:pt idx="2">
                  <c:v>Kanii, PR1ISVX</c:v>
                </c:pt>
                <c:pt idx="3">
                  <c:v>Drake, Travis Scott</c:v>
                </c:pt>
                <c:pt idx="4">
                  <c:v>Rï¿½ï¿½ma, Selena G</c:v>
                </c:pt>
                <c:pt idx="5">
                  <c:v>Eden Muï¿½ï</c:v>
                </c:pt>
                <c:pt idx="6">
                  <c:v>PnB Rock</c:v>
                </c:pt>
                <c:pt idx="7">
                  <c:v>Chanel</c:v>
                </c:pt>
                <c:pt idx="8">
                  <c:v>Sidhu Moose Wala</c:v>
                </c:pt>
                <c:pt idx="9">
                  <c:v>Emmy Meli</c:v>
                </c:pt>
                <c:pt idx="10">
                  <c:v>Yng Lvcas</c:v>
                </c:pt>
                <c:pt idx="11">
                  <c:v>Veigh, Bvga Beatz, Supernova Ent, Prod Malax</c:v>
                </c:pt>
                <c:pt idx="12">
                  <c:v>Swae Lee, Lil Wayne, Offset, Metro Boomin</c:v>
                </c:pt>
                <c:pt idx="13">
                  <c:v>Charli XCX, Jax Jones, Joel Corry, Saweetie</c:v>
                </c:pt>
                <c:pt idx="14">
                  <c:v>Jnr Choi</c:v>
                </c:pt>
                <c:pt idx="15">
                  <c:v>A$AP Rocky, Metro Boomin, Roisee</c:v>
                </c:pt>
                <c:pt idx="16">
                  <c:v>Paul McCartney</c:v>
                </c:pt>
                <c:pt idx="17">
                  <c:v>sped up 8282</c:v>
                </c:pt>
                <c:pt idx="18">
                  <c:v>The Police</c:v>
                </c:pt>
                <c:pt idx="19">
                  <c:v>SZA, Don Toliver</c:v>
                </c:pt>
                <c:pt idx="20">
                  <c:v>Perry Como, The Fontane Sisters, Mitchell Ayres &amp; His Orchestra</c:v>
                </c:pt>
                <c:pt idx="21">
                  <c:v>Willow</c:v>
                </c:pt>
                <c:pt idx="22">
                  <c:v>Kaifi Khalil</c:v>
                </c:pt>
                <c:pt idx="23">
                  <c:v>Travis Scott, Metro Boomin</c:v>
                </c:pt>
                <c:pt idx="24">
                  <c:v>Halsey, BTS</c:v>
                </c:pt>
                <c:pt idx="25">
                  <c:v>Kali Uchis</c:v>
                </c:pt>
                <c:pt idx="26">
                  <c:v>Gotye, Kimbra</c:v>
                </c:pt>
                <c:pt idx="27">
                  <c:v>Simone Mendes</c:v>
                </c:pt>
                <c:pt idx="28">
                  <c:v>Dr. Dre, 2Pac, Roger</c:v>
                </c:pt>
                <c:pt idx="29">
                  <c:v>PSY, Suga</c:v>
                </c:pt>
                <c:pt idx="30">
                  <c:v>Nicky Jam, Feid</c:v>
                </c:pt>
                <c:pt idx="31">
                  <c:v>Jessica Darrow</c:v>
                </c:pt>
                <c:pt idx="32">
                  <c:v>Justin Bieber, Don Toliver</c:v>
                </c:pt>
                <c:pt idx="33">
                  <c:v>Skrillex, Flowdan, Fred again..</c:v>
                </c:pt>
                <c:pt idx="34">
                  <c:v>Burl Ives</c:v>
                </c:pt>
                <c:pt idx="35">
                  <c:v>Interplanetary Criminal, Eliza Rose</c:v>
                </c:pt>
                <c:pt idx="36">
                  <c:v>Latto, Jung Kook</c:v>
                </c:pt>
                <c:pt idx="37">
                  <c:v>Styrx, utku INC, Thezth</c:v>
                </c:pt>
                <c:pt idx="38">
                  <c:v>Farruko</c:v>
                </c:pt>
                <c:pt idx="39">
                  <c:v>Rex Orange County</c:v>
                </c:pt>
                <c:pt idx="40">
                  <c:v>Justin Bieber, The Kid Laroi</c:v>
                </c:pt>
                <c:pt idx="41">
                  <c:v>Shawn Mendes, Camila Cabello</c:v>
                </c:pt>
                <c:pt idx="42">
                  <c:v>Alvaro Diaz, Rauw Alejandro</c:v>
                </c:pt>
                <c:pt idx="43">
                  <c:v>Southstar</c:v>
                </c:pt>
                <c:pt idx="44">
                  <c:v>Post Malone, Roddy Ricch</c:v>
                </c:pt>
                <c:pt idx="45">
                  <c:v>Sean Paul, Dua Lipa</c:v>
                </c:pt>
                <c:pt idx="46">
                  <c:v>MC Ryan SP, Love Funk, Mc Paiva ZS</c:v>
                </c:pt>
                <c:pt idx="47">
                  <c:v>Sleepy hallow, 347aidan</c:v>
                </c:pt>
                <c:pt idx="48">
                  <c:v>Ckay, AX'EL, Dj Yo!</c:v>
                </c:pt>
                <c:pt idx="49">
                  <c:v>Imagine Dragons, League of Legends, Arcane</c:v>
                </c:pt>
                <c:pt idx="50">
                  <c:v>Frank Ocean</c:v>
                </c:pt>
                <c:pt idx="51">
                  <c:v>Anitta, Tini, Becky G</c:v>
                </c:pt>
                <c:pt idx="52">
                  <c:v>The Goo Goo Dolls</c:v>
                </c:pt>
                <c:pt idx="53">
                  <c:v>Suki Waterhouse</c:v>
                </c:pt>
                <c:pt idx="54">
                  <c:v>AnnenMayKantereit, Giant Rooks</c:v>
                </c:pt>
                <c:pt idx="55">
                  <c:v>Oxlade</c:v>
                </c:pt>
                <c:pt idx="56">
                  <c:v>Young Thug, Future, Gunna</c:v>
                </c:pt>
                <c:pt idx="57">
                  <c:v>PinkPantheress</c:v>
                </c:pt>
                <c:pt idx="58">
                  <c:v>Edison Lighthouse</c:v>
                </c:pt>
                <c:pt idx="59">
                  <c:v>Ed Sheeran, Fireboy DML</c:v>
                </c:pt>
                <c:pt idx="60">
                  <c:v>Ozuna, Shakira</c:v>
                </c:pt>
                <c:pt idx="61">
                  <c:v>Karol G, Quevedo</c:v>
                </c:pt>
                <c:pt idx="62">
                  <c:v>Jack Harlow, Lil Nas X</c:v>
                </c:pt>
                <c:pt idx="63">
                  <c:v>Rauw Alejandro, Bizarrap</c:v>
                </c:pt>
                <c:pt idx="64">
                  <c:v>Post Malone</c:v>
                </c:pt>
                <c:pt idx="65">
                  <c:v>Shae Gill, Ali Sethi</c:v>
                </c:pt>
                <c:pt idx="66">
                  <c:v>Marï¿½ï¿½lia Mendonï¿½ï¿½a, Maiara &amp;</c:v>
                </c:pt>
                <c:pt idx="67">
                  <c:v>Bizarrap, Peso Pluma</c:v>
                </c:pt>
                <c:pt idx="68">
                  <c:v>The Rare Occasions</c:v>
                </c:pt>
                <c:pt idx="69">
                  <c:v>Ed Sheeran, J Balvin</c:v>
                </c:pt>
                <c:pt idx="70">
                  <c:v>Dave</c:v>
                </c:pt>
                <c:pt idx="71">
                  <c:v>TAEYANG, Lisa</c:v>
                </c:pt>
                <c:pt idx="72">
                  <c:v>Meghan Trainor</c:v>
                </c:pt>
                <c:pt idx="73">
                  <c:v>Luis R Conriquez, La Adictiva</c:v>
                </c:pt>
                <c:pt idx="74">
                  <c:v>Lauren Spencer Smith, Lauren Spencer Smith, Lauren Spencer Smith</c:v>
                </c:pt>
                <c:pt idx="75">
                  <c:v>Karol G, Becky G</c:v>
                </c:pt>
                <c:pt idx="76">
                  <c:v>Mahmood, Blanco</c:v>
                </c:pt>
                <c:pt idx="77">
                  <c:v>teto</c:v>
                </c:pt>
                <c:pt idx="78">
                  <c:v>Duki, NICKI NICOLE, Cris Mj, Standly, Stars Music Chile</c:v>
                </c:pt>
                <c:pt idx="79">
                  <c:v>John Legend, Metro Boomin</c:v>
                </c:pt>
                <c:pt idx="80">
                  <c:v>Coldplay, BTS</c:v>
                </c:pt>
                <c:pt idx="81">
                  <c:v>C. Tangana</c:v>
                </c:pt>
                <c:pt idx="82">
                  <c:v>Fuerza Regida, Grupo Frontera</c:v>
                </c:pt>
                <c:pt idx="83">
                  <c:v>Tini, L-Gante</c:v>
                </c:pt>
                <c:pt idx="84">
                  <c:v>Zï¿½ï¿½ Neto &amp; Crist</c:v>
                </c:pt>
                <c:pt idx="85">
                  <c:v>IVE</c:v>
                </c:pt>
                <c:pt idx="86">
                  <c:v>Kali Uchis, Amaarae, Moliy</c:v>
                </c:pt>
                <c:pt idx="87">
                  <c:v>Tiï¿½ï¿½sto, Kar</c:v>
                </c:pt>
                <c:pt idx="88">
                  <c:v>Mariah Carey</c:v>
                </c:pt>
                <c:pt idx="89">
                  <c:v>Steve Aoki, Tini, La Joaqui</c:v>
                </c:pt>
                <c:pt idx="90">
                  <c:v>Nayeon</c:v>
                </c:pt>
                <c:pt idx="91">
                  <c:v>Kanye West, XXXTENTACION</c:v>
                </c:pt>
                <c:pt idx="92">
                  <c:v>Ozuna, Tiago pzk</c:v>
                </c:pt>
                <c:pt idx="93">
                  <c:v>BTS, Jung Kook, FIFA Sound</c:v>
                </c:pt>
                <c:pt idx="94">
                  <c:v>Arcangel, Bad Bunny</c:v>
                </c:pt>
                <c:pt idx="95">
                  <c:v>John Legend</c:v>
                </c:pt>
                <c:pt idx="96">
                  <c:v>Grupo Marca Registrada, Junior H</c:v>
                </c:pt>
                <c:pt idx="97">
                  <c:v>Bobby Helms</c:v>
                </c:pt>
                <c:pt idx="98">
                  <c:v>Rels B</c:v>
                </c:pt>
                <c:pt idx="99">
                  <c:v>The Killers</c:v>
                </c:pt>
                <c:pt idx="100">
                  <c:v>Cherish, ACRAZE</c:v>
                </c:pt>
                <c:pt idx="101">
                  <c:v>The Weeknd, Tyler, The Creator</c:v>
                </c:pt>
                <c:pt idx="102">
                  <c:v>Rï¿½ï</c:v>
                </c:pt>
                <c:pt idx="103">
                  <c:v>Tulus</c:v>
                </c:pt>
                <c:pt idx="104">
                  <c:v>Riton, Nightcrawlers, Mufasa &amp; Hypeman, Dopamine</c:v>
                </c:pt>
                <c:pt idx="105">
                  <c:v>Sech, Bad Bunny, Mora</c:v>
                </c:pt>
                <c:pt idx="106">
                  <c:v>Duki</c:v>
                </c:pt>
                <c:pt idx="107">
                  <c:v>Central Cee</c:v>
                </c:pt>
                <c:pt idx="108">
                  <c:v>Anuel Aa, Myke Towers, Jhay Cortez</c:v>
                </c:pt>
                <c:pt idx="109">
                  <c:v>WizKid, Toian, Metro Boomin, Don Toliver, Beam</c:v>
                </c:pt>
                <c:pt idx="110">
                  <c:v>James Hype, Miggy Dela Rosa</c:v>
                </c:pt>
                <c:pt idx="111">
                  <c:v>BoyWithUke</c:v>
                </c:pt>
                <c:pt idx="112">
                  <c:v>Zï¿½ï¿½ Fe</c:v>
                </c:pt>
                <c:pt idx="113">
                  <c:v>Feid, Sech, Jhayco</c:v>
                </c:pt>
                <c:pt idx="114">
                  <c:v>Ovy On The Drums, Quevedo</c:v>
                </c:pt>
                <c:pt idx="115">
                  <c:v>TWICE</c:v>
                </c:pt>
                <c:pt idx="116">
                  <c:v>Em Beihold, Stephen Sanchez</c:v>
                </c:pt>
                <c:pt idx="117">
                  <c:v>Lana Del Rey, Taylor Swift</c:v>
                </c:pt>
                <c:pt idx="118">
                  <c:v>Vundabar</c:v>
                </c:pt>
                <c:pt idx="119">
                  <c:v>Drake, Travis Scott, 21 Savage</c:v>
                </c:pt>
                <c:pt idx="120">
                  <c:v>Calvin Harris, Dua Lipa</c:v>
                </c:pt>
                <c:pt idx="121">
                  <c:v>Fuerza Regida, Chino Pacas</c:v>
                </c:pt>
                <c:pt idx="122">
                  <c:v>RM, Colde</c:v>
                </c:pt>
                <c:pt idx="123">
                  <c:v>Tiï¿½ï¿</c:v>
                </c:pt>
                <c:pt idx="124">
                  <c:v>Mr.Kitty</c:v>
                </c:pt>
                <c:pt idx="125">
                  <c:v>Prezioso, Gabry Ponte, LUM!X</c:v>
                </c:pt>
                <c:pt idx="126">
                  <c:v>Anuel Aa, Jhay Cortez</c:v>
                </c:pt>
                <c:pt idx="127">
                  <c:v>Marï¿½ï¿½lia Mendo</c:v>
                </c:pt>
                <c:pt idx="128">
                  <c:v>j-hope, J. Cole</c:v>
                </c:pt>
                <c:pt idx="129">
                  <c:v>Tiï¿½ï¿½sto, Ava</c:v>
                </c:pt>
                <c:pt idx="130">
                  <c:v>Sog, Ryan Castro, Peso Pluma</c:v>
                </c:pt>
                <c:pt idx="131">
                  <c:v>Arijit Singh, Sachin-Jigar, Amitabha Bhattacharya</c:v>
                </c:pt>
                <c:pt idx="132">
                  <c:v>Julieta Venegas, Bad Bunny, Tainy</c:v>
                </c:pt>
                <c:pt idx="133">
                  <c:v>Eminem, Dido</c:v>
                </c:pt>
                <c:pt idx="134">
                  <c:v>Mc Vitin Da Igrejinha, MC Tairon, DJ Win</c:v>
                </c:pt>
                <c:pt idx="135">
                  <c:v>Nengo Flow, Bad Bunny</c:v>
                </c:pt>
                <c:pt idx="136">
                  <c:v>ROSALï¿½</c:v>
                </c:pt>
                <c:pt idx="137">
                  <c:v>Future, Metro Boomin, Don Toliver</c:v>
                </c:pt>
                <c:pt idx="138">
                  <c:v>BYOR, Imanbek</c:v>
                </c:pt>
                <c:pt idx="139">
                  <c:v>Ak4:20, Cris Mj, Pailita</c:v>
                </c:pt>
                <c:pt idx="140">
                  <c:v>Feid</c:v>
                </c:pt>
                <c:pt idx="141">
                  <c:v>Dua Lipa, Elton John, Pnau</c:v>
                </c:pt>
                <c:pt idx="142">
                  <c:v>Becky G, Peso Pluma</c:v>
                </c:pt>
                <c:pt idx="143">
                  <c:v>Childish Gambino</c:v>
                </c:pt>
                <c:pt idx="144">
                  <c:v>Snoop Dogg, BTS, Benny Blanco</c:v>
                </c:pt>
                <c:pt idx="145">
                  <c:v>Rihanna, Calvin Harris</c:v>
                </c:pt>
                <c:pt idx="146">
                  <c:v>Ckay</c:v>
                </c:pt>
                <c:pt idx="147">
                  <c:v>Big One, FMK, Ke personajes</c:v>
                </c:pt>
                <c:pt idx="148">
                  <c:v>Duncan Laurence</c:v>
                </c:pt>
                <c:pt idx="149">
                  <c:v>New West</c:v>
                </c:pt>
                <c:pt idx="150">
                  <c:v>Calvin Harris, Ellie Goulding</c:v>
                </c:pt>
                <c:pt idx="151">
                  <c:v>Drake, DJ Khaled, Lil Baby</c:v>
                </c:pt>
                <c:pt idx="152">
                  <c:v>Nicki Minaj</c:v>
                </c:pt>
                <c:pt idx="153">
                  <c:v>The Kid Laroi</c:v>
                </c:pt>
                <c:pt idx="154">
                  <c:v>Drake</c:v>
                </c:pt>
                <c:pt idx="155">
                  <c:v>Maldy, Karol G</c:v>
                </c:pt>
                <c:pt idx="156">
                  <c:v>Marshmello, Jonas Brothers</c:v>
                </c:pt>
                <c:pt idx="157">
                  <c:v>Nicki Minaj, Aqua, Ice Spice</c:v>
                </c:pt>
                <c:pt idx="158">
                  <c:v>Tiï¿½ï¿½sto, Tate M</c:v>
                </c:pt>
                <c:pt idx="159">
                  <c:v>Playboi Carti</c:v>
                </c:pt>
                <c:pt idx="160">
                  <c:v>Coi Leray</c:v>
                </c:pt>
                <c:pt idx="161">
                  <c:v>Don Toliver, Future, Justin Bieber</c:v>
                </c:pt>
                <c:pt idx="162">
                  <c:v>Tini, Maria Becerra</c:v>
                </c:pt>
                <c:pt idx="163">
                  <c:v>Britney Spears</c:v>
                </c:pt>
                <c:pt idx="164">
                  <c:v>Travis Scott, 21 Savage, Metro Boomin</c:v>
                </c:pt>
                <c:pt idx="165">
                  <c:v>MC Xenon, Os Gemeos da Putaria</c:v>
                </c:pt>
                <c:pt idx="166">
                  <c:v>ENHYPEN</c:v>
                </c:pt>
                <c:pt idx="167">
                  <c:v>Migrantes, LiL CaKe, Nico Valdi</c:v>
                </c:pt>
                <c:pt idx="168">
                  <c:v>One Direction</c:v>
                </c:pt>
                <c:pt idx="169">
                  <c:v>Lit Killah, Maria Becerra, Tiago pzk, NICKI NICOLE</c:v>
                </c:pt>
                <c:pt idx="170">
                  <c:v>Lil Nas X</c:v>
                </c:pt>
                <c:pt idx="171">
                  <c:v>Ariana Grande</c:v>
                </c:pt>
                <c:pt idx="172">
                  <c:v>Billie Eilish</c:v>
                </c:pt>
                <c:pt idx="173">
                  <c:v>Drake, WizKid, Kyla</c:v>
                </c:pt>
                <c:pt idx="174">
                  <c:v>J Balvin, Bad Bunny</c:v>
                </c:pt>
                <c:pt idx="175">
                  <c:v>Semicenk, Doï¿½ï¿½u </c:v>
                </c:pt>
                <c:pt idx="176">
                  <c:v>Grupo Marca Registrada, Grupo Frontera</c:v>
                </c:pt>
                <c:pt idx="177">
                  <c:v>Polo G</c:v>
                </c:pt>
                <c:pt idx="178">
                  <c:v>Musical Youth</c:v>
                </c:pt>
                <c:pt idx="179">
                  <c:v>Residente, Bizarrap</c:v>
                </c:pt>
                <c:pt idx="180">
                  <c:v>Carin Leon</c:v>
                </c:pt>
                <c:pt idx="181">
                  <c:v>Dr. Dre, Snoop Dogg</c:v>
                </c:pt>
                <c:pt idx="182">
                  <c:v>Armani White</c:v>
                </c:pt>
                <c:pt idx="183">
                  <c:v>Hotel Ugly</c:v>
                </c:pt>
                <c:pt idx="184">
                  <c:v>Bad Bunny, Rauw Alejandro</c:v>
                </c:pt>
                <c:pt idx="185">
                  <c:v>Shawn Mendes</c:v>
                </c:pt>
                <c:pt idx="186">
                  <c:v>(G)I-DLE</c:v>
                </c:pt>
                <c:pt idx="187">
                  <c:v>Jung Kook</c:v>
                </c:pt>
                <c:pt idx="188">
                  <c:v>Peso Pluma</c:v>
                </c:pt>
                <c:pt idx="189">
                  <c:v>Adele</c:v>
                </c:pt>
                <c:pt idx="190">
                  <c:v>Xamï¿½ï¿½, Gustah, Neo B</c:v>
                </c:pt>
                <c:pt idx="191">
                  <c:v>Feid, Mora, Saiko, Quevedo</c:v>
                </c:pt>
                <c:pt idx="192">
                  <c:v>Kendrick Lamar, Jay Rock</c:v>
                </c:pt>
                <c:pt idx="193">
                  <c:v>Melody, Ana Castela, Dj Chris No Beat</c:v>
                </c:pt>
                <c:pt idx="194">
                  <c:v>Luke Combs</c:v>
                </c:pt>
                <c:pt idx="195">
                  <c:v>J. Cole</c:v>
                </c:pt>
                <c:pt idx="196">
                  <c:v>Natanael Cano, Gabito Ballesteros, Peso Pluma</c:v>
                </c:pt>
                <c:pt idx="197">
                  <c:v>Jack Black</c:v>
                </c:pt>
                <c:pt idx="198">
                  <c:v>Lil Baby</c:v>
                </c:pt>
                <c:pt idx="199">
                  <c:v>Schï¿½ï¿½rze, DJ R</c:v>
                </c:pt>
                <c:pt idx="200">
                  <c:v>Ludwig Goransson, Foudeqush</c:v>
                </c:pt>
                <c:pt idx="201">
                  <c:v>Marshmello, Khalid</c:v>
                </c:pt>
                <c:pt idx="202">
                  <c:v>Wisin &amp; Yandel, ROSALï¿½</c:v>
                </c:pt>
                <c:pt idx="203">
                  <c:v>XXXTENTACION</c:v>
                </c:pt>
                <c:pt idx="204">
                  <c:v>Don Omar, Lucenzo</c:v>
                </c:pt>
                <c:pt idx="205">
                  <c:v>Camila Cabello, Willow</c:v>
                </c:pt>
                <c:pt idx="206">
                  <c:v>Sebastian Yatra</c:v>
                </c:pt>
                <c:pt idx="207">
                  <c:v>Lana Del Rey</c:v>
                </c:pt>
                <c:pt idx="208">
                  <c:v>Chencho Corleone, Rauw Alejandro</c:v>
                </c:pt>
                <c:pt idx="209">
                  <c:v>Nengo Flow, Anuel Aa, Chris Jedi, Chencho Corleone</c:v>
                </c:pt>
                <c:pt idx="210">
                  <c:v>Luar La L</c:v>
                </c:pt>
                <c:pt idx="211">
                  <c:v>Post Malone, Swae Lee</c:v>
                </c:pt>
                <c:pt idx="212">
                  <c:v>Vishal-Shekhar, Shilpa Rao, Caralisa Monteiro, Kumaar, Vishal Dadlani, Shekhar Ravjiani</c:v>
                </c:pt>
                <c:pt idx="213">
                  <c:v>Oliver Tree</c:v>
                </c:pt>
                <c:pt idx="214">
                  <c:v>The Weeknd, Madonna, Playboi Carti</c:v>
                </c:pt>
                <c:pt idx="215">
                  <c:v>Drake, Future, Tems</c:v>
                </c:pt>
                <c:pt idx="216">
                  <c:v>Lizzy McAlpine</c:v>
                </c:pt>
                <c:pt idx="217">
                  <c:v>Eminem, Nate Dogg</c:v>
                </c:pt>
                <c:pt idx="218">
                  <c:v>Tory Lanez</c:v>
                </c:pt>
                <c:pt idx="219">
                  <c:v>Katy Perry, Alesso</c:v>
                </c:pt>
                <c:pt idx="220">
                  <c:v>Tyler, The Creator</c:v>
                </c:pt>
                <c:pt idx="221">
                  <c:v>Keisya Levronka</c:v>
                </c:pt>
                <c:pt idx="222">
                  <c:v>Ghost</c:v>
                </c:pt>
                <c:pt idx="223">
                  <c:v>Metallica</c:v>
                </c:pt>
                <c:pt idx="224">
                  <c:v>Nat King Cole</c:v>
                </c:pt>
                <c:pt idx="225">
                  <c:v>Fuerza Regida</c:v>
                </c:pt>
                <c:pt idx="226">
                  <c:v>Fuerza Regida, Natanael Cano</c:v>
                </c:pt>
                <c:pt idx="227">
                  <c:v>Nessa Barrett</c:v>
                </c:pt>
                <c:pt idx="228">
                  <c:v>Cigarettes After Sex</c:v>
                </c:pt>
                <c:pt idx="229">
                  <c:v>Tears For Fears</c:v>
                </c:pt>
                <c:pt idx="230">
                  <c:v>SZA, Doja Cat</c:v>
                </c:pt>
                <c:pt idx="231">
                  <c:v>Natanael Cano</c:v>
                </c:pt>
                <c:pt idx="232">
                  <c:v>OneRepublic</c:v>
                </c:pt>
                <c:pt idx="233">
                  <c:v>Masked Wolf</c:v>
                </c:pt>
                <c:pt idx="234">
                  <c:v>Nicki Minaj, Ice Spice</c:v>
                </c:pt>
                <c:pt idx="235">
                  <c:v>Chris Brown, Rvssian, Rauw Alejandro</c:v>
                </c:pt>
                <c:pt idx="236">
                  <c:v>Coolio, L.V.</c:v>
                </c:pt>
                <c:pt idx="237">
                  <c:v>ThxSoMch</c:v>
                </c:pt>
                <c:pt idx="238">
                  <c:v>Radiohead</c:v>
                </c:pt>
                <c:pt idx="239">
                  <c:v>Grupo Frontera</c:v>
                </c:pt>
                <c:pt idx="240">
                  <c:v>Pritam, Arijit Singh, Amitabh Bhattacharya</c:v>
                </c:pt>
                <c:pt idx="241">
                  <c:v>Future, Lil Uzi Vert, Metro Boomin</c:v>
                </c:pt>
                <c:pt idx="242">
                  <c:v>Yahritza Y Su Esencia</c:v>
                </c:pt>
                <c:pt idx="243">
                  <c:v>Kendrick Lamar, Beyoncï¿</c:v>
                </c:pt>
                <c:pt idx="244">
                  <c:v>Maria Becerra</c:v>
                </c:pt>
                <c:pt idx="245">
                  <c:v>Mc Livinho, DJ Matt D</c:v>
                </c:pt>
                <c:pt idx="246">
                  <c:v>Muni Long</c:v>
                </c:pt>
                <c:pt idx="247">
                  <c:v>Olivia Rodrigo</c:v>
                </c:pt>
                <c:pt idx="248">
                  <c:v>Steve Lacy</c:v>
                </c:pt>
                <c:pt idx="249">
                  <c:v>Eminem, Dr. Dre</c:v>
                </c:pt>
                <c:pt idx="250">
                  <c:v>J Balvin, Nio Garcia, Bad Bunny</c:v>
                </c:pt>
                <c:pt idx="251">
                  <c:v>Kordhell</c:v>
                </c:pt>
                <c:pt idx="252">
                  <c:v>Shakin' Stevens</c:v>
                </c:pt>
                <c:pt idx="253">
                  <c:v>Mc Pedrinho, DJ 900</c:v>
                </c:pt>
                <c:pt idx="254">
                  <c:v>Eslabon Armado, Peso Pluma</c:v>
                </c:pt>
                <c:pt idx="255">
                  <c:v>Israel &amp; Rodolffo, Ana Castela</c:v>
                </c:pt>
                <c:pt idx="256">
                  <c:v>Glass Animals</c:v>
                </c:pt>
                <c:pt idx="257">
                  <c:v>V</c:v>
                </c:pt>
                <c:pt idx="258">
                  <c:v>The Weeknd, Lana Del Rey</c:v>
                </c:pt>
                <c:pt idx="259">
                  <c:v>Fujii Kaze</c:v>
                </c:pt>
                <c:pt idx="260">
                  <c:v>Kendrick Lamar, Tanna Leone</c:v>
                </c:pt>
                <c:pt idx="261">
                  <c:v>Morgan Wallen</c:v>
                </c:pt>
                <c:pt idx="262">
                  <c:v>Drake, 21 Savage</c:v>
                </c:pt>
                <c:pt idx="263">
                  <c:v>Kendrick Lamar, Baby Keem</c:v>
                </c:pt>
                <c:pt idx="264">
                  <c:v>Luciano, Aitch, Bï¿½</c:v>
                </c:pt>
                <c:pt idx="265">
                  <c:v>Gayle</c:v>
                </c:pt>
                <c:pt idx="266">
                  <c:v>Swae Lee, A Boogie Wit da Hoodie, Metro Boomin, NAV</c:v>
                </c:pt>
                <c:pt idx="267">
                  <c:v>NMIXX</c:v>
                </c:pt>
                <c:pt idx="268">
                  <c:v>Halsey, Suga</c:v>
                </c:pt>
                <c:pt idx="269">
                  <c:v>Baby Rasta, Rauw Alejandro</c:v>
                </c:pt>
                <c:pt idx="270">
                  <c:v>The Weeknd, Future</c:v>
                </c:pt>
                <c:pt idx="271">
                  <c:v>Taylor Swift, Ice Spice</c:v>
                </c:pt>
                <c:pt idx="272">
                  <c:v>Bebe Rexha, David Guetta</c:v>
                </c:pt>
                <c:pt idx="273">
                  <c:v>Gunna</c:v>
                </c:pt>
                <c:pt idx="274">
                  <c:v>Aerosmith</c:v>
                </c:pt>
                <c:pt idx="275">
                  <c:v>Shubh</c:v>
                </c:pt>
                <c:pt idx="276">
                  <c:v>SZA</c:v>
                </c:pt>
                <c:pt idx="277">
                  <c:v>Future</c:v>
                </c:pt>
                <c:pt idx="278">
                  <c:v>SEVENTEEN</c:v>
                </c:pt>
                <c:pt idx="279">
                  <c:v>Trueno, Tiago pzk</c:v>
                </c:pt>
                <c:pt idx="280">
                  <c:v>David Guetta, Anne-Marie, Coi Leray</c:v>
                </c:pt>
                <c:pt idx="281">
                  <c:v>Danny Ocean</c:v>
                </c:pt>
                <c:pt idx="282">
                  <c:v>The Weeknd, Gesaffelstein</c:v>
                </c:pt>
                <c:pt idx="283">
                  <c:v>LF System</c:v>
                </c:pt>
                <c:pt idx="284">
                  <c:v>Jaymes Young</c:v>
                </c:pt>
                <c:pt idx="285">
                  <c:v>Sam Ryder</c:v>
                </c:pt>
                <c:pt idx="286">
                  <c:v>James Blake, Metro Boomin</c:v>
                </c:pt>
                <c:pt idx="287">
                  <c:v>Lil Yachty</c:v>
                </c:pt>
                <c:pt idx="288">
                  <c:v>De La Ghetto, Feid, Polima WestCoast, Paloma Mami, Pailita</c:v>
                </c:pt>
                <c:pt idx="289">
                  <c:v>Mc Pedrinho, Pedro Sampaio</c:v>
                </c:pt>
                <c:pt idx="290">
                  <c:v>Twisted, Oliver Tree</c:v>
                </c:pt>
                <c:pt idx="291">
                  <c:v>Tini</c:v>
                </c:pt>
                <c:pt idx="292">
                  <c:v>Feid, Young Miko</c:v>
                </c:pt>
                <c:pt idx="293">
                  <c:v>Freddie Dredd</c:v>
                </c:pt>
                <c:pt idx="294">
                  <c:v>The Weeknd, Lil Wayne</c:v>
                </c:pt>
                <c:pt idx="295">
                  <c:v>GODZZ__-, Zakaria</c:v>
                </c:pt>
                <c:pt idx="296">
                  <c:v>Sia</c:v>
                </c:pt>
                <c:pt idx="297">
                  <c:v>Kelly Clarkson</c:v>
                </c:pt>
                <c:pt idx="298">
                  <c:v>Rauw Alejandro</c:v>
                </c:pt>
                <c:pt idx="299">
                  <c:v>Travis Scott, Young Thug, Metro Boomin</c:v>
                </c:pt>
                <c:pt idx="300">
                  <c:v>Doja Cat</c:v>
                </c:pt>
                <c:pt idx="301">
                  <c:v>Bad Bunny</c:v>
                </c:pt>
                <c:pt idx="302">
                  <c:v>Mï¿½ï¿½ne</c:v>
                </c:pt>
                <c:pt idx="303">
                  <c:v>The Weeknd</c:v>
                </c:pt>
                <c:pt idx="304">
                  <c:v>Dua Lipa, DaBaby</c:v>
                </c:pt>
                <c:pt idx="305">
                  <c:v>Sam Smith</c:v>
                </c:pt>
                <c:pt idx="306">
                  <c:v>Karol G, Romeo Santos</c:v>
                </c:pt>
                <c:pt idx="307">
                  <c:v>Chris Brown</c:v>
                </c:pt>
                <c:pt idx="308">
                  <c:v>Charlie Puth</c:v>
                </c:pt>
                <c:pt idx="309">
                  <c:v>Oscar Maydon, Junior H</c:v>
                </c:pt>
                <c:pt idx="310">
                  <c:v>Feid, Alejo, Robi</c:v>
                </c:pt>
                <c:pt idx="311">
                  <c:v>Anggi Marito</c:v>
                </c:pt>
                <c:pt idx="312">
                  <c:v>Sachin-Jigar, Shadab Faridi, Altamash Faridi, Amitabh Bhattacharya, Varun Jain</c:v>
                </c:pt>
                <c:pt idx="313">
                  <c:v>Labrinth, Zendaya</c:v>
                </c:pt>
                <c:pt idx="314">
                  <c:v>Junior H, Peso Pluma</c:v>
                </c:pt>
                <c:pt idx="315">
                  <c:v>Jack Harlow</c:v>
                </c:pt>
                <c:pt idx="316">
                  <c:v>Luciano</c:v>
                </c:pt>
                <c:pt idx="317">
                  <c:v>Billie Eilish, Khalid</c:v>
                </c:pt>
                <c:pt idx="318">
                  <c:v>Juan Cruz Toledo, Huilen Toledo</c:v>
                </c:pt>
                <c:pt idx="319">
                  <c:v>Jordan Fisher, Josh Levi, Finneas O'Connell, 4*TOWN (From Disney and Pixarï¿½ï¿½ï¿½s Turning Red), Topher Ngo, Grayson Vill</c:v>
                </c:pt>
                <c:pt idx="320">
                  <c:v>sped up nightcore, ARIZONATEARS, Lil Uzi Vert</c:v>
                </c:pt>
                <c:pt idx="321">
                  <c:v>Daddy Yankee, Bad Bunny</c:v>
                </c:pt>
                <c:pt idx="322">
                  <c:v>Bellakath</c:v>
                </c:pt>
                <c:pt idx="323">
                  <c:v>Tones and I</c:v>
                </c:pt>
                <c:pt idx="324">
                  <c:v>Ariana Grande, The Weeknd</c:v>
                </c:pt>
                <c:pt idx="325">
                  <c:v>Ray Dalton, Ryan Lewis, Macklemore</c:v>
                </c:pt>
                <c:pt idx="326">
                  <c:v>Sean Paul, Feid</c:v>
                </c:pt>
                <c:pt idx="327">
                  <c:v>Selena Gomez</c:v>
                </c:pt>
                <c:pt idx="328">
                  <c:v>Lewis Capaldi</c:v>
                </c:pt>
                <c:pt idx="329">
                  <c:v>Lizzo</c:v>
                </c:pt>
                <c:pt idx="330">
                  <c:v>Sam Smith, Calvin Harris, Jessie Reyez</c:v>
                </c:pt>
                <c:pt idx="331">
                  <c:v>Dave, Central Cee</c:v>
                </c:pt>
                <c:pt idx="332">
                  <c:v>Tom Odell</c:v>
                </c:pt>
                <c:pt idx="333">
                  <c:v>Adassa, Mauro Castillo, Stephanie Beatriz, Encanto - Cast, Rhenzy Feliz, Diane Guerrero, Carolina Gaitan</c:v>
                </c:pt>
                <c:pt idx="334">
                  <c:v>Abhijay Sharma, Riar Saab</c:v>
                </c:pt>
                <c:pt idx="335">
                  <c:v>Gabito Ballesteros, Junior H, Peso Pluma</c:v>
                </c:pt>
                <c:pt idx="336">
                  <c:v>Kendrick Lamar, Blxst, Amanda Reifer</c:v>
                </c:pt>
                <c:pt idx="337">
                  <c:v>Ayparia, unxbected</c:v>
                </c:pt>
                <c:pt idx="338">
                  <c:v>TOMORROW X TOGETHER</c:v>
                </c:pt>
                <c:pt idx="339">
                  <c:v>Kenshi Yonezu</c:v>
                </c:pt>
                <c:pt idx="340">
                  <c:v>Post Malone, Doja Cat</c:v>
                </c:pt>
                <c:pt idx="341">
                  <c:v>James Arthur</c:v>
                </c:pt>
                <c:pt idx="342">
                  <c:v>Ed Sheeran, Taylor Swift</c:v>
                </c:pt>
                <c:pt idx="343">
                  <c:v>Plan B</c:v>
                </c:pt>
                <c:pt idx="344">
                  <c:v>Bruno Mars, Anderson .Paak, Silk Sonic</c:v>
                </c:pt>
                <c:pt idx="345">
                  <c:v>Kanye West, Alicia Keys, Fivio Foreign</c:v>
                </c:pt>
                <c:pt idx="346">
                  <c:v>Arcangel, De La Ghetto, Justin Quiles, Lenny Tavï¿½ï¿½rez, Sech, Dalex, Dimelo Flow, Rich Music</c:v>
                </c:pt>
                <c:pt idx="347">
                  <c:v>Lil Tjay</c:v>
                </c:pt>
                <c:pt idx="348">
                  <c:v>Bruno Mars</c:v>
                </c:pt>
                <c:pt idx="349">
                  <c:v>BTS</c:v>
                </c:pt>
                <c:pt idx="350">
                  <c:v>Avicii</c:v>
                </c:pt>
                <c:pt idx="351">
                  <c:v>Arctic Monkeys</c:v>
                </c:pt>
                <c:pt idx="352">
                  <c:v>Quevedo</c:v>
                </c:pt>
                <c:pt idx="353">
                  <c:v>Labrinth</c:v>
                </c:pt>
                <c:pt idx="354">
                  <c:v>Tyler, The Creator, Kali Uchis</c:v>
                </c:pt>
                <c:pt idx="355">
                  <c:v>Christian Nodal</c:v>
                </c:pt>
                <c:pt idx="356">
                  <c:v>Drake, Future, Young Thug</c:v>
                </c:pt>
                <c:pt idx="357">
                  <c:v>Drake, Project Pat, 21 Savage</c:v>
                </c:pt>
                <c:pt idx="358">
                  <c:v>Matuï¿½ï¿½, Wiu, </c:v>
                </c:pt>
                <c:pt idx="359">
                  <c:v>Metro Boomin, Coi Leray</c:v>
                </c:pt>
                <c:pt idx="360">
                  <c:v>Lady Gaga, Bradley Cooper</c:v>
                </c:pt>
                <c:pt idx="361">
                  <c:v>Taylor Swift</c:v>
                </c:pt>
                <c:pt idx="362">
                  <c:v>j-hope</c:v>
                </c:pt>
                <c:pt idx="363">
                  <c:v>Harry Styles</c:v>
                </c:pt>
                <c:pt idx="364">
                  <c:v>Tate McRae</c:v>
                </c:pt>
                <c:pt idx="365">
                  <c:v>Stray Kids</c:v>
                </c:pt>
                <c:pt idx="366">
                  <c:v>Robin Schulz, Oliver Tree</c:v>
                </c:pt>
                <c:pt idx="367">
                  <c:v>J. Cole, Lil Durk</c:v>
                </c:pt>
                <c:pt idx="368">
                  <c:v>50 Cent</c:v>
                </c:pt>
                <c:pt idx="369">
                  <c:v>Kate Bush</c:v>
                </c:pt>
                <c:pt idx="370">
                  <c:v>Treyce</c:v>
                </c:pt>
                <c:pt idx="371">
                  <c:v>El Chachito, Junior H</c:v>
                </c:pt>
                <c:pt idx="372">
                  <c:v>Charlie Puth, BTS, Jung Kook</c:v>
                </c:pt>
                <c:pt idx="373">
                  <c:v>Cris Mj</c:v>
                </c:pt>
                <c:pt idx="374">
                  <c:v>Michael Bublï¿</c:v>
                </c:pt>
                <c:pt idx="375">
                  <c:v>Fuerza Regida, Peso Pluma</c:v>
                </c:pt>
                <c:pt idx="376">
                  <c:v>Treasure</c:v>
                </c:pt>
                <c:pt idx="377">
                  <c:v>Andy Williams</c:v>
                </c:pt>
                <c:pt idx="378">
                  <c:v>Karol G, Ovy On The Drums</c:v>
                </c:pt>
                <c:pt idx="379">
                  <c:v>girl in red</c:v>
                </c:pt>
                <c:pt idx="380">
                  <c:v>DJ Escobar, MC MENOR SG, MC MENOR HR</c:v>
                </c:pt>
                <c:pt idx="381">
                  <c:v>Loreen</c:v>
                </c:pt>
                <c:pt idx="382">
                  <c:v>The Chainsmokers, Coldplay</c:v>
                </c:pt>
                <c:pt idx="383">
                  <c:v>JISOO</c:v>
                </c:pt>
                <c:pt idx="384">
                  <c:v>Manuel Turizo</c:v>
                </c:pt>
                <c:pt idx="385">
                  <c:v>Queen</c:v>
                </c:pt>
                <c:pt idx="386">
                  <c:v>Ed Sheeran</c:v>
                </c:pt>
                <c:pt idx="387">
                  <c:v>Dua Lipa</c:v>
                </c:pt>
                <c:pt idx="388">
                  <c:v>Jessi</c:v>
                </c:pt>
                <c:pt idx="389">
                  <c:v>Aitana, zzoilo</c:v>
                </c:pt>
                <c:pt idx="390">
                  <c:v>Gorillaz, Bad Bunny</c:v>
                </c:pt>
                <c:pt idx="391">
                  <c:v>Yung Gravy</c:v>
                </c:pt>
                <c:pt idx="392">
                  <c:v>Luï¿½ï¿½sa Sonza, MC Frog, Dj Gabriel do Borel, Davi K</c:v>
                </c:pt>
                <c:pt idx="393">
                  <c:v>Joji</c:v>
                </c:pt>
                <c:pt idx="394">
                  <c:v>Rich The Kid, Matuï¿</c:v>
                </c:pt>
                <c:pt idx="395">
                  <c:v>TAEYANG, Jimin</c:v>
                </c:pt>
                <c:pt idx="396">
                  <c:v>TV Girl</c:v>
                </c:pt>
                <c:pt idx="397">
                  <c:v>Bad Bunny, Jhay Cortez</c:v>
                </c:pt>
                <c:pt idx="398">
                  <c:v>KALUSH</c:v>
                </c:pt>
                <c:pt idx="399">
                  <c:v>NF</c:v>
                </c:pt>
                <c:pt idx="400">
                  <c:v>Rosa Linn</c:v>
                </c:pt>
                <c:pt idx="401">
                  <c:v>The Chainsmokers, Halsey</c:v>
                </c:pt>
                <c:pt idx="402">
                  <c:v>Marshmello, Manuel Turizo</c:v>
                </c:pt>
                <c:pt idx="403">
                  <c:v>Shakira, Bizarrap</c:v>
                </c:pt>
                <c:pt idx="404">
                  <c:v>Maroon 5, Wiz Khalifa</c:v>
                </c:pt>
                <c:pt idx="405">
                  <c:v>Dean Lewis</c:v>
                </c:pt>
                <c:pt idx="406">
                  <c:v>Lasso</c:v>
                </c:pt>
                <c:pt idx="407">
                  <c:v>Nicki Minaj, Lil Baby</c:v>
                </c:pt>
                <c:pt idx="408">
                  <c:v>dennis, MC Kevin o Chris</c:v>
                </c:pt>
                <c:pt idx="409">
                  <c:v>Mainstreet, Chefin</c:v>
                </c:pt>
                <c:pt idx="410">
                  <c:v>Ana Castela, AgroPlay</c:v>
                </c:pt>
                <c:pt idx="411">
                  <c:v>Camila Cabello, Ed Sheeran</c:v>
                </c:pt>
                <c:pt idx="412">
                  <c:v>Ozuna, Feid</c:v>
                </c:pt>
                <c:pt idx="413">
                  <c:v>Gunna, Lil Baby</c:v>
                </c:pt>
                <c:pt idx="414">
                  <c:v>Lady Gaga</c:v>
                </c:pt>
                <c:pt idx="415">
                  <c:v>NewJeans</c:v>
                </c:pt>
                <c:pt idx="416">
                  <c:v>Rauw Alejandro, ROSALï¿½</c:v>
                </c:pt>
                <c:pt idx="417">
                  <c:v>Blackbear, BoyWithUke</c:v>
                </c:pt>
                <c:pt idx="418">
                  <c:v>Juice WRLD</c:v>
                </c:pt>
                <c:pt idx="419">
                  <c:v>BLESSD, Peso Pluma</c:v>
                </c:pt>
                <c:pt idx="420">
                  <c:v>Kendrick Lamar, Sam Dew, Baby Keem</c:v>
                </c:pt>
                <c:pt idx="421">
                  <c:v>Elton John, Britney Spears</c:v>
                </c:pt>
                <c:pt idx="422">
                  <c:v>Bing Crosby, John Scott Trotter &amp; His Orchestra, Ken Darby Singers</c:v>
                </c:pt>
                <c:pt idx="423">
                  <c:v>Band Aid</c:v>
                </c:pt>
                <c:pt idx="424">
                  <c:v>Frank Sinatra, B. Swanson Quartet</c:v>
                </c:pt>
                <c:pt idx="425">
                  <c:v>Stephen Sanchez</c:v>
                </c:pt>
                <c:pt idx="426">
                  <c:v>NEIKED, Mae Muller, Polo G</c:v>
                </c:pt>
                <c:pt idx="427">
                  <c:v>Karol G</c:v>
                </c:pt>
                <c:pt idx="428">
                  <c:v>Chuck Berry</c:v>
                </c:pt>
                <c:pt idx="429">
                  <c:v>Leah Kate</c:v>
                </c:pt>
                <c:pt idx="430">
                  <c:v>Brenda Lee</c:v>
                </c:pt>
                <c:pt idx="431">
                  <c:v>Zion &amp; Lennox</c:v>
                </c:pt>
                <c:pt idx="432">
                  <c:v>Sam Smith, Kim Petras</c:v>
                </c:pt>
                <c:pt idx="433">
                  <c:v>Stephanie Beatriz, Diane Guerrero</c:v>
                </c:pt>
                <c:pt idx="434">
                  <c:v>The Weeknd, Post Malone</c:v>
                </c:pt>
                <c:pt idx="435">
                  <c:v>Brray, Rauw Alejandro, Lyanno</c:v>
                </c:pt>
                <c:pt idx="436">
                  <c:v>Bad Bunny, The Marï¿½ï</c:v>
                </c:pt>
                <c:pt idx="437">
                  <c:v>Eminem</c:v>
                </c:pt>
                <c:pt idx="438">
                  <c:v>Kanye West</c:v>
                </c:pt>
                <c:pt idx="439">
                  <c:v>Coldplay</c:v>
                </c:pt>
                <c:pt idx="440">
                  <c:v>Olga Merediz, Stephanie Beatriz, Encanto - Cast</c:v>
                </c:pt>
                <c:pt idx="441">
                  <c:v>Gwen Stefani, Blake Shelton</c:v>
                </c:pt>
                <c:pt idx="442">
                  <c:v>Libianca</c:v>
                </c:pt>
                <c:pt idx="443">
                  <c:v>Kendrick Lamar, Kodak Black</c:v>
                </c:pt>
                <c:pt idx="444">
                  <c:v>Kendrick Lamar, Taylour Paige</c:v>
                </c:pt>
                <c:pt idx="445">
                  <c:v>Arijit Singh, Sachin-Jigar</c:v>
                </c:pt>
                <c:pt idx="446">
                  <c:v>Sech, Mora</c:v>
                </c:pt>
                <c:pt idx="447">
                  <c:v>Creedence Clearwater Revival</c:v>
                </c:pt>
                <c:pt idx="448">
                  <c:v>Ed Sheeran, Elton John</c:v>
                </c:pt>
                <c:pt idx="449">
                  <c:v>LE SSERAFIM</c:v>
                </c:pt>
                <c:pt idx="450">
                  <c:v>PinkPantheress, Ice Spice</c:v>
                </c:pt>
                <c:pt idx="451">
                  <c:v>Yuridia, Angela Aguilar</c:v>
                </c:pt>
                <c:pt idx="452">
                  <c:v>Peso Pluma, Grupo Frontera</c:v>
                </c:pt>
                <c:pt idx="453">
                  <c:v>The Walters</c:v>
                </c:pt>
                <c:pt idx="454">
                  <c:v>Chencho Corleone, Bad Bunny</c:v>
                </c:pt>
                <c:pt idx="455">
                  <c:v>Carin Leon, Grupo Frontera</c:v>
                </c:pt>
                <c:pt idx="456">
                  <c:v>Kendrick Lamar, Sampha</c:v>
                </c:pt>
                <c:pt idx="457">
                  <c:v>The Neighbourhood</c:v>
                </c:pt>
                <c:pt idx="458">
                  <c:v>Justin Bieber</c:v>
                </c:pt>
                <c:pt idx="459">
                  <c:v>Nirvana</c:v>
                </c:pt>
                <c:pt idx="460">
                  <c:v>Feid, Mora</c:v>
                </c:pt>
                <c:pt idx="461">
                  <c:v>Burna Boy</c:v>
                </c:pt>
                <c:pt idx="462">
                  <c:v>RAYE, 070 Shake</c:v>
                </c:pt>
                <c:pt idx="463">
                  <c:v>Big One, Duki, Lit Killah, Maria Becerra, FMK, Rusherking, Emilia, Tiago pzk</c:v>
                </c:pt>
                <c:pt idx="464">
                  <c:v>Giveon</c:v>
                </c:pt>
                <c:pt idx="465">
                  <c:v>Feid, Paulo Londra</c:v>
                </c:pt>
                <c:pt idx="466">
                  <c:v>Bad Bunny, Eladio Carrion</c:v>
                </c:pt>
                <c:pt idx="467">
                  <c:v>Sabrina Carpenter</c:v>
                </c:pt>
                <c:pt idx="468">
                  <c:v>Miguel</c:v>
                </c:pt>
                <c:pt idx="469">
                  <c:v>Shakira</c:v>
                </c:pt>
                <c:pt idx="470">
                  <c:v>Rosa Walton, Hallie Coggins</c:v>
                </c:pt>
                <c:pt idx="471">
                  <c:v>Wham!</c:v>
                </c:pt>
                <c:pt idx="472">
                  <c:v>Baby Tate</c:v>
                </c:pt>
                <c:pt idx="473">
                  <c:v>Imagine Dragons, League of Legends, JID, Arcane</c:v>
                </c:pt>
                <c:pt idx="474">
                  <c:v>RM</c:v>
                </c:pt>
                <c:pt idx="475">
                  <c:v>Intense, AP Dhillon, Gurinder Gill</c:v>
                </c:pt>
                <c:pt idx="476">
                  <c:v>Mahalini</c:v>
                </c:pt>
                <c:pt idx="477">
                  <c:v>Mae Stephens</c:v>
                </c:pt>
                <c:pt idx="478">
                  <c:v>L7nnon, DJ Biel do Furduncinho, Bianca</c:v>
                </c:pt>
                <c:pt idx="479">
                  <c:v>Ryan Castro</c:v>
                </c:pt>
                <c:pt idx="480">
                  <c:v>Taylor Swift, Lana Del Rey</c:v>
                </c:pt>
                <c:pt idx="481">
                  <c:v>Karol G, Shakira</c:v>
                </c:pt>
                <c:pt idx="482">
                  <c:v>Paulo Londra</c:v>
                </c:pt>
                <c:pt idx="483">
                  <c:v>Lil Durk, Morgan Wallen</c:v>
                </c:pt>
                <c:pt idx="484">
                  <c:v>Mambo Kingz, DJ Luian, Anuel Aa</c:v>
                </c:pt>
                <c:pt idx="485">
                  <c:v>Gustavo Mioto, Mari Fernandez</c:v>
                </c:pt>
                <c:pt idx="486">
                  <c:v>Maroon 5</c:v>
                </c:pt>
                <c:pt idx="487">
                  <c:v>The Weeknd, Daft Punk</c:v>
                </c:pt>
                <c:pt idx="488">
                  <c:v>Kanye West, Lil Durk, Cardi B</c:v>
                </c:pt>
                <c:pt idx="489">
                  <c:v>Beach Weather</c:v>
                </c:pt>
                <c:pt idx="490">
                  <c:v>Sleepy hallow</c:v>
                </c:pt>
                <c:pt idx="491">
                  <c:v>d4vd</c:v>
                </c:pt>
                <c:pt idx="492">
                  <c:v>Vance Joy</c:v>
                </c:pt>
                <c:pt idx="493">
                  <c:v>Pharrell Williams, Nile Rodgers, Daft Punk</c:v>
                </c:pt>
                <c:pt idx="494">
                  <c:v>Jin</c:v>
                </c:pt>
                <c:pt idx="495">
                  <c:v>Jimin</c:v>
                </c:pt>
                <c:pt idx="496">
                  <c:v>Ugly Dray, Tesla Jnr</c:v>
                </c:pt>
                <c:pt idx="497">
                  <c:v>Dean Martin</c:v>
                </c:pt>
                <c:pt idx="498">
                  <c:v>Marï¿½ï¿½lia Mendonï¿½ï¿½a, Hugo &amp; G</c:v>
                </c:pt>
                <c:pt idx="499">
                  <c:v>SiM</c:v>
                </c:pt>
                <c:pt idx="500">
                  <c:v>Yung Lean</c:v>
                </c:pt>
                <c:pt idx="501">
                  <c:v>Jason Derulo</c:v>
                </c:pt>
                <c:pt idx="502">
                  <c:v>Feid, Myke Towers, Sky Rompiendo</c:v>
                </c:pt>
                <c:pt idx="503">
                  <c:v>Darlene Love</c:v>
                </c:pt>
                <c:pt idx="504">
                  <c:v>Dove Cameron</c:v>
                </c:pt>
                <c:pt idx="505">
                  <c:v>Aventura, Bad Bunny</c:v>
                </c:pt>
                <c:pt idx="506">
                  <c:v>THE ANXIETY, Willow, Tyler Cole</c:v>
                </c:pt>
                <c:pt idx="507">
                  <c:v>Bizarrap, Villano Antillano</c:v>
                </c:pt>
                <c:pt idx="508">
                  <c:v>The Ronettes</c:v>
                </c:pt>
                <c:pt idx="509">
                  <c:v>MC Caverinha, KayBlack</c:v>
                </c:pt>
                <c:pt idx="510">
                  <c:v>Bad Bunny, Grupo Frontera</c:v>
                </c:pt>
                <c:pt idx="511">
                  <c:v>Shakira, Rauw Alejandro</c:v>
                </c:pt>
                <c:pt idx="512">
                  <c:v>Mabel Matiz, Mert Demir</c:v>
                </c:pt>
                <c:pt idx="513">
                  <c:v>Arijit Singh, Vishal Dadlani, Sukriti Kakar, Vishal-Shekhar, Shekhar Ravjiani, Kumaar</c:v>
                </c:pt>
                <c:pt idx="514">
                  <c:v>Bizarrap, Tiago pzk</c:v>
                </c:pt>
                <c:pt idx="515">
                  <c:v>Cartel De Santa, La Kelly</c:v>
                </c:pt>
                <c:pt idx="516">
                  <c:v>Yandel, Feid</c:v>
                </c:pt>
                <c:pt idx="517">
                  <c:v>Jasiel Nuï¿½ï¿½ez, Peso P</c:v>
                </c:pt>
                <c:pt idx="518">
                  <c:v>David Kushner</c:v>
                </c:pt>
                <c:pt idx="519">
                  <c:v>IU, Agust D</c:v>
                </c:pt>
                <c:pt idx="520">
                  <c:v>Stromae</c:v>
                </c:pt>
                <c:pt idx="521">
                  <c:v>24kgoldn, Iann Dior</c:v>
                </c:pt>
                <c:pt idx="522">
                  <c:v>YEAT</c:v>
                </c:pt>
                <c:pt idx="523">
                  <c:v>Omar Apollo</c:v>
                </c:pt>
                <c:pt idx="524">
                  <c:v>The Weeknd, ROSALï¿½</c:v>
                </c:pt>
                <c:pt idx="525">
                  <c:v>Imagine Dragons</c:v>
                </c:pt>
                <c:pt idx="526">
                  <c:v>Chris Rea</c:v>
                </c:pt>
                <c:pt idx="527">
                  <c:v>Bomba Estï¿½ï¿½reo, Bad B</c:v>
                </c:pt>
                <c:pt idx="528">
                  <c:v>YOASOBI</c:v>
                </c:pt>
                <c:pt idx="529">
                  <c:v>De La Ghetto, Duki, Quevedo</c:v>
                </c:pt>
                <c:pt idx="530">
                  <c:v>Demi Lovato</c:v>
                </c:pt>
                <c:pt idx="531">
                  <c:v>Fran C, Polima WestCoast, Nickoog Clk, Pablito Pesadilla</c:v>
                </c:pt>
                <c:pt idx="532">
                  <c:v>Kendrick Lamar</c:v>
                </c:pt>
                <c:pt idx="533">
                  <c:v>BLACKPINK</c:v>
                </c:pt>
                <c:pt idx="534">
                  <c:v>Doja Cat, The Weeknd</c:v>
                </c:pt>
                <c:pt idx="535">
                  <c:v>Panic! At The Disco</c:v>
                </c:pt>
                <c:pt idx="536">
                  <c:v>Maluma</c:v>
                </c:pt>
                <c:pt idx="537">
                  <c:v>SALES</c:v>
                </c:pt>
                <c:pt idx="538">
                  <c:v>Kodak Black, NLE Choppa, Muni Long, JVKE, Jimin</c:v>
                </c:pt>
                <c:pt idx="539">
                  <c:v>Jain</c:v>
                </c:pt>
                <c:pt idx="540">
                  <c:v>Bizarrap, Paulo Londra</c:v>
                </c:pt>
                <c:pt idx="541">
                  <c:v>David Guetta, Ella Henderson, Becky Hill</c:v>
                </c:pt>
                <c:pt idx="542">
                  <c:v>Lil Uzi Vert</c:v>
                </c:pt>
                <c:pt idx="543">
                  <c:v>Niall Horan</c:v>
                </c:pt>
                <c:pt idx="544">
                  <c:v>Israel &amp; Rodolffo, Mari Fernandez</c:v>
                </c:pt>
                <c:pt idx="545">
                  <c:v>J Balvin, Maria Becerra</c:v>
                </c:pt>
                <c:pt idx="546">
                  <c:v>a-ha</c:v>
                </c:pt>
                <c:pt idx="547">
                  <c:v>NIKI</c:v>
                </c:pt>
                <c:pt idx="548">
                  <c:v>Peggy Gou</c:v>
                </c:pt>
                <c:pt idx="549">
                  <c:v>Arcangel, Bizarrap</c:v>
                </c:pt>
                <c:pt idx="550">
                  <c:v>Calvin Harris, Halsey, Pharrell Williams, Justin Timberlake</c:v>
                </c:pt>
                <c:pt idx="551">
                  <c:v>Tyga, Doja Cat</c:v>
                </c:pt>
                <c:pt idx="552">
                  <c:v>Kenia OS</c:v>
                </c:pt>
                <c:pt idx="553">
                  <c:v>Eminem, Dina Rae</c:v>
                </c:pt>
                <c:pt idx="554">
                  <c:v>Bad Bunny, Tainy</c:v>
                </c:pt>
                <c:pt idx="555">
                  <c:v>P!nk</c:v>
                </c:pt>
                <c:pt idx="556">
                  <c:v>21 Savage, Gunna</c:v>
                </c:pt>
                <c:pt idx="557">
                  <c:v>Agust D</c:v>
                </c:pt>
                <c:pt idx="558">
                  <c:v>Kevin Kaarl</c:v>
                </c:pt>
                <c:pt idx="559">
                  <c:v>Dj LK da Escï¿½ï¿½cia, Tchakabum, mc jhenny, M</c:v>
                </c:pt>
                <c:pt idx="560">
                  <c:v>Surf Curse</c:v>
                </c:pt>
                <c:pt idx="561">
                  <c:v>Hozier</c:v>
                </c:pt>
                <c:pt idx="562">
                  <c:v>BIGBANG</c:v>
                </c:pt>
                <c:pt idx="563">
                  <c:v>Chris Molitor</c:v>
                </c:pt>
                <c:pt idx="564">
                  <c:v>Em Beihold</c:v>
                </c:pt>
                <c:pt idx="565">
                  <c:v>Kaliii, Kaliii</c:v>
                </c:pt>
                <c:pt idx="566">
                  <c:v>Lisa</c:v>
                </c:pt>
                <c:pt idx="567">
                  <c:v>Beach House</c:v>
                </c:pt>
                <c:pt idx="568">
                  <c:v>Victor Cibrian</c:v>
                </c:pt>
                <c:pt idx="569">
                  <c:v>Beyoncï¿</c:v>
                </c:pt>
                <c:pt idx="570">
                  <c:v>Bizarrap, Quevedo</c:v>
                </c:pt>
                <c:pt idx="571">
                  <c:v>INTERWORLD</c:v>
                </c:pt>
                <c:pt idx="572">
                  <c:v>Linkin Park</c:v>
                </c:pt>
                <c:pt idx="573">
                  <c:v>Benson Boone</c:v>
                </c:pt>
                <c:pt idx="574">
                  <c:v>Yahritza Y Su Esencia, Grupo Frontera</c:v>
                </c:pt>
                <c:pt idx="575">
                  <c:v>Anitta</c:v>
                </c:pt>
                <c:pt idx="576">
                  <c:v>Doechii</c:v>
                </c:pt>
                <c:pt idx="577">
                  <c:v>Future, Chris Brown, Metro Boomin</c:v>
                </c:pt>
                <c:pt idx="578">
                  <c:v>The Weeknd, Swedish House Mafia</c:v>
                </c:pt>
                <c:pt idx="579">
                  <c:v>Chino Pacas</c:v>
                </c:pt>
                <c:pt idx="580">
                  <c:v>JVKE</c:v>
                </c:pt>
                <c:pt idx="581">
                  <c:v>Junior H, Eden Muï¿½ï</c:v>
                </c:pt>
                <c:pt idx="582">
                  <c:v>Pharrell Williams, Tyler, The Creator, 21 Savage</c:v>
                </c:pt>
                <c:pt idx="583">
                  <c:v>Natanael Cano, Peso Pluma</c:v>
                </c:pt>
                <c:pt idx="584">
                  <c:v>Fifty Fifty</c:v>
                </c:pt>
                <c:pt idx="585">
                  <c:v>Daddy Yankee</c:v>
                </c:pt>
                <c:pt idx="586">
                  <c:v>Sebastian Yatra, Manuel Turizo, Beï¿½ï</c:v>
                </c:pt>
                <c:pt idx="587">
                  <c:v>Chase Atlantic</c:v>
                </c:pt>
                <c:pt idx="588">
                  <c:v>Nile Rodgers, LE SSERAFIM</c:v>
                </c:pt>
                <c:pt idx="589">
                  <c:v>Sofia Carson</c:v>
                </c:pt>
                <c:pt idx="590">
                  <c:v>Frank Sinatra</c:v>
                </c:pt>
                <c:pt idx="591">
                  <c:v>Morgan Wallen, Eric Church</c:v>
                </c:pt>
                <c:pt idx="592">
                  <c:v>Conan Gray</c:v>
                </c:pt>
                <c:pt idx="593">
                  <c:v>Lauren Spencer Smith</c:v>
                </c:pt>
                <c:pt idx="594">
                  <c:v>Troye Sivan</c:v>
                </c:pt>
                <c:pt idx="595">
                  <c:v>Elley Duhï¿</c:v>
                </c:pt>
                <c:pt idx="596">
                  <c:v>SZA, Travis Scott</c:v>
                </c:pt>
                <c:pt idx="597">
                  <c:v>Melanie Martinez</c:v>
                </c:pt>
                <c:pt idx="598">
                  <c:v>The Weeknd, 21 Savage, Metro Boomin</c:v>
                </c:pt>
                <c:pt idx="599">
                  <c:v>Alec Benjamin</c:v>
                </c:pt>
                <c:pt idx="600">
                  <c:v>Quevedo, La Pantera, Juseph, Cruz Cafunï¿½ï¿½, Bï¿½ï¿½jo, Abhir Hathi</c:v>
                </c:pt>
                <c:pt idx="601">
                  <c:v>Miley Cyrus</c:v>
                </c:pt>
                <c:pt idx="602">
                  <c:v>Marshmello, Juice WRLD</c:v>
                </c:pt>
                <c:pt idx="603">
                  <c:v>John Lennon, The Harlem Community Choir, The Plastic Ono Band, Yoko Ono</c:v>
                </c:pt>
                <c:pt idx="604">
                  <c:v>Kodak Black</c:v>
                </c:pt>
                <c:pt idx="605">
                  <c:v>Dua Lipa, Megan Thee Stallion</c:v>
                </c:pt>
                <c:pt idx="606">
                  <c:v>Ruth B.</c:v>
                </c:pt>
                <c:pt idx="607">
                  <c:v>Calvin Harris, Dua Lipa, Young Thug</c:v>
                </c:pt>
                <c:pt idx="608">
                  <c:v>Nicky Youre, Dazy</c:v>
                </c:pt>
                <c:pt idx="609">
                  <c:v>Zach Bryan</c:v>
                </c:pt>
                <c:pt idx="610">
                  <c:v>Josï¿½ï¿½ Felic</c:v>
                </c:pt>
                <c:pt idx="611">
                  <c:v>NLE Choppa</c:v>
                </c:pt>
                <c:pt idx="612">
                  <c:v>Marï¿½ï¿½lia Mendonï¿½ï¿½a, George Henrique &amp;</c:v>
                </c:pt>
                <c:pt idx="613">
                  <c:v>Myke Towers, Quevedo</c:v>
                </c:pt>
                <c:pt idx="614">
                  <c:v>Justin Quiles, Lenny Tavï¿½ï¿½rez, BL</c:v>
                </c:pt>
                <c:pt idx="615">
                  <c:v>Justin Bieber, Daniel Caesar, Giveon</c:v>
                </c:pt>
                <c:pt idx="616">
                  <c:v>HA SUNG WOON, Jimin</c:v>
                </c:pt>
                <c:pt idx="617">
                  <c:v>Raim Laode</c:v>
                </c:pt>
                <c:pt idx="618">
                  <c:v>Seafret</c:v>
                </c:pt>
                <c:pt idx="619">
                  <c:v>Tainy, Bad Bunny</c:v>
                </c:pt>
                <c:pt idx="620">
                  <c:v>Peso Pluma, Luis R Conriquez</c:v>
                </c:pt>
                <c:pt idx="621">
                  <c:v>Tony Dize, Bad Bunny</c:v>
                </c:pt>
                <c:pt idx="622">
                  <c:v>Trueno</c:v>
                </c:pt>
                <c:pt idx="623">
                  <c:v>Taiu, Milo j</c:v>
                </c:pt>
                <c:pt idx="624">
                  <c:v>SZA, Phoebe Bridgers</c:v>
                </c:pt>
                <c:pt idx="625">
                  <c:v>Kendrick Lamar, Ghostface Killah, Summer Walker</c:v>
                </c:pt>
                <c:pt idx="626">
                  <c:v>Halsey</c:v>
                </c:pt>
                <c:pt idx="627">
                  <c:v>Paloma Faith</c:v>
                </c:pt>
                <c:pt idx="628">
                  <c:v>MNEK, Jax Jones</c:v>
                </c:pt>
                <c:pt idx="629">
                  <c:v>Offset, JID</c:v>
                </c:pt>
                <c:pt idx="630">
                  <c:v>Buscabulla, Bad Bunny</c:v>
                </c:pt>
                <c:pt idx="631">
                  <c:v>King</c:v>
                </c:pt>
                <c:pt idx="632">
                  <c:v>Keane</c:v>
                </c:pt>
                <c:pt idx="633">
                  <c:v>David Guetta, Shakira, Black Eyed Peas</c:v>
                </c:pt>
                <c:pt idx="634">
                  <c:v>Leo Santana</c:v>
                </c:pt>
                <c:pt idx="635">
                  <c:v>Kendrick Lamar, Beth Gibbons</c:v>
                </c:pt>
                <c:pt idx="636">
                  <c:v>Quevedo, Jhayco</c:v>
                </c:pt>
                <c:pt idx="637">
                  <c:v>Polima WestCoast, Pailita</c:v>
                </c:pt>
                <c:pt idx="638">
                  <c:v>Peso Pluma, Yng Lvcas</c:v>
                </c:pt>
                <c:pt idx="639">
                  <c:v>Luude, Colin Hay</c:v>
                </c:pt>
                <c:pt idx="640">
                  <c:v>Mac DeMarco</c:v>
                </c:pt>
                <c:pt idx="641">
                  <c:v>Rihanna</c:v>
                </c:pt>
                <c:pt idx="642">
                  <c:v>Lost Frequencies, Calum Scott</c:v>
                </c:pt>
                <c:pt idx="643">
                  <c:v>Lord Huron</c:v>
                </c:pt>
                <c:pt idx="644">
                  <c:v>Kevin Gates, Juicy J</c:v>
                </c:pt>
              </c:strCache>
            </c:strRef>
          </c:cat>
          <c:val>
            <c:numRef>
              <c:f>dancability!$B$4:$B$649</c:f>
              <c:numCache>
                <c:formatCode>0%</c:formatCode>
                <c:ptCount val="645"/>
                <c:pt idx="0">
                  <c:v>96</c:v>
                </c:pt>
                <c:pt idx="1">
                  <c:v>95</c:v>
                </c:pt>
                <c:pt idx="2">
                  <c:v>95</c:v>
                </c:pt>
                <c:pt idx="3">
                  <c:v>95</c:v>
                </c:pt>
                <c:pt idx="4">
                  <c:v>95</c:v>
                </c:pt>
                <c:pt idx="5">
                  <c:v>95</c:v>
                </c:pt>
                <c:pt idx="6">
                  <c:v>93</c:v>
                </c:pt>
                <c:pt idx="7">
                  <c:v>93</c:v>
                </c:pt>
                <c:pt idx="8">
                  <c:v>93</c:v>
                </c:pt>
                <c:pt idx="9">
                  <c:v>93</c:v>
                </c:pt>
                <c:pt idx="10">
                  <c:v>93</c:v>
                </c:pt>
                <c:pt idx="11">
                  <c:v>92</c:v>
                </c:pt>
                <c:pt idx="12">
                  <c:v>92</c:v>
                </c:pt>
                <c:pt idx="13">
                  <c:v>92</c:v>
                </c:pt>
                <c:pt idx="14">
                  <c:v>92</c:v>
                </c:pt>
                <c:pt idx="15">
                  <c:v>92</c:v>
                </c:pt>
                <c:pt idx="16">
                  <c:v>92</c:v>
                </c:pt>
                <c:pt idx="17">
                  <c:v>91</c:v>
                </c:pt>
                <c:pt idx="18">
                  <c:v>91</c:v>
                </c:pt>
                <c:pt idx="19">
                  <c:v>91</c:v>
                </c:pt>
                <c:pt idx="20">
                  <c:v>91</c:v>
                </c:pt>
                <c:pt idx="21">
                  <c:v>91</c:v>
                </c:pt>
                <c:pt idx="22">
                  <c:v>91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89</c:v>
                </c:pt>
                <c:pt idx="28">
                  <c:v>89</c:v>
                </c:pt>
                <c:pt idx="29">
                  <c:v>89</c:v>
                </c:pt>
                <c:pt idx="30">
                  <c:v>89</c:v>
                </c:pt>
                <c:pt idx="31">
                  <c:v>88</c:v>
                </c:pt>
                <c:pt idx="32">
                  <c:v>87</c:v>
                </c:pt>
                <c:pt idx="33">
                  <c:v>87</c:v>
                </c:pt>
                <c:pt idx="34">
                  <c:v>87</c:v>
                </c:pt>
                <c:pt idx="35">
                  <c:v>87</c:v>
                </c:pt>
                <c:pt idx="36">
                  <c:v>87</c:v>
                </c:pt>
                <c:pt idx="37">
                  <c:v>87</c:v>
                </c:pt>
                <c:pt idx="38">
                  <c:v>87</c:v>
                </c:pt>
                <c:pt idx="39">
                  <c:v>87</c:v>
                </c:pt>
                <c:pt idx="40">
                  <c:v>87</c:v>
                </c:pt>
                <c:pt idx="41">
                  <c:v>86</c:v>
                </c:pt>
                <c:pt idx="42">
                  <c:v>86</c:v>
                </c:pt>
                <c:pt idx="43">
                  <c:v>86</c:v>
                </c:pt>
                <c:pt idx="44">
                  <c:v>86</c:v>
                </c:pt>
                <c:pt idx="45">
                  <c:v>86</c:v>
                </c:pt>
                <c:pt idx="46">
                  <c:v>86</c:v>
                </c:pt>
                <c:pt idx="47">
                  <c:v>86</c:v>
                </c:pt>
                <c:pt idx="48">
                  <c:v>86</c:v>
                </c:pt>
                <c:pt idx="49">
                  <c:v>86</c:v>
                </c:pt>
                <c:pt idx="50">
                  <c:v>85.5</c:v>
                </c:pt>
                <c:pt idx="51">
                  <c:v>85</c:v>
                </c:pt>
                <c:pt idx="52">
                  <c:v>85</c:v>
                </c:pt>
                <c:pt idx="53">
                  <c:v>85</c:v>
                </c:pt>
                <c:pt idx="54">
                  <c:v>85</c:v>
                </c:pt>
                <c:pt idx="55">
                  <c:v>85</c:v>
                </c:pt>
                <c:pt idx="56">
                  <c:v>85</c:v>
                </c:pt>
                <c:pt idx="57">
                  <c:v>84</c:v>
                </c:pt>
                <c:pt idx="58">
                  <c:v>84</c:v>
                </c:pt>
                <c:pt idx="59">
                  <c:v>84</c:v>
                </c:pt>
                <c:pt idx="60">
                  <c:v>84</c:v>
                </c:pt>
                <c:pt idx="61">
                  <c:v>84</c:v>
                </c:pt>
                <c:pt idx="62">
                  <c:v>84</c:v>
                </c:pt>
                <c:pt idx="63">
                  <c:v>84</c:v>
                </c:pt>
                <c:pt idx="64">
                  <c:v>83.333333333333329</c:v>
                </c:pt>
                <c:pt idx="65">
                  <c:v>83</c:v>
                </c:pt>
                <c:pt idx="66">
                  <c:v>83</c:v>
                </c:pt>
                <c:pt idx="67">
                  <c:v>83</c:v>
                </c:pt>
                <c:pt idx="68">
                  <c:v>83</c:v>
                </c:pt>
                <c:pt idx="69">
                  <c:v>83</c:v>
                </c:pt>
                <c:pt idx="70">
                  <c:v>83</c:v>
                </c:pt>
                <c:pt idx="71">
                  <c:v>83</c:v>
                </c:pt>
                <c:pt idx="72">
                  <c:v>83</c:v>
                </c:pt>
                <c:pt idx="73">
                  <c:v>83</c:v>
                </c:pt>
                <c:pt idx="74">
                  <c:v>83</c:v>
                </c:pt>
                <c:pt idx="75">
                  <c:v>82</c:v>
                </c:pt>
                <c:pt idx="76">
                  <c:v>82</c:v>
                </c:pt>
                <c:pt idx="77">
                  <c:v>82</c:v>
                </c:pt>
                <c:pt idx="78">
                  <c:v>82</c:v>
                </c:pt>
                <c:pt idx="79">
                  <c:v>82</c:v>
                </c:pt>
                <c:pt idx="80">
                  <c:v>82</c:v>
                </c:pt>
                <c:pt idx="81">
                  <c:v>82</c:v>
                </c:pt>
                <c:pt idx="82">
                  <c:v>82</c:v>
                </c:pt>
                <c:pt idx="83">
                  <c:v>82</c:v>
                </c:pt>
                <c:pt idx="84">
                  <c:v>82</c:v>
                </c:pt>
                <c:pt idx="85">
                  <c:v>81.25</c:v>
                </c:pt>
                <c:pt idx="86">
                  <c:v>81</c:v>
                </c:pt>
                <c:pt idx="87">
                  <c:v>81</c:v>
                </c:pt>
                <c:pt idx="88">
                  <c:v>81</c:v>
                </c:pt>
                <c:pt idx="89">
                  <c:v>81</c:v>
                </c:pt>
                <c:pt idx="90">
                  <c:v>81</c:v>
                </c:pt>
                <c:pt idx="91">
                  <c:v>81</c:v>
                </c:pt>
                <c:pt idx="92">
                  <c:v>81</c:v>
                </c:pt>
                <c:pt idx="93">
                  <c:v>81</c:v>
                </c:pt>
                <c:pt idx="94">
                  <c:v>81</c:v>
                </c:pt>
                <c:pt idx="95">
                  <c:v>81</c:v>
                </c:pt>
                <c:pt idx="96">
                  <c:v>81</c:v>
                </c:pt>
                <c:pt idx="97">
                  <c:v>81</c:v>
                </c:pt>
                <c:pt idx="98">
                  <c:v>81</c:v>
                </c:pt>
                <c:pt idx="99">
                  <c:v>81</c:v>
                </c:pt>
                <c:pt idx="100">
                  <c:v>81</c:v>
                </c:pt>
                <c:pt idx="101">
                  <c:v>81</c:v>
                </c:pt>
                <c:pt idx="102">
                  <c:v>81</c:v>
                </c:pt>
                <c:pt idx="103">
                  <c:v>81</c:v>
                </c:pt>
                <c:pt idx="104">
                  <c:v>81</c:v>
                </c:pt>
                <c:pt idx="105">
                  <c:v>81</c:v>
                </c:pt>
                <c:pt idx="106">
                  <c:v>80.5</c:v>
                </c:pt>
                <c:pt idx="107">
                  <c:v>80.5</c:v>
                </c:pt>
                <c:pt idx="108">
                  <c:v>80</c:v>
                </c:pt>
                <c:pt idx="109">
                  <c:v>80</c:v>
                </c:pt>
                <c:pt idx="110">
                  <c:v>80</c:v>
                </c:pt>
                <c:pt idx="111">
                  <c:v>80</c:v>
                </c:pt>
                <c:pt idx="112">
                  <c:v>80</c:v>
                </c:pt>
                <c:pt idx="113">
                  <c:v>80</c:v>
                </c:pt>
                <c:pt idx="114">
                  <c:v>80</c:v>
                </c:pt>
                <c:pt idx="115">
                  <c:v>80</c:v>
                </c:pt>
                <c:pt idx="116">
                  <c:v>80</c:v>
                </c:pt>
                <c:pt idx="117">
                  <c:v>80</c:v>
                </c:pt>
                <c:pt idx="118">
                  <c:v>80</c:v>
                </c:pt>
                <c:pt idx="119">
                  <c:v>80</c:v>
                </c:pt>
                <c:pt idx="120">
                  <c:v>80</c:v>
                </c:pt>
                <c:pt idx="121">
                  <c:v>80</c:v>
                </c:pt>
                <c:pt idx="122">
                  <c:v>80</c:v>
                </c:pt>
                <c:pt idx="123">
                  <c:v>79</c:v>
                </c:pt>
                <c:pt idx="124">
                  <c:v>79</c:v>
                </c:pt>
                <c:pt idx="125">
                  <c:v>79</c:v>
                </c:pt>
                <c:pt idx="126">
                  <c:v>79</c:v>
                </c:pt>
                <c:pt idx="127">
                  <c:v>79</c:v>
                </c:pt>
                <c:pt idx="128">
                  <c:v>79</c:v>
                </c:pt>
                <c:pt idx="129">
                  <c:v>79</c:v>
                </c:pt>
                <c:pt idx="130">
                  <c:v>79</c:v>
                </c:pt>
                <c:pt idx="131">
                  <c:v>79</c:v>
                </c:pt>
                <c:pt idx="132">
                  <c:v>79</c:v>
                </c:pt>
                <c:pt idx="133">
                  <c:v>79</c:v>
                </c:pt>
                <c:pt idx="134">
                  <c:v>79</c:v>
                </c:pt>
                <c:pt idx="135">
                  <c:v>79</c:v>
                </c:pt>
                <c:pt idx="136">
                  <c:v>78.5</c:v>
                </c:pt>
                <c:pt idx="137">
                  <c:v>78</c:v>
                </c:pt>
                <c:pt idx="138">
                  <c:v>78</c:v>
                </c:pt>
                <c:pt idx="139">
                  <c:v>78</c:v>
                </c:pt>
                <c:pt idx="140">
                  <c:v>78</c:v>
                </c:pt>
                <c:pt idx="141">
                  <c:v>78</c:v>
                </c:pt>
                <c:pt idx="142">
                  <c:v>78</c:v>
                </c:pt>
                <c:pt idx="143">
                  <c:v>78</c:v>
                </c:pt>
                <c:pt idx="144">
                  <c:v>78</c:v>
                </c:pt>
                <c:pt idx="145">
                  <c:v>78</c:v>
                </c:pt>
                <c:pt idx="146">
                  <c:v>78</c:v>
                </c:pt>
                <c:pt idx="147">
                  <c:v>78</c:v>
                </c:pt>
                <c:pt idx="148">
                  <c:v>78</c:v>
                </c:pt>
                <c:pt idx="149">
                  <c:v>78</c:v>
                </c:pt>
                <c:pt idx="150">
                  <c:v>78</c:v>
                </c:pt>
                <c:pt idx="151">
                  <c:v>78</c:v>
                </c:pt>
                <c:pt idx="152">
                  <c:v>77.5</c:v>
                </c:pt>
                <c:pt idx="153">
                  <c:v>77.5</c:v>
                </c:pt>
                <c:pt idx="154">
                  <c:v>77.5</c:v>
                </c:pt>
                <c:pt idx="155">
                  <c:v>77</c:v>
                </c:pt>
                <c:pt idx="156">
                  <c:v>77</c:v>
                </c:pt>
                <c:pt idx="157">
                  <c:v>77</c:v>
                </c:pt>
                <c:pt idx="158">
                  <c:v>77</c:v>
                </c:pt>
                <c:pt idx="159">
                  <c:v>77</c:v>
                </c:pt>
                <c:pt idx="160">
                  <c:v>77</c:v>
                </c:pt>
                <c:pt idx="161">
                  <c:v>77</c:v>
                </c:pt>
                <c:pt idx="162">
                  <c:v>77</c:v>
                </c:pt>
                <c:pt idx="163">
                  <c:v>77</c:v>
                </c:pt>
                <c:pt idx="164">
                  <c:v>77</c:v>
                </c:pt>
                <c:pt idx="165">
                  <c:v>77</c:v>
                </c:pt>
                <c:pt idx="166">
                  <c:v>77</c:v>
                </c:pt>
                <c:pt idx="167">
                  <c:v>77</c:v>
                </c:pt>
                <c:pt idx="168">
                  <c:v>77</c:v>
                </c:pt>
                <c:pt idx="169">
                  <c:v>77</c:v>
                </c:pt>
                <c:pt idx="170">
                  <c:v>76.666666666666671</c:v>
                </c:pt>
                <c:pt idx="171">
                  <c:v>76.5</c:v>
                </c:pt>
                <c:pt idx="172">
                  <c:v>76.2</c:v>
                </c:pt>
                <c:pt idx="173">
                  <c:v>76</c:v>
                </c:pt>
                <c:pt idx="174">
                  <c:v>76</c:v>
                </c:pt>
                <c:pt idx="175">
                  <c:v>76</c:v>
                </c:pt>
                <c:pt idx="176">
                  <c:v>76</c:v>
                </c:pt>
                <c:pt idx="177">
                  <c:v>76</c:v>
                </c:pt>
                <c:pt idx="178">
                  <c:v>76</c:v>
                </c:pt>
                <c:pt idx="179">
                  <c:v>76</c:v>
                </c:pt>
                <c:pt idx="180">
                  <c:v>76</c:v>
                </c:pt>
                <c:pt idx="181">
                  <c:v>76</c:v>
                </c:pt>
                <c:pt idx="182">
                  <c:v>76</c:v>
                </c:pt>
                <c:pt idx="183">
                  <c:v>76</c:v>
                </c:pt>
                <c:pt idx="184">
                  <c:v>76</c:v>
                </c:pt>
                <c:pt idx="185">
                  <c:v>75.666666666666671</c:v>
                </c:pt>
                <c:pt idx="186">
                  <c:v>75.5</c:v>
                </c:pt>
                <c:pt idx="187">
                  <c:v>75.5</c:v>
                </c:pt>
                <c:pt idx="188">
                  <c:v>75.5</c:v>
                </c:pt>
                <c:pt idx="189">
                  <c:v>75.25</c:v>
                </c:pt>
                <c:pt idx="190">
                  <c:v>75</c:v>
                </c:pt>
                <c:pt idx="191">
                  <c:v>75</c:v>
                </c:pt>
                <c:pt idx="192">
                  <c:v>75</c:v>
                </c:pt>
                <c:pt idx="193">
                  <c:v>75</c:v>
                </c:pt>
                <c:pt idx="194">
                  <c:v>75</c:v>
                </c:pt>
                <c:pt idx="195">
                  <c:v>75</c:v>
                </c:pt>
                <c:pt idx="196">
                  <c:v>75</c:v>
                </c:pt>
                <c:pt idx="197">
                  <c:v>75</c:v>
                </c:pt>
                <c:pt idx="198">
                  <c:v>75</c:v>
                </c:pt>
                <c:pt idx="199">
                  <c:v>75</c:v>
                </c:pt>
                <c:pt idx="200">
                  <c:v>75</c:v>
                </c:pt>
                <c:pt idx="201">
                  <c:v>75</c:v>
                </c:pt>
                <c:pt idx="202">
                  <c:v>75</c:v>
                </c:pt>
                <c:pt idx="203">
                  <c:v>75</c:v>
                </c:pt>
                <c:pt idx="204">
                  <c:v>75</c:v>
                </c:pt>
                <c:pt idx="205">
                  <c:v>75</c:v>
                </c:pt>
                <c:pt idx="206">
                  <c:v>74.5</c:v>
                </c:pt>
                <c:pt idx="207">
                  <c:v>74.333333333333329</c:v>
                </c:pt>
                <c:pt idx="208">
                  <c:v>74</c:v>
                </c:pt>
                <c:pt idx="209">
                  <c:v>74</c:v>
                </c:pt>
                <c:pt idx="210">
                  <c:v>74</c:v>
                </c:pt>
                <c:pt idx="211">
                  <c:v>74</c:v>
                </c:pt>
                <c:pt idx="212">
                  <c:v>74</c:v>
                </c:pt>
                <c:pt idx="213">
                  <c:v>74</c:v>
                </c:pt>
                <c:pt idx="214">
                  <c:v>74</c:v>
                </c:pt>
                <c:pt idx="215">
                  <c:v>74</c:v>
                </c:pt>
                <c:pt idx="216">
                  <c:v>74</c:v>
                </c:pt>
                <c:pt idx="217">
                  <c:v>74</c:v>
                </c:pt>
                <c:pt idx="218">
                  <c:v>74</c:v>
                </c:pt>
                <c:pt idx="219">
                  <c:v>74</c:v>
                </c:pt>
                <c:pt idx="220">
                  <c:v>74</c:v>
                </c:pt>
                <c:pt idx="221">
                  <c:v>74</c:v>
                </c:pt>
                <c:pt idx="222">
                  <c:v>74</c:v>
                </c:pt>
                <c:pt idx="223">
                  <c:v>74</c:v>
                </c:pt>
                <c:pt idx="224">
                  <c:v>73.5</c:v>
                </c:pt>
                <c:pt idx="225">
                  <c:v>73.5</c:v>
                </c:pt>
                <c:pt idx="226">
                  <c:v>73</c:v>
                </c:pt>
                <c:pt idx="227">
                  <c:v>73</c:v>
                </c:pt>
                <c:pt idx="228">
                  <c:v>73</c:v>
                </c:pt>
                <c:pt idx="229">
                  <c:v>73</c:v>
                </c:pt>
                <c:pt idx="230">
                  <c:v>73</c:v>
                </c:pt>
                <c:pt idx="231">
                  <c:v>73</c:v>
                </c:pt>
                <c:pt idx="232">
                  <c:v>73</c:v>
                </c:pt>
                <c:pt idx="233">
                  <c:v>73</c:v>
                </c:pt>
                <c:pt idx="234">
                  <c:v>73</c:v>
                </c:pt>
                <c:pt idx="235">
                  <c:v>73</c:v>
                </c:pt>
                <c:pt idx="236">
                  <c:v>73</c:v>
                </c:pt>
                <c:pt idx="237">
                  <c:v>73</c:v>
                </c:pt>
                <c:pt idx="238">
                  <c:v>73</c:v>
                </c:pt>
                <c:pt idx="239">
                  <c:v>73</c:v>
                </c:pt>
                <c:pt idx="240">
                  <c:v>73</c:v>
                </c:pt>
                <c:pt idx="241">
                  <c:v>73</c:v>
                </c:pt>
                <c:pt idx="242">
                  <c:v>73</c:v>
                </c:pt>
                <c:pt idx="243">
                  <c:v>73</c:v>
                </c:pt>
                <c:pt idx="244">
                  <c:v>73</c:v>
                </c:pt>
                <c:pt idx="245">
                  <c:v>73</c:v>
                </c:pt>
                <c:pt idx="246">
                  <c:v>73</c:v>
                </c:pt>
                <c:pt idx="247">
                  <c:v>72.714285714285708</c:v>
                </c:pt>
                <c:pt idx="248">
                  <c:v>72.666666666666671</c:v>
                </c:pt>
                <c:pt idx="249">
                  <c:v>72.5</c:v>
                </c:pt>
                <c:pt idx="250">
                  <c:v>72</c:v>
                </c:pt>
                <c:pt idx="251">
                  <c:v>72</c:v>
                </c:pt>
                <c:pt idx="252">
                  <c:v>72</c:v>
                </c:pt>
                <c:pt idx="253">
                  <c:v>72</c:v>
                </c:pt>
                <c:pt idx="254">
                  <c:v>72</c:v>
                </c:pt>
                <c:pt idx="255">
                  <c:v>72</c:v>
                </c:pt>
                <c:pt idx="256">
                  <c:v>72</c:v>
                </c:pt>
                <c:pt idx="257">
                  <c:v>72</c:v>
                </c:pt>
                <c:pt idx="258">
                  <c:v>72</c:v>
                </c:pt>
                <c:pt idx="259">
                  <c:v>72</c:v>
                </c:pt>
                <c:pt idx="260">
                  <c:v>72</c:v>
                </c:pt>
                <c:pt idx="261">
                  <c:v>71.63636363636364</c:v>
                </c:pt>
                <c:pt idx="262">
                  <c:v>71.375</c:v>
                </c:pt>
                <c:pt idx="263">
                  <c:v>71</c:v>
                </c:pt>
                <c:pt idx="264">
                  <c:v>71</c:v>
                </c:pt>
                <c:pt idx="265">
                  <c:v>71</c:v>
                </c:pt>
                <c:pt idx="266">
                  <c:v>71</c:v>
                </c:pt>
                <c:pt idx="267">
                  <c:v>71</c:v>
                </c:pt>
                <c:pt idx="268">
                  <c:v>71</c:v>
                </c:pt>
                <c:pt idx="269">
                  <c:v>71</c:v>
                </c:pt>
                <c:pt idx="270">
                  <c:v>71</c:v>
                </c:pt>
                <c:pt idx="271">
                  <c:v>71</c:v>
                </c:pt>
                <c:pt idx="272">
                  <c:v>71</c:v>
                </c:pt>
                <c:pt idx="273">
                  <c:v>71</c:v>
                </c:pt>
                <c:pt idx="274">
                  <c:v>71</c:v>
                </c:pt>
                <c:pt idx="275">
                  <c:v>71</c:v>
                </c:pt>
                <c:pt idx="276">
                  <c:v>70.89473684210526</c:v>
                </c:pt>
                <c:pt idx="277">
                  <c:v>70.5</c:v>
                </c:pt>
                <c:pt idx="278">
                  <c:v>70</c:v>
                </c:pt>
                <c:pt idx="279">
                  <c:v>70</c:v>
                </c:pt>
                <c:pt idx="280">
                  <c:v>70</c:v>
                </c:pt>
                <c:pt idx="281">
                  <c:v>70</c:v>
                </c:pt>
                <c:pt idx="282">
                  <c:v>70</c:v>
                </c:pt>
                <c:pt idx="283">
                  <c:v>70</c:v>
                </c:pt>
                <c:pt idx="284">
                  <c:v>70</c:v>
                </c:pt>
                <c:pt idx="285">
                  <c:v>70</c:v>
                </c:pt>
                <c:pt idx="286">
                  <c:v>70</c:v>
                </c:pt>
                <c:pt idx="287">
                  <c:v>70</c:v>
                </c:pt>
                <c:pt idx="288">
                  <c:v>70</c:v>
                </c:pt>
                <c:pt idx="289">
                  <c:v>70</c:v>
                </c:pt>
                <c:pt idx="290">
                  <c:v>70</c:v>
                </c:pt>
                <c:pt idx="291">
                  <c:v>70</c:v>
                </c:pt>
                <c:pt idx="292">
                  <c:v>70</c:v>
                </c:pt>
                <c:pt idx="293">
                  <c:v>70</c:v>
                </c:pt>
                <c:pt idx="294">
                  <c:v>70</c:v>
                </c:pt>
                <c:pt idx="295">
                  <c:v>70</c:v>
                </c:pt>
                <c:pt idx="296">
                  <c:v>70</c:v>
                </c:pt>
                <c:pt idx="297">
                  <c:v>70</c:v>
                </c:pt>
                <c:pt idx="298">
                  <c:v>70</c:v>
                </c:pt>
                <c:pt idx="299">
                  <c:v>70</c:v>
                </c:pt>
                <c:pt idx="300">
                  <c:v>69.833333333333329</c:v>
                </c:pt>
                <c:pt idx="301">
                  <c:v>69.473684210526315</c:v>
                </c:pt>
                <c:pt idx="302">
                  <c:v>69.25</c:v>
                </c:pt>
                <c:pt idx="303">
                  <c:v>69.13636363636364</c:v>
                </c:pt>
                <c:pt idx="304">
                  <c:v>69</c:v>
                </c:pt>
                <c:pt idx="305">
                  <c:v>69</c:v>
                </c:pt>
                <c:pt idx="306">
                  <c:v>69</c:v>
                </c:pt>
                <c:pt idx="307">
                  <c:v>69</c:v>
                </c:pt>
                <c:pt idx="308">
                  <c:v>69</c:v>
                </c:pt>
                <c:pt idx="309">
                  <c:v>69</c:v>
                </c:pt>
                <c:pt idx="310">
                  <c:v>69</c:v>
                </c:pt>
                <c:pt idx="311">
                  <c:v>69</c:v>
                </c:pt>
                <c:pt idx="312">
                  <c:v>69</c:v>
                </c:pt>
                <c:pt idx="313">
                  <c:v>69</c:v>
                </c:pt>
                <c:pt idx="314">
                  <c:v>68.5</c:v>
                </c:pt>
                <c:pt idx="315">
                  <c:v>68.333333333333329</c:v>
                </c:pt>
                <c:pt idx="316">
                  <c:v>68</c:v>
                </c:pt>
                <c:pt idx="317">
                  <c:v>68</c:v>
                </c:pt>
                <c:pt idx="318">
                  <c:v>68</c:v>
                </c:pt>
                <c:pt idx="319">
                  <c:v>68</c:v>
                </c:pt>
                <c:pt idx="320">
                  <c:v>68</c:v>
                </c:pt>
                <c:pt idx="321">
                  <c:v>68</c:v>
                </c:pt>
                <c:pt idx="322">
                  <c:v>68</c:v>
                </c:pt>
                <c:pt idx="323">
                  <c:v>68</c:v>
                </c:pt>
                <c:pt idx="324">
                  <c:v>68</c:v>
                </c:pt>
                <c:pt idx="325">
                  <c:v>68</c:v>
                </c:pt>
                <c:pt idx="326">
                  <c:v>68</c:v>
                </c:pt>
                <c:pt idx="327">
                  <c:v>68</c:v>
                </c:pt>
                <c:pt idx="328">
                  <c:v>67.666666666666671</c:v>
                </c:pt>
                <c:pt idx="329">
                  <c:v>67.333333333333329</c:v>
                </c:pt>
                <c:pt idx="330">
                  <c:v>67</c:v>
                </c:pt>
                <c:pt idx="331">
                  <c:v>67</c:v>
                </c:pt>
                <c:pt idx="332">
                  <c:v>67</c:v>
                </c:pt>
                <c:pt idx="333">
                  <c:v>67</c:v>
                </c:pt>
                <c:pt idx="334">
                  <c:v>67</c:v>
                </c:pt>
                <c:pt idx="335">
                  <c:v>67</c:v>
                </c:pt>
                <c:pt idx="336">
                  <c:v>67</c:v>
                </c:pt>
                <c:pt idx="337">
                  <c:v>67</c:v>
                </c:pt>
                <c:pt idx="338">
                  <c:v>67</c:v>
                </c:pt>
                <c:pt idx="339">
                  <c:v>67</c:v>
                </c:pt>
                <c:pt idx="340">
                  <c:v>67</c:v>
                </c:pt>
                <c:pt idx="341">
                  <c:v>67</c:v>
                </c:pt>
                <c:pt idx="342">
                  <c:v>67</c:v>
                </c:pt>
                <c:pt idx="343">
                  <c:v>67</c:v>
                </c:pt>
                <c:pt idx="344">
                  <c:v>67</c:v>
                </c:pt>
                <c:pt idx="345">
                  <c:v>67</c:v>
                </c:pt>
                <c:pt idx="346">
                  <c:v>67</c:v>
                </c:pt>
                <c:pt idx="347">
                  <c:v>67</c:v>
                </c:pt>
                <c:pt idx="348">
                  <c:v>66.75</c:v>
                </c:pt>
                <c:pt idx="349">
                  <c:v>66.75</c:v>
                </c:pt>
                <c:pt idx="350">
                  <c:v>66.5</c:v>
                </c:pt>
                <c:pt idx="351">
                  <c:v>66.25</c:v>
                </c:pt>
                <c:pt idx="352">
                  <c:v>66.25</c:v>
                </c:pt>
                <c:pt idx="353">
                  <c:v>66.142857142857139</c:v>
                </c:pt>
                <c:pt idx="354">
                  <c:v>66</c:v>
                </c:pt>
                <c:pt idx="355">
                  <c:v>66</c:v>
                </c:pt>
                <c:pt idx="356">
                  <c:v>66</c:v>
                </c:pt>
                <c:pt idx="357">
                  <c:v>66</c:v>
                </c:pt>
                <c:pt idx="358">
                  <c:v>66</c:v>
                </c:pt>
                <c:pt idx="359">
                  <c:v>66</c:v>
                </c:pt>
                <c:pt idx="360">
                  <c:v>66</c:v>
                </c:pt>
                <c:pt idx="361">
                  <c:v>66</c:v>
                </c:pt>
                <c:pt idx="362">
                  <c:v>66</c:v>
                </c:pt>
                <c:pt idx="363">
                  <c:v>65.647058823529406</c:v>
                </c:pt>
                <c:pt idx="364">
                  <c:v>65.5</c:v>
                </c:pt>
                <c:pt idx="365">
                  <c:v>65.5</c:v>
                </c:pt>
                <c:pt idx="366">
                  <c:v>65</c:v>
                </c:pt>
                <c:pt idx="367">
                  <c:v>65</c:v>
                </c:pt>
                <c:pt idx="368">
                  <c:v>65</c:v>
                </c:pt>
                <c:pt idx="369">
                  <c:v>65</c:v>
                </c:pt>
                <c:pt idx="370">
                  <c:v>65</c:v>
                </c:pt>
                <c:pt idx="371">
                  <c:v>65</c:v>
                </c:pt>
                <c:pt idx="372">
                  <c:v>65</c:v>
                </c:pt>
                <c:pt idx="373">
                  <c:v>65</c:v>
                </c:pt>
                <c:pt idx="374">
                  <c:v>65</c:v>
                </c:pt>
                <c:pt idx="375">
                  <c:v>65</c:v>
                </c:pt>
                <c:pt idx="376">
                  <c:v>65</c:v>
                </c:pt>
                <c:pt idx="377">
                  <c:v>65</c:v>
                </c:pt>
                <c:pt idx="378">
                  <c:v>65</c:v>
                </c:pt>
                <c:pt idx="379">
                  <c:v>65</c:v>
                </c:pt>
                <c:pt idx="380">
                  <c:v>65</c:v>
                </c:pt>
                <c:pt idx="381">
                  <c:v>65</c:v>
                </c:pt>
                <c:pt idx="382">
                  <c:v>65</c:v>
                </c:pt>
                <c:pt idx="383">
                  <c:v>65</c:v>
                </c:pt>
                <c:pt idx="384">
                  <c:v>65</c:v>
                </c:pt>
                <c:pt idx="385">
                  <c:v>65</c:v>
                </c:pt>
                <c:pt idx="386">
                  <c:v>64.555555555555557</c:v>
                </c:pt>
                <c:pt idx="387">
                  <c:v>64.333333333333329</c:v>
                </c:pt>
                <c:pt idx="388">
                  <c:v>64</c:v>
                </c:pt>
                <c:pt idx="389">
                  <c:v>64</c:v>
                </c:pt>
                <c:pt idx="390">
                  <c:v>64</c:v>
                </c:pt>
                <c:pt idx="391">
                  <c:v>64</c:v>
                </c:pt>
                <c:pt idx="392">
                  <c:v>64</c:v>
                </c:pt>
                <c:pt idx="393">
                  <c:v>64</c:v>
                </c:pt>
                <c:pt idx="394">
                  <c:v>64</c:v>
                </c:pt>
                <c:pt idx="395">
                  <c:v>64</c:v>
                </c:pt>
                <c:pt idx="396">
                  <c:v>64</c:v>
                </c:pt>
                <c:pt idx="397">
                  <c:v>64</c:v>
                </c:pt>
                <c:pt idx="398">
                  <c:v>64</c:v>
                </c:pt>
                <c:pt idx="399">
                  <c:v>64</c:v>
                </c:pt>
                <c:pt idx="400">
                  <c:v>63.5</c:v>
                </c:pt>
                <c:pt idx="401">
                  <c:v>63</c:v>
                </c:pt>
                <c:pt idx="402">
                  <c:v>63</c:v>
                </c:pt>
                <c:pt idx="403">
                  <c:v>63</c:v>
                </c:pt>
                <c:pt idx="404">
                  <c:v>63</c:v>
                </c:pt>
                <c:pt idx="405">
                  <c:v>63</c:v>
                </c:pt>
                <c:pt idx="406">
                  <c:v>63</c:v>
                </c:pt>
                <c:pt idx="407">
                  <c:v>63</c:v>
                </c:pt>
                <c:pt idx="408">
                  <c:v>63</c:v>
                </c:pt>
                <c:pt idx="409">
                  <c:v>63</c:v>
                </c:pt>
                <c:pt idx="410">
                  <c:v>63</c:v>
                </c:pt>
                <c:pt idx="411">
                  <c:v>63</c:v>
                </c:pt>
                <c:pt idx="412">
                  <c:v>63</c:v>
                </c:pt>
                <c:pt idx="413">
                  <c:v>63</c:v>
                </c:pt>
                <c:pt idx="414">
                  <c:v>63</c:v>
                </c:pt>
                <c:pt idx="415">
                  <c:v>62.333333333333336</c:v>
                </c:pt>
                <c:pt idx="416">
                  <c:v>62</c:v>
                </c:pt>
                <c:pt idx="417">
                  <c:v>62</c:v>
                </c:pt>
                <c:pt idx="418">
                  <c:v>62</c:v>
                </c:pt>
                <c:pt idx="419">
                  <c:v>62</c:v>
                </c:pt>
                <c:pt idx="420">
                  <c:v>62</c:v>
                </c:pt>
                <c:pt idx="421">
                  <c:v>62</c:v>
                </c:pt>
                <c:pt idx="422">
                  <c:v>62</c:v>
                </c:pt>
                <c:pt idx="423">
                  <c:v>62</c:v>
                </c:pt>
                <c:pt idx="424">
                  <c:v>62</c:v>
                </c:pt>
                <c:pt idx="425">
                  <c:v>61</c:v>
                </c:pt>
                <c:pt idx="426">
                  <c:v>61</c:v>
                </c:pt>
                <c:pt idx="427">
                  <c:v>61</c:v>
                </c:pt>
                <c:pt idx="428">
                  <c:v>61</c:v>
                </c:pt>
                <c:pt idx="429">
                  <c:v>61</c:v>
                </c:pt>
                <c:pt idx="430">
                  <c:v>61</c:v>
                </c:pt>
                <c:pt idx="431">
                  <c:v>61</c:v>
                </c:pt>
                <c:pt idx="432">
                  <c:v>61</c:v>
                </c:pt>
                <c:pt idx="433">
                  <c:v>61</c:v>
                </c:pt>
                <c:pt idx="434">
                  <c:v>61</c:v>
                </c:pt>
                <c:pt idx="435">
                  <c:v>61</c:v>
                </c:pt>
                <c:pt idx="436">
                  <c:v>61</c:v>
                </c:pt>
                <c:pt idx="437">
                  <c:v>60.75</c:v>
                </c:pt>
                <c:pt idx="438">
                  <c:v>60.666666666666664</c:v>
                </c:pt>
                <c:pt idx="439">
                  <c:v>60.333333333333336</c:v>
                </c:pt>
                <c:pt idx="440">
                  <c:v>60</c:v>
                </c:pt>
                <c:pt idx="441">
                  <c:v>60</c:v>
                </c:pt>
                <c:pt idx="442">
                  <c:v>60</c:v>
                </c:pt>
                <c:pt idx="443">
                  <c:v>60</c:v>
                </c:pt>
                <c:pt idx="444">
                  <c:v>60</c:v>
                </c:pt>
                <c:pt idx="445">
                  <c:v>60</c:v>
                </c:pt>
                <c:pt idx="446">
                  <c:v>60</c:v>
                </c:pt>
                <c:pt idx="447">
                  <c:v>60</c:v>
                </c:pt>
                <c:pt idx="448">
                  <c:v>60</c:v>
                </c:pt>
                <c:pt idx="449">
                  <c:v>60</c:v>
                </c:pt>
                <c:pt idx="450">
                  <c:v>60</c:v>
                </c:pt>
                <c:pt idx="451">
                  <c:v>60</c:v>
                </c:pt>
                <c:pt idx="452">
                  <c:v>60</c:v>
                </c:pt>
                <c:pt idx="453">
                  <c:v>60</c:v>
                </c:pt>
                <c:pt idx="454">
                  <c:v>60</c:v>
                </c:pt>
                <c:pt idx="455">
                  <c:v>60</c:v>
                </c:pt>
                <c:pt idx="456">
                  <c:v>60</c:v>
                </c:pt>
                <c:pt idx="457">
                  <c:v>59.666666666666664</c:v>
                </c:pt>
                <c:pt idx="458">
                  <c:v>59.666666666666664</c:v>
                </c:pt>
                <c:pt idx="459">
                  <c:v>59.5</c:v>
                </c:pt>
                <c:pt idx="460">
                  <c:v>59</c:v>
                </c:pt>
                <c:pt idx="461">
                  <c:v>59</c:v>
                </c:pt>
                <c:pt idx="462">
                  <c:v>59</c:v>
                </c:pt>
                <c:pt idx="463">
                  <c:v>59</c:v>
                </c:pt>
                <c:pt idx="464">
                  <c:v>59</c:v>
                </c:pt>
                <c:pt idx="465">
                  <c:v>59</c:v>
                </c:pt>
                <c:pt idx="466">
                  <c:v>59</c:v>
                </c:pt>
                <c:pt idx="467">
                  <c:v>59</c:v>
                </c:pt>
                <c:pt idx="468">
                  <c:v>59</c:v>
                </c:pt>
                <c:pt idx="469">
                  <c:v>59</c:v>
                </c:pt>
                <c:pt idx="470">
                  <c:v>59</c:v>
                </c:pt>
                <c:pt idx="471">
                  <c:v>59</c:v>
                </c:pt>
                <c:pt idx="472">
                  <c:v>59</c:v>
                </c:pt>
                <c:pt idx="473">
                  <c:v>59</c:v>
                </c:pt>
                <c:pt idx="474">
                  <c:v>59</c:v>
                </c:pt>
                <c:pt idx="475">
                  <c:v>59</c:v>
                </c:pt>
                <c:pt idx="476">
                  <c:v>59</c:v>
                </c:pt>
                <c:pt idx="477">
                  <c:v>59</c:v>
                </c:pt>
                <c:pt idx="478">
                  <c:v>59</c:v>
                </c:pt>
                <c:pt idx="479">
                  <c:v>58.5</c:v>
                </c:pt>
                <c:pt idx="480">
                  <c:v>58</c:v>
                </c:pt>
                <c:pt idx="481">
                  <c:v>58</c:v>
                </c:pt>
                <c:pt idx="482">
                  <c:v>58</c:v>
                </c:pt>
                <c:pt idx="483">
                  <c:v>58</c:v>
                </c:pt>
                <c:pt idx="484">
                  <c:v>58</c:v>
                </c:pt>
                <c:pt idx="485">
                  <c:v>58</c:v>
                </c:pt>
                <c:pt idx="486">
                  <c:v>58</c:v>
                </c:pt>
                <c:pt idx="487">
                  <c:v>58</c:v>
                </c:pt>
                <c:pt idx="488">
                  <c:v>58</c:v>
                </c:pt>
                <c:pt idx="489">
                  <c:v>58</c:v>
                </c:pt>
                <c:pt idx="490">
                  <c:v>58</c:v>
                </c:pt>
                <c:pt idx="491">
                  <c:v>57.5</c:v>
                </c:pt>
                <c:pt idx="492">
                  <c:v>57</c:v>
                </c:pt>
                <c:pt idx="493">
                  <c:v>57</c:v>
                </c:pt>
                <c:pt idx="494">
                  <c:v>57</c:v>
                </c:pt>
                <c:pt idx="495">
                  <c:v>57</c:v>
                </c:pt>
                <c:pt idx="496">
                  <c:v>57</c:v>
                </c:pt>
                <c:pt idx="497">
                  <c:v>57</c:v>
                </c:pt>
                <c:pt idx="498">
                  <c:v>57</c:v>
                </c:pt>
                <c:pt idx="499">
                  <c:v>57</c:v>
                </c:pt>
                <c:pt idx="500">
                  <c:v>57</c:v>
                </c:pt>
                <c:pt idx="501">
                  <c:v>56</c:v>
                </c:pt>
                <c:pt idx="502">
                  <c:v>56</c:v>
                </c:pt>
                <c:pt idx="503">
                  <c:v>56</c:v>
                </c:pt>
                <c:pt idx="504">
                  <c:v>56</c:v>
                </c:pt>
                <c:pt idx="505">
                  <c:v>56</c:v>
                </c:pt>
                <c:pt idx="506">
                  <c:v>56</c:v>
                </c:pt>
                <c:pt idx="507">
                  <c:v>56</c:v>
                </c:pt>
                <c:pt idx="508">
                  <c:v>56</c:v>
                </c:pt>
                <c:pt idx="509">
                  <c:v>56</c:v>
                </c:pt>
                <c:pt idx="510">
                  <c:v>56</c:v>
                </c:pt>
                <c:pt idx="511">
                  <c:v>56</c:v>
                </c:pt>
                <c:pt idx="512">
                  <c:v>56</c:v>
                </c:pt>
                <c:pt idx="513">
                  <c:v>56</c:v>
                </c:pt>
                <c:pt idx="514">
                  <c:v>56</c:v>
                </c:pt>
                <c:pt idx="515">
                  <c:v>56</c:v>
                </c:pt>
                <c:pt idx="516">
                  <c:v>55.5</c:v>
                </c:pt>
                <c:pt idx="517">
                  <c:v>55.5</c:v>
                </c:pt>
                <c:pt idx="518">
                  <c:v>55.5</c:v>
                </c:pt>
                <c:pt idx="519">
                  <c:v>55</c:v>
                </c:pt>
                <c:pt idx="520">
                  <c:v>55</c:v>
                </c:pt>
                <c:pt idx="521">
                  <c:v>55</c:v>
                </c:pt>
                <c:pt idx="522">
                  <c:v>55</c:v>
                </c:pt>
                <c:pt idx="523">
                  <c:v>55</c:v>
                </c:pt>
                <c:pt idx="524">
                  <c:v>55</c:v>
                </c:pt>
                <c:pt idx="525">
                  <c:v>54.666666666666664</c:v>
                </c:pt>
                <c:pt idx="526">
                  <c:v>54</c:v>
                </c:pt>
                <c:pt idx="527">
                  <c:v>54</c:v>
                </c:pt>
                <c:pt idx="528">
                  <c:v>54</c:v>
                </c:pt>
                <c:pt idx="529">
                  <c:v>54</c:v>
                </c:pt>
                <c:pt idx="530">
                  <c:v>54</c:v>
                </c:pt>
                <c:pt idx="531">
                  <c:v>54</c:v>
                </c:pt>
                <c:pt idx="532">
                  <c:v>53.916666666666664</c:v>
                </c:pt>
                <c:pt idx="533">
                  <c:v>53.666666666666664</c:v>
                </c:pt>
                <c:pt idx="534">
                  <c:v>53</c:v>
                </c:pt>
                <c:pt idx="535">
                  <c:v>53</c:v>
                </c:pt>
                <c:pt idx="536">
                  <c:v>53</c:v>
                </c:pt>
                <c:pt idx="537">
                  <c:v>53</c:v>
                </c:pt>
                <c:pt idx="538">
                  <c:v>53</c:v>
                </c:pt>
                <c:pt idx="539">
                  <c:v>53</c:v>
                </c:pt>
                <c:pt idx="540">
                  <c:v>53</c:v>
                </c:pt>
                <c:pt idx="541">
                  <c:v>53</c:v>
                </c:pt>
                <c:pt idx="542">
                  <c:v>53</c:v>
                </c:pt>
                <c:pt idx="543">
                  <c:v>53</c:v>
                </c:pt>
                <c:pt idx="544">
                  <c:v>53</c:v>
                </c:pt>
                <c:pt idx="545">
                  <c:v>53</c:v>
                </c:pt>
                <c:pt idx="546">
                  <c:v>52</c:v>
                </c:pt>
                <c:pt idx="547">
                  <c:v>52</c:v>
                </c:pt>
                <c:pt idx="548">
                  <c:v>52</c:v>
                </c:pt>
                <c:pt idx="549">
                  <c:v>52</c:v>
                </c:pt>
                <c:pt idx="550">
                  <c:v>52</c:v>
                </c:pt>
                <c:pt idx="551">
                  <c:v>52</c:v>
                </c:pt>
                <c:pt idx="552">
                  <c:v>51</c:v>
                </c:pt>
                <c:pt idx="553">
                  <c:v>51</c:v>
                </c:pt>
                <c:pt idx="554">
                  <c:v>51</c:v>
                </c:pt>
                <c:pt idx="555">
                  <c:v>51</c:v>
                </c:pt>
                <c:pt idx="556">
                  <c:v>51</c:v>
                </c:pt>
                <c:pt idx="557">
                  <c:v>51</c:v>
                </c:pt>
                <c:pt idx="558">
                  <c:v>51</c:v>
                </c:pt>
                <c:pt idx="559">
                  <c:v>50</c:v>
                </c:pt>
                <c:pt idx="560">
                  <c:v>50</c:v>
                </c:pt>
                <c:pt idx="561">
                  <c:v>50</c:v>
                </c:pt>
                <c:pt idx="562">
                  <c:v>50</c:v>
                </c:pt>
                <c:pt idx="563">
                  <c:v>50</c:v>
                </c:pt>
                <c:pt idx="564">
                  <c:v>50</c:v>
                </c:pt>
                <c:pt idx="565">
                  <c:v>49</c:v>
                </c:pt>
                <c:pt idx="566">
                  <c:v>49</c:v>
                </c:pt>
                <c:pt idx="567">
                  <c:v>49</c:v>
                </c:pt>
                <c:pt idx="568">
                  <c:v>49</c:v>
                </c:pt>
                <c:pt idx="569">
                  <c:v>49</c:v>
                </c:pt>
                <c:pt idx="570">
                  <c:v>49</c:v>
                </c:pt>
                <c:pt idx="571">
                  <c:v>49</c:v>
                </c:pt>
                <c:pt idx="572">
                  <c:v>48.5</c:v>
                </c:pt>
                <c:pt idx="573">
                  <c:v>48</c:v>
                </c:pt>
                <c:pt idx="574">
                  <c:v>48</c:v>
                </c:pt>
                <c:pt idx="575">
                  <c:v>48</c:v>
                </c:pt>
                <c:pt idx="576">
                  <c:v>48</c:v>
                </c:pt>
                <c:pt idx="577">
                  <c:v>48</c:v>
                </c:pt>
                <c:pt idx="578">
                  <c:v>47</c:v>
                </c:pt>
                <c:pt idx="579">
                  <c:v>47</c:v>
                </c:pt>
                <c:pt idx="580">
                  <c:v>46.5</c:v>
                </c:pt>
                <c:pt idx="581">
                  <c:v>46</c:v>
                </c:pt>
                <c:pt idx="582">
                  <c:v>46</c:v>
                </c:pt>
                <c:pt idx="583">
                  <c:v>46</c:v>
                </c:pt>
                <c:pt idx="584">
                  <c:v>45.5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44</c:v>
                </c:pt>
                <c:pt idx="596">
                  <c:v>44</c:v>
                </c:pt>
                <c:pt idx="597">
                  <c:v>44</c:v>
                </c:pt>
                <c:pt idx="598">
                  <c:v>44</c:v>
                </c:pt>
                <c:pt idx="599">
                  <c:v>44</c:v>
                </c:pt>
                <c:pt idx="600">
                  <c:v>44</c:v>
                </c:pt>
                <c:pt idx="601">
                  <c:v>44</c:v>
                </c:pt>
                <c:pt idx="602">
                  <c:v>44</c:v>
                </c:pt>
                <c:pt idx="603">
                  <c:v>44</c:v>
                </c:pt>
                <c:pt idx="604">
                  <c:v>43</c:v>
                </c:pt>
                <c:pt idx="605">
                  <c:v>43</c:v>
                </c:pt>
                <c:pt idx="606">
                  <c:v>42</c:v>
                </c:pt>
                <c:pt idx="607">
                  <c:v>42</c:v>
                </c:pt>
                <c:pt idx="608">
                  <c:v>42</c:v>
                </c:pt>
                <c:pt idx="609">
                  <c:v>42</c:v>
                </c:pt>
                <c:pt idx="610">
                  <c:v>41</c:v>
                </c:pt>
                <c:pt idx="611">
                  <c:v>41</c:v>
                </c:pt>
                <c:pt idx="612">
                  <c:v>40</c:v>
                </c:pt>
                <c:pt idx="613">
                  <c:v>40</c:v>
                </c:pt>
                <c:pt idx="614">
                  <c:v>40</c:v>
                </c:pt>
                <c:pt idx="615">
                  <c:v>40</c:v>
                </c:pt>
                <c:pt idx="616">
                  <c:v>40</c:v>
                </c:pt>
                <c:pt idx="617">
                  <c:v>39</c:v>
                </c:pt>
                <c:pt idx="618">
                  <c:v>39</c:v>
                </c:pt>
                <c:pt idx="619">
                  <c:v>38</c:v>
                </c:pt>
                <c:pt idx="620">
                  <c:v>37</c:v>
                </c:pt>
                <c:pt idx="621">
                  <c:v>37</c:v>
                </c:pt>
                <c:pt idx="622">
                  <c:v>37</c:v>
                </c:pt>
                <c:pt idx="623">
                  <c:v>37</c:v>
                </c:pt>
                <c:pt idx="624">
                  <c:v>36</c:v>
                </c:pt>
                <c:pt idx="625">
                  <c:v>36</c:v>
                </c:pt>
                <c:pt idx="626">
                  <c:v>36</c:v>
                </c:pt>
                <c:pt idx="627">
                  <c:v>35</c:v>
                </c:pt>
                <c:pt idx="628">
                  <c:v>35</c:v>
                </c:pt>
                <c:pt idx="629">
                  <c:v>35</c:v>
                </c:pt>
                <c:pt idx="630">
                  <c:v>35</c:v>
                </c:pt>
                <c:pt idx="631">
                  <c:v>34</c:v>
                </c:pt>
                <c:pt idx="632">
                  <c:v>34</c:v>
                </c:pt>
                <c:pt idx="633">
                  <c:v>34</c:v>
                </c:pt>
                <c:pt idx="634">
                  <c:v>33</c:v>
                </c:pt>
                <c:pt idx="635">
                  <c:v>33</c:v>
                </c:pt>
                <c:pt idx="636">
                  <c:v>31</c:v>
                </c:pt>
                <c:pt idx="637">
                  <c:v>31</c:v>
                </c:pt>
                <c:pt idx="638">
                  <c:v>31</c:v>
                </c:pt>
                <c:pt idx="639">
                  <c:v>31</c:v>
                </c:pt>
                <c:pt idx="640">
                  <c:v>29</c:v>
                </c:pt>
                <c:pt idx="641">
                  <c:v>28</c:v>
                </c:pt>
                <c:pt idx="642">
                  <c:v>28</c:v>
                </c:pt>
                <c:pt idx="643">
                  <c:v>27</c:v>
                </c:pt>
                <c:pt idx="64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1-4425-9DC3-050DF262F627}"/>
            </c:ext>
          </c:extLst>
        </c:ser>
        <c:ser>
          <c:idx val="1"/>
          <c:order val="1"/>
          <c:tx>
            <c:strRef>
              <c:f>dancability!$C$3</c:f>
              <c:strCache>
                <c:ptCount val="1"/>
                <c:pt idx="0">
                  <c:v>Count of artist(s)_name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dancability!$A$4:$A$649</c:f>
              <c:strCache>
                <c:ptCount val="645"/>
                <c:pt idx="0">
                  <c:v>Myke Towers</c:v>
                </c:pt>
                <c:pt idx="1">
                  <c:v>Guns N' Roses</c:v>
                </c:pt>
                <c:pt idx="2">
                  <c:v>Kanii, PR1ISVX</c:v>
                </c:pt>
                <c:pt idx="3">
                  <c:v>Drake, Travis Scott</c:v>
                </c:pt>
                <c:pt idx="4">
                  <c:v>Rï¿½ï¿½ma, Selena G</c:v>
                </c:pt>
                <c:pt idx="5">
                  <c:v>Eden Muï¿½ï</c:v>
                </c:pt>
                <c:pt idx="6">
                  <c:v>PnB Rock</c:v>
                </c:pt>
                <c:pt idx="7">
                  <c:v>Chanel</c:v>
                </c:pt>
                <c:pt idx="8">
                  <c:v>Sidhu Moose Wala</c:v>
                </c:pt>
                <c:pt idx="9">
                  <c:v>Emmy Meli</c:v>
                </c:pt>
                <c:pt idx="10">
                  <c:v>Yng Lvcas</c:v>
                </c:pt>
                <c:pt idx="11">
                  <c:v>Veigh, Bvga Beatz, Supernova Ent, Prod Malax</c:v>
                </c:pt>
                <c:pt idx="12">
                  <c:v>Swae Lee, Lil Wayne, Offset, Metro Boomin</c:v>
                </c:pt>
                <c:pt idx="13">
                  <c:v>Charli XCX, Jax Jones, Joel Corry, Saweetie</c:v>
                </c:pt>
                <c:pt idx="14">
                  <c:v>Jnr Choi</c:v>
                </c:pt>
                <c:pt idx="15">
                  <c:v>A$AP Rocky, Metro Boomin, Roisee</c:v>
                </c:pt>
                <c:pt idx="16">
                  <c:v>Paul McCartney</c:v>
                </c:pt>
                <c:pt idx="17">
                  <c:v>sped up 8282</c:v>
                </c:pt>
                <c:pt idx="18">
                  <c:v>The Police</c:v>
                </c:pt>
                <c:pt idx="19">
                  <c:v>SZA, Don Toliver</c:v>
                </c:pt>
                <c:pt idx="20">
                  <c:v>Perry Como, The Fontane Sisters, Mitchell Ayres &amp; His Orchestra</c:v>
                </c:pt>
                <c:pt idx="21">
                  <c:v>Willow</c:v>
                </c:pt>
                <c:pt idx="22">
                  <c:v>Kaifi Khalil</c:v>
                </c:pt>
                <c:pt idx="23">
                  <c:v>Travis Scott, Metro Boomin</c:v>
                </c:pt>
                <c:pt idx="24">
                  <c:v>Halsey, BTS</c:v>
                </c:pt>
                <c:pt idx="25">
                  <c:v>Kali Uchis</c:v>
                </c:pt>
                <c:pt idx="26">
                  <c:v>Gotye, Kimbra</c:v>
                </c:pt>
                <c:pt idx="27">
                  <c:v>Simone Mendes</c:v>
                </c:pt>
                <c:pt idx="28">
                  <c:v>Dr. Dre, 2Pac, Roger</c:v>
                </c:pt>
                <c:pt idx="29">
                  <c:v>PSY, Suga</c:v>
                </c:pt>
                <c:pt idx="30">
                  <c:v>Nicky Jam, Feid</c:v>
                </c:pt>
                <c:pt idx="31">
                  <c:v>Jessica Darrow</c:v>
                </c:pt>
                <c:pt idx="32">
                  <c:v>Justin Bieber, Don Toliver</c:v>
                </c:pt>
                <c:pt idx="33">
                  <c:v>Skrillex, Flowdan, Fred again..</c:v>
                </c:pt>
                <c:pt idx="34">
                  <c:v>Burl Ives</c:v>
                </c:pt>
                <c:pt idx="35">
                  <c:v>Interplanetary Criminal, Eliza Rose</c:v>
                </c:pt>
                <c:pt idx="36">
                  <c:v>Latto, Jung Kook</c:v>
                </c:pt>
                <c:pt idx="37">
                  <c:v>Styrx, utku INC, Thezth</c:v>
                </c:pt>
                <c:pt idx="38">
                  <c:v>Farruko</c:v>
                </c:pt>
                <c:pt idx="39">
                  <c:v>Rex Orange County</c:v>
                </c:pt>
                <c:pt idx="40">
                  <c:v>Justin Bieber, The Kid Laroi</c:v>
                </c:pt>
                <c:pt idx="41">
                  <c:v>Shawn Mendes, Camila Cabello</c:v>
                </c:pt>
                <c:pt idx="42">
                  <c:v>Alvaro Diaz, Rauw Alejandro</c:v>
                </c:pt>
                <c:pt idx="43">
                  <c:v>Southstar</c:v>
                </c:pt>
                <c:pt idx="44">
                  <c:v>Post Malone, Roddy Ricch</c:v>
                </c:pt>
                <c:pt idx="45">
                  <c:v>Sean Paul, Dua Lipa</c:v>
                </c:pt>
                <c:pt idx="46">
                  <c:v>MC Ryan SP, Love Funk, Mc Paiva ZS</c:v>
                </c:pt>
                <c:pt idx="47">
                  <c:v>Sleepy hallow, 347aidan</c:v>
                </c:pt>
                <c:pt idx="48">
                  <c:v>Ckay, AX'EL, Dj Yo!</c:v>
                </c:pt>
                <c:pt idx="49">
                  <c:v>Imagine Dragons, League of Legends, Arcane</c:v>
                </c:pt>
                <c:pt idx="50">
                  <c:v>Frank Ocean</c:v>
                </c:pt>
                <c:pt idx="51">
                  <c:v>Anitta, Tini, Becky G</c:v>
                </c:pt>
                <c:pt idx="52">
                  <c:v>The Goo Goo Dolls</c:v>
                </c:pt>
                <c:pt idx="53">
                  <c:v>Suki Waterhouse</c:v>
                </c:pt>
                <c:pt idx="54">
                  <c:v>AnnenMayKantereit, Giant Rooks</c:v>
                </c:pt>
                <c:pt idx="55">
                  <c:v>Oxlade</c:v>
                </c:pt>
                <c:pt idx="56">
                  <c:v>Young Thug, Future, Gunna</c:v>
                </c:pt>
                <c:pt idx="57">
                  <c:v>PinkPantheress</c:v>
                </c:pt>
                <c:pt idx="58">
                  <c:v>Edison Lighthouse</c:v>
                </c:pt>
                <c:pt idx="59">
                  <c:v>Ed Sheeran, Fireboy DML</c:v>
                </c:pt>
                <c:pt idx="60">
                  <c:v>Ozuna, Shakira</c:v>
                </c:pt>
                <c:pt idx="61">
                  <c:v>Karol G, Quevedo</c:v>
                </c:pt>
                <c:pt idx="62">
                  <c:v>Jack Harlow, Lil Nas X</c:v>
                </c:pt>
                <c:pt idx="63">
                  <c:v>Rauw Alejandro, Bizarrap</c:v>
                </c:pt>
                <c:pt idx="64">
                  <c:v>Post Malone</c:v>
                </c:pt>
                <c:pt idx="65">
                  <c:v>Shae Gill, Ali Sethi</c:v>
                </c:pt>
                <c:pt idx="66">
                  <c:v>Marï¿½ï¿½lia Mendonï¿½ï¿½a, Maiara &amp;</c:v>
                </c:pt>
                <c:pt idx="67">
                  <c:v>Bizarrap, Peso Pluma</c:v>
                </c:pt>
                <c:pt idx="68">
                  <c:v>The Rare Occasions</c:v>
                </c:pt>
                <c:pt idx="69">
                  <c:v>Ed Sheeran, J Balvin</c:v>
                </c:pt>
                <c:pt idx="70">
                  <c:v>Dave</c:v>
                </c:pt>
                <c:pt idx="71">
                  <c:v>TAEYANG, Lisa</c:v>
                </c:pt>
                <c:pt idx="72">
                  <c:v>Meghan Trainor</c:v>
                </c:pt>
                <c:pt idx="73">
                  <c:v>Luis R Conriquez, La Adictiva</c:v>
                </c:pt>
                <c:pt idx="74">
                  <c:v>Lauren Spencer Smith, Lauren Spencer Smith, Lauren Spencer Smith</c:v>
                </c:pt>
                <c:pt idx="75">
                  <c:v>Karol G, Becky G</c:v>
                </c:pt>
                <c:pt idx="76">
                  <c:v>Mahmood, Blanco</c:v>
                </c:pt>
                <c:pt idx="77">
                  <c:v>teto</c:v>
                </c:pt>
                <c:pt idx="78">
                  <c:v>Duki, NICKI NICOLE, Cris Mj, Standly, Stars Music Chile</c:v>
                </c:pt>
                <c:pt idx="79">
                  <c:v>John Legend, Metro Boomin</c:v>
                </c:pt>
                <c:pt idx="80">
                  <c:v>Coldplay, BTS</c:v>
                </c:pt>
                <c:pt idx="81">
                  <c:v>C. Tangana</c:v>
                </c:pt>
                <c:pt idx="82">
                  <c:v>Fuerza Regida, Grupo Frontera</c:v>
                </c:pt>
                <c:pt idx="83">
                  <c:v>Tini, L-Gante</c:v>
                </c:pt>
                <c:pt idx="84">
                  <c:v>Zï¿½ï¿½ Neto &amp; Crist</c:v>
                </c:pt>
                <c:pt idx="85">
                  <c:v>IVE</c:v>
                </c:pt>
                <c:pt idx="86">
                  <c:v>Kali Uchis, Amaarae, Moliy</c:v>
                </c:pt>
                <c:pt idx="87">
                  <c:v>Tiï¿½ï¿½sto, Kar</c:v>
                </c:pt>
                <c:pt idx="88">
                  <c:v>Mariah Carey</c:v>
                </c:pt>
                <c:pt idx="89">
                  <c:v>Steve Aoki, Tini, La Joaqui</c:v>
                </c:pt>
                <c:pt idx="90">
                  <c:v>Nayeon</c:v>
                </c:pt>
                <c:pt idx="91">
                  <c:v>Kanye West, XXXTENTACION</c:v>
                </c:pt>
                <c:pt idx="92">
                  <c:v>Ozuna, Tiago pzk</c:v>
                </c:pt>
                <c:pt idx="93">
                  <c:v>BTS, Jung Kook, FIFA Sound</c:v>
                </c:pt>
                <c:pt idx="94">
                  <c:v>Arcangel, Bad Bunny</c:v>
                </c:pt>
                <c:pt idx="95">
                  <c:v>John Legend</c:v>
                </c:pt>
                <c:pt idx="96">
                  <c:v>Grupo Marca Registrada, Junior H</c:v>
                </c:pt>
                <c:pt idx="97">
                  <c:v>Bobby Helms</c:v>
                </c:pt>
                <c:pt idx="98">
                  <c:v>Rels B</c:v>
                </c:pt>
                <c:pt idx="99">
                  <c:v>The Killers</c:v>
                </c:pt>
                <c:pt idx="100">
                  <c:v>Cherish, ACRAZE</c:v>
                </c:pt>
                <c:pt idx="101">
                  <c:v>The Weeknd, Tyler, The Creator</c:v>
                </c:pt>
                <c:pt idx="102">
                  <c:v>Rï¿½ï</c:v>
                </c:pt>
                <c:pt idx="103">
                  <c:v>Tulus</c:v>
                </c:pt>
                <c:pt idx="104">
                  <c:v>Riton, Nightcrawlers, Mufasa &amp; Hypeman, Dopamine</c:v>
                </c:pt>
                <c:pt idx="105">
                  <c:v>Sech, Bad Bunny, Mora</c:v>
                </c:pt>
                <c:pt idx="106">
                  <c:v>Duki</c:v>
                </c:pt>
                <c:pt idx="107">
                  <c:v>Central Cee</c:v>
                </c:pt>
                <c:pt idx="108">
                  <c:v>Anuel Aa, Myke Towers, Jhay Cortez</c:v>
                </c:pt>
                <c:pt idx="109">
                  <c:v>WizKid, Toian, Metro Boomin, Don Toliver, Beam</c:v>
                </c:pt>
                <c:pt idx="110">
                  <c:v>James Hype, Miggy Dela Rosa</c:v>
                </c:pt>
                <c:pt idx="111">
                  <c:v>BoyWithUke</c:v>
                </c:pt>
                <c:pt idx="112">
                  <c:v>Zï¿½ï¿½ Fe</c:v>
                </c:pt>
                <c:pt idx="113">
                  <c:v>Feid, Sech, Jhayco</c:v>
                </c:pt>
                <c:pt idx="114">
                  <c:v>Ovy On The Drums, Quevedo</c:v>
                </c:pt>
                <c:pt idx="115">
                  <c:v>TWICE</c:v>
                </c:pt>
                <c:pt idx="116">
                  <c:v>Em Beihold, Stephen Sanchez</c:v>
                </c:pt>
                <c:pt idx="117">
                  <c:v>Lana Del Rey, Taylor Swift</c:v>
                </c:pt>
                <c:pt idx="118">
                  <c:v>Vundabar</c:v>
                </c:pt>
                <c:pt idx="119">
                  <c:v>Drake, Travis Scott, 21 Savage</c:v>
                </c:pt>
                <c:pt idx="120">
                  <c:v>Calvin Harris, Dua Lipa</c:v>
                </c:pt>
                <c:pt idx="121">
                  <c:v>Fuerza Regida, Chino Pacas</c:v>
                </c:pt>
                <c:pt idx="122">
                  <c:v>RM, Colde</c:v>
                </c:pt>
                <c:pt idx="123">
                  <c:v>Tiï¿½ï¿</c:v>
                </c:pt>
                <c:pt idx="124">
                  <c:v>Mr.Kitty</c:v>
                </c:pt>
                <c:pt idx="125">
                  <c:v>Prezioso, Gabry Ponte, LUM!X</c:v>
                </c:pt>
                <c:pt idx="126">
                  <c:v>Anuel Aa, Jhay Cortez</c:v>
                </c:pt>
                <c:pt idx="127">
                  <c:v>Marï¿½ï¿½lia Mendo</c:v>
                </c:pt>
                <c:pt idx="128">
                  <c:v>j-hope, J. Cole</c:v>
                </c:pt>
                <c:pt idx="129">
                  <c:v>Tiï¿½ï¿½sto, Ava</c:v>
                </c:pt>
                <c:pt idx="130">
                  <c:v>Sog, Ryan Castro, Peso Pluma</c:v>
                </c:pt>
                <c:pt idx="131">
                  <c:v>Arijit Singh, Sachin-Jigar, Amitabha Bhattacharya</c:v>
                </c:pt>
                <c:pt idx="132">
                  <c:v>Julieta Venegas, Bad Bunny, Tainy</c:v>
                </c:pt>
                <c:pt idx="133">
                  <c:v>Eminem, Dido</c:v>
                </c:pt>
                <c:pt idx="134">
                  <c:v>Mc Vitin Da Igrejinha, MC Tairon, DJ Win</c:v>
                </c:pt>
                <c:pt idx="135">
                  <c:v>Nengo Flow, Bad Bunny</c:v>
                </c:pt>
                <c:pt idx="136">
                  <c:v>ROSALï¿½</c:v>
                </c:pt>
                <c:pt idx="137">
                  <c:v>Future, Metro Boomin, Don Toliver</c:v>
                </c:pt>
                <c:pt idx="138">
                  <c:v>BYOR, Imanbek</c:v>
                </c:pt>
                <c:pt idx="139">
                  <c:v>Ak4:20, Cris Mj, Pailita</c:v>
                </c:pt>
                <c:pt idx="140">
                  <c:v>Feid</c:v>
                </c:pt>
                <c:pt idx="141">
                  <c:v>Dua Lipa, Elton John, Pnau</c:v>
                </c:pt>
                <c:pt idx="142">
                  <c:v>Becky G, Peso Pluma</c:v>
                </c:pt>
                <c:pt idx="143">
                  <c:v>Childish Gambino</c:v>
                </c:pt>
                <c:pt idx="144">
                  <c:v>Snoop Dogg, BTS, Benny Blanco</c:v>
                </c:pt>
                <c:pt idx="145">
                  <c:v>Rihanna, Calvin Harris</c:v>
                </c:pt>
                <c:pt idx="146">
                  <c:v>Ckay</c:v>
                </c:pt>
                <c:pt idx="147">
                  <c:v>Big One, FMK, Ke personajes</c:v>
                </c:pt>
                <c:pt idx="148">
                  <c:v>Duncan Laurence</c:v>
                </c:pt>
                <c:pt idx="149">
                  <c:v>New West</c:v>
                </c:pt>
                <c:pt idx="150">
                  <c:v>Calvin Harris, Ellie Goulding</c:v>
                </c:pt>
                <c:pt idx="151">
                  <c:v>Drake, DJ Khaled, Lil Baby</c:v>
                </c:pt>
                <c:pt idx="152">
                  <c:v>Nicki Minaj</c:v>
                </c:pt>
                <c:pt idx="153">
                  <c:v>The Kid Laroi</c:v>
                </c:pt>
                <c:pt idx="154">
                  <c:v>Drake</c:v>
                </c:pt>
                <c:pt idx="155">
                  <c:v>Maldy, Karol G</c:v>
                </c:pt>
                <c:pt idx="156">
                  <c:v>Marshmello, Jonas Brothers</c:v>
                </c:pt>
                <c:pt idx="157">
                  <c:v>Nicki Minaj, Aqua, Ice Spice</c:v>
                </c:pt>
                <c:pt idx="158">
                  <c:v>Tiï¿½ï¿½sto, Tate M</c:v>
                </c:pt>
                <c:pt idx="159">
                  <c:v>Playboi Carti</c:v>
                </c:pt>
                <c:pt idx="160">
                  <c:v>Coi Leray</c:v>
                </c:pt>
                <c:pt idx="161">
                  <c:v>Don Toliver, Future, Justin Bieber</c:v>
                </c:pt>
                <c:pt idx="162">
                  <c:v>Tini, Maria Becerra</c:v>
                </c:pt>
                <c:pt idx="163">
                  <c:v>Britney Spears</c:v>
                </c:pt>
                <c:pt idx="164">
                  <c:v>Travis Scott, 21 Savage, Metro Boomin</c:v>
                </c:pt>
                <c:pt idx="165">
                  <c:v>MC Xenon, Os Gemeos da Putaria</c:v>
                </c:pt>
                <c:pt idx="166">
                  <c:v>ENHYPEN</c:v>
                </c:pt>
                <c:pt idx="167">
                  <c:v>Migrantes, LiL CaKe, Nico Valdi</c:v>
                </c:pt>
                <c:pt idx="168">
                  <c:v>One Direction</c:v>
                </c:pt>
                <c:pt idx="169">
                  <c:v>Lit Killah, Maria Becerra, Tiago pzk, NICKI NICOLE</c:v>
                </c:pt>
                <c:pt idx="170">
                  <c:v>Lil Nas X</c:v>
                </c:pt>
                <c:pt idx="171">
                  <c:v>Ariana Grande</c:v>
                </c:pt>
                <c:pt idx="172">
                  <c:v>Billie Eilish</c:v>
                </c:pt>
                <c:pt idx="173">
                  <c:v>Drake, WizKid, Kyla</c:v>
                </c:pt>
                <c:pt idx="174">
                  <c:v>J Balvin, Bad Bunny</c:v>
                </c:pt>
                <c:pt idx="175">
                  <c:v>Semicenk, Doï¿½ï¿½u </c:v>
                </c:pt>
                <c:pt idx="176">
                  <c:v>Grupo Marca Registrada, Grupo Frontera</c:v>
                </c:pt>
                <c:pt idx="177">
                  <c:v>Polo G</c:v>
                </c:pt>
                <c:pt idx="178">
                  <c:v>Musical Youth</c:v>
                </c:pt>
                <c:pt idx="179">
                  <c:v>Residente, Bizarrap</c:v>
                </c:pt>
                <c:pt idx="180">
                  <c:v>Carin Leon</c:v>
                </c:pt>
                <c:pt idx="181">
                  <c:v>Dr. Dre, Snoop Dogg</c:v>
                </c:pt>
                <c:pt idx="182">
                  <c:v>Armani White</c:v>
                </c:pt>
                <c:pt idx="183">
                  <c:v>Hotel Ugly</c:v>
                </c:pt>
                <c:pt idx="184">
                  <c:v>Bad Bunny, Rauw Alejandro</c:v>
                </c:pt>
                <c:pt idx="185">
                  <c:v>Shawn Mendes</c:v>
                </c:pt>
                <c:pt idx="186">
                  <c:v>(G)I-DLE</c:v>
                </c:pt>
                <c:pt idx="187">
                  <c:v>Jung Kook</c:v>
                </c:pt>
                <c:pt idx="188">
                  <c:v>Peso Pluma</c:v>
                </c:pt>
                <c:pt idx="189">
                  <c:v>Adele</c:v>
                </c:pt>
                <c:pt idx="190">
                  <c:v>Xamï¿½ï¿½, Gustah, Neo B</c:v>
                </c:pt>
                <c:pt idx="191">
                  <c:v>Feid, Mora, Saiko, Quevedo</c:v>
                </c:pt>
                <c:pt idx="192">
                  <c:v>Kendrick Lamar, Jay Rock</c:v>
                </c:pt>
                <c:pt idx="193">
                  <c:v>Melody, Ana Castela, Dj Chris No Beat</c:v>
                </c:pt>
                <c:pt idx="194">
                  <c:v>Luke Combs</c:v>
                </c:pt>
                <c:pt idx="195">
                  <c:v>J. Cole</c:v>
                </c:pt>
                <c:pt idx="196">
                  <c:v>Natanael Cano, Gabito Ballesteros, Peso Pluma</c:v>
                </c:pt>
                <c:pt idx="197">
                  <c:v>Jack Black</c:v>
                </c:pt>
                <c:pt idx="198">
                  <c:v>Lil Baby</c:v>
                </c:pt>
                <c:pt idx="199">
                  <c:v>Schï¿½ï¿½rze, DJ R</c:v>
                </c:pt>
                <c:pt idx="200">
                  <c:v>Ludwig Goransson, Foudeqush</c:v>
                </c:pt>
                <c:pt idx="201">
                  <c:v>Marshmello, Khalid</c:v>
                </c:pt>
                <c:pt idx="202">
                  <c:v>Wisin &amp; Yandel, ROSALï¿½</c:v>
                </c:pt>
                <c:pt idx="203">
                  <c:v>XXXTENTACION</c:v>
                </c:pt>
                <c:pt idx="204">
                  <c:v>Don Omar, Lucenzo</c:v>
                </c:pt>
                <c:pt idx="205">
                  <c:v>Camila Cabello, Willow</c:v>
                </c:pt>
                <c:pt idx="206">
                  <c:v>Sebastian Yatra</c:v>
                </c:pt>
                <c:pt idx="207">
                  <c:v>Lana Del Rey</c:v>
                </c:pt>
                <c:pt idx="208">
                  <c:v>Chencho Corleone, Rauw Alejandro</c:v>
                </c:pt>
                <c:pt idx="209">
                  <c:v>Nengo Flow, Anuel Aa, Chris Jedi, Chencho Corleone</c:v>
                </c:pt>
                <c:pt idx="210">
                  <c:v>Luar La L</c:v>
                </c:pt>
                <c:pt idx="211">
                  <c:v>Post Malone, Swae Lee</c:v>
                </c:pt>
                <c:pt idx="212">
                  <c:v>Vishal-Shekhar, Shilpa Rao, Caralisa Monteiro, Kumaar, Vishal Dadlani, Shekhar Ravjiani</c:v>
                </c:pt>
                <c:pt idx="213">
                  <c:v>Oliver Tree</c:v>
                </c:pt>
                <c:pt idx="214">
                  <c:v>The Weeknd, Madonna, Playboi Carti</c:v>
                </c:pt>
                <c:pt idx="215">
                  <c:v>Drake, Future, Tems</c:v>
                </c:pt>
                <c:pt idx="216">
                  <c:v>Lizzy McAlpine</c:v>
                </c:pt>
                <c:pt idx="217">
                  <c:v>Eminem, Nate Dogg</c:v>
                </c:pt>
                <c:pt idx="218">
                  <c:v>Tory Lanez</c:v>
                </c:pt>
                <c:pt idx="219">
                  <c:v>Katy Perry, Alesso</c:v>
                </c:pt>
                <c:pt idx="220">
                  <c:v>Tyler, The Creator</c:v>
                </c:pt>
                <c:pt idx="221">
                  <c:v>Keisya Levronka</c:v>
                </c:pt>
                <c:pt idx="222">
                  <c:v>Ghost</c:v>
                </c:pt>
                <c:pt idx="223">
                  <c:v>Metallica</c:v>
                </c:pt>
                <c:pt idx="224">
                  <c:v>Nat King Cole</c:v>
                </c:pt>
                <c:pt idx="225">
                  <c:v>Fuerza Regida</c:v>
                </c:pt>
                <c:pt idx="226">
                  <c:v>Fuerza Regida, Natanael Cano</c:v>
                </c:pt>
                <c:pt idx="227">
                  <c:v>Nessa Barrett</c:v>
                </c:pt>
                <c:pt idx="228">
                  <c:v>Cigarettes After Sex</c:v>
                </c:pt>
                <c:pt idx="229">
                  <c:v>Tears For Fears</c:v>
                </c:pt>
                <c:pt idx="230">
                  <c:v>SZA, Doja Cat</c:v>
                </c:pt>
                <c:pt idx="231">
                  <c:v>Natanael Cano</c:v>
                </c:pt>
                <c:pt idx="232">
                  <c:v>OneRepublic</c:v>
                </c:pt>
                <c:pt idx="233">
                  <c:v>Masked Wolf</c:v>
                </c:pt>
                <c:pt idx="234">
                  <c:v>Nicki Minaj, Ice Spice</c:v>
                </c:pt>
                <c:pt idx="235">
                  <c:v>Chris Brown, Rvssian, Rauw Alejandro</c:v>
                </c:pt>
                <c:pt idx="236">
                  <c:v>Coolio, L.V.</c:v>
                </c:pt>
                <c:pt idx="237">
                  <c:v>ThxSoMch</c:v>
                </c:pt>
                <c:pt idx="238">
                  <c:v>Radiohead</c:v>
                </c:pt>
                <c:pt idx="239">
                  <c:v>Grupo Frontera</c:v>
                </c:pt>
                <c:pt idx="240">
                  <c:v>Pritam, Arijit Singh, Amitabh Bhattacharya</c:v>
                </c:pt>
                <c:pt idx="241">
                  <c:v>Future, Lil Uzi Vert, Metro Boomin</c:v>
                </c:pt>
                <c:pt idx="242">
                  <c:v>Yahritza Y Su Esencia</c:v>
                </c:pt>
                <c:pt idx="243">
                  <c:v>Kendrick Lamar, Beyoncï¿</c:v>
                </c:pt>
                <c:pt idx="244">
                  <c:v>Maria Becerra</c:v>
                </c:pt>
                <c:pt idx="245">
                  <c:v>Mc Livinho, DJ Matt D</c:v>
                </c:pt>
                <c:pt idx="246">
                  <c:v>Muni Long</c:v>
                </c:pt>
                <c:pt idx="247">
                  <c:v>Olivia Rodrigo</c:v>
                </c:pt>
                <c:pt idx="248">
                  <c:v>Steve Lacy</c:v>
                </c:pt>
                <c:pt idx="249">
                  <c:v>Eminem, Dr. Dre</c:v>
                </c:pt>
                <c:pt idx="250">
                  <c:v>J Balvin, Nio Garcia, Bad Bunny</c:v>
                </c:pt>
                <c:pt idx="251">
                  <c:v>Kordhell</c:v>
                </c:pt>
                <c:pt idx="252">
                  <c:v>Shakin' Stevens</c:v>
                </c:pt>
                <c:pt idx="253">
                  <c:v>Mc Pedrinho, DJ 900</c:v>
                </c:pt>
                <c:pt idx="254">
                  <c:v>Eslabon Armado, Peso Pluma</c:v>
                </c:pt>
                <c:pt idx="255">
                  <c:v>Israel &amp; Rodolffo, Ana Castela</c:v>
                </c:pt>
                <c:pt idx="256">
                  <c:v>Glass Animals</c:v>
                </c:pt>
                <c:pt idx="257">
                  <c:v>V</c:v>
                </c:pt>
                <c:pt idx="258">
                  <c:v>The Weeknd, Lana Del Rey</c:v>
                </c:pt>
                <c:pt idx="259">
                  <c:v>Fujii Kaze</c:v>
                </c:pt>
                <c:pt idx="260">
                  <c:v>Kendrick Lamar, Tanna Leone</c:v>
                </c:pt>
                <c:pt idx="261">
                  <c:v>Morgan Wallen</c:v>
                </c:pt>
                <c:pt idx="262">
                  <c:v>Drake, 21 Savage</c:v>
                </c:pt>
                <c:pt idx="263">
                  <c:v>Kendrick Lamar, Baby Keem</c:v>
                </c:pt>
                <c:pt idx="264">
                  <c:v>Luciano, Aitch, Bï¿½</c:v>
                </c:pt>
                <c:pt idx="265">
                  <c:v>Gayle</c:v>
                </c:pt>
                <c:pt idx="266">
                  <c:v>Swae Lee, A Boogie Wit da Hoodie, Metro Boomin, NAV</c:v>
                </c:pt>
                <c:pt idx="267">
                  <c:v>NMIXX</c:v>
                </c:pt>
                <c:pt idx="268">
                  <c:v>Halsey, Suga</c:v>
                </c:pt>
                <c:pt idx="269">
                  <c:v>Baby Rasta, Rauw Alejandro</c:v>
                </c:pt>
                <c:pt idx="270">
                  <c:v>The Weeknd, Future</c:v>
                </c:pt>
                <c:pt idx="271">
                  <c:v>Taylor Swift, Ice Spice</c:v>
                </c:pt>
                <c:pt idx="272">
                  <c:v>Bebe Rexha, David Guetta</c:v>
                </c:pt>
                <c:pt idx="273">
                  <c:v>Gunna</c:v>
                </c:pt>
                <c:pt idx="274">
                  <c:v>Aerosmith</c:v>
                </c:pt>
                <c:pt idx="275">
                  <c:v>Shubh</c:v>
                </c:pt>
                <c:pt idx="276">
                  <c:v>SZA</c:v>
                </c:pt>
                <c:pt idx="277">
                  <c:v>Future</c:v>
                </c:pt>
                <c:pt idx="278">
                  <c:v>SEVENTEEN</c:v>
                </c:pt>
                <c:pt idx="279">
                  <c:v>Trueno, Tiago pzk</c:v>
                </c:pt>
                <c:pt idx="280">
                  <c:v>David Guetta, Anne-Marie, Coi Leray</c:v>
                </c:pt>
                <c:pt idx="281">
                  <c:v>Danny Ocean</c:v>
                </c:pt>
                <c:pt idx="282">
                  <c:v>The Weeknd, Gesaffelstein</c:v>
                </c:pt>
                <c:pt idx="283">
                  <c:v>LF System</c:v>
                </c:pt>
                <c:pt idx="284">
                  <c:v>Jaymes Young</c:v>
                </c:pt>
                <c:pt idx="285">
                  <c:v>Sam Ryder</c:v>
                </c:pt>
                <c:pt idx="286">
                  <c:v>James Blake, Metro Boomin</c:v>
                </c:pt>
                <c:pt idx="287">
                  <c:v>Lil Yachty</c:v>
                </c:pt>
                <c:pt idx="288">
                  <c:v>De La Ghetto, Feid, Polima WestCoast, Paloma Mami, Pailita</c:v>
                </c:pt>
                <c:pt idx="289">
                  <c:v>Mc Pedrinho, Pedro Sampaio</c:v>
                </c:pt>
                <c:pt idx="290">
                  <c:v>Twisted, Oliver Tree</c:v>
                </c:pt>
                <c:pt idx="291">
                  <c:v>Tini</c:v>
                </c:pt>
                <c:pt idx="292">
                  <c:v>Feid, Young Miko</c:v>
                </c:pt>
                <c:pt idx="293">
                  <c:v>Freddie Dredd</c:v>
                </c:pt>
                <c:pt idx="294">
                  <c:v>The Weeknd, Lil Wayne</c:v>
                </c:pt>
                <c:pt idx="295">
                  <c:v>GODZZ__-, Zakaria</c:v>
                </c:pt>
                <c:pt idx="296">
                  <c:v>Sia</c:v>
                </c:pt>
                <c:pt idx="297">
                  <c:v>Kelly Clarkson</c:v>
                </c:pt>
                <c:pt idx="298">
                  <c:v>Rauw Alejandro</c:v>
                </c:pt>
                <c:pt idx="299">
                  <c:v>Travis Scott, Young Thug, Metro Boomin</c:v>
                </c:pt>
                <c:pt idx="300">
                  <c:v>Doja Cat</c:v>
                </c:pt>
                <c:pt idx="301">
                  <c:v>Bad Bunny</c:v>
                </c:pt>
                <c:pt idx="302">
                  <c:v>Mï¿½ï¿½ne</c:v>
                </c:pt>
                <c:pt idx="303">
                  <c:v>The Weeknd</c:v>
                </c:pt>
                <c:pt idx="304">
                  <c:v>Dua Lipa, DaBaby</c:v>
                </c:pt>
                <c:pt idx="305">
                  <c:v>Sam Smith</c:v>
                </c:pt>
                <c:pt idx="306">
                  <c:v>Karol G, Romeo Santos</c:v>
                </c:pt>
                <c:pt idx="307">
                  <c:v>Chris Brown</c:v>
                </c:pt>
                <c:pt idx="308">
                  <c:v>Charlie Puth</c:v>
                </c:pt>
                <c:pt idx="309">
                  <c:v>Oscar Maydon, Junior H</c:v>
                </c:pt>
                <c:pt idx="310">
                  <c:v>Feid, Alejo, Robi</c:v>
                </c:pt>
                <c:pt idx="311">
                  <c:v>Anggi Marito</c:v>
                </c:pt>
                <c:pt idx="312">
                  <c:v>Sachin-Jigar, Shadab Faridi, Altamash Faridi, Amitabh Bhattacharya, Varun Jain</c:v>
                </c:pt>
                <c:pt idx="313">
                  <c:v>Labrinth, Zendaya</c:v>
                </c:pt>
                <c:pt idx="314">
                  <c:v>Junior H, Peso Pluma</c:v>
                </c:pt>
                <c:pt idx="315">
                  <c:v>Jack Harlow</c:v>
                </c:pt>
                <c:pt idx="316">
                  <c:v>Luciano</c:v>
                </c:pt>
                <c:pt idx="317">
                  <c:v>Billie Eilish, Khalid</c:v>
                </c:pt>
                <c:pt idx="318">
                  <c:v>Juan Cruz Toledo, Huilen Toledo</c:v>
                </c:pt>
                <c:pt idx="319">
                  <c:v>Jordan Fisher, Josh Levi, Finneas O'Connell, 4*TOWN (From Disney and Pixarï¿½ï¿½ï¿½s Turning Red), Topher Ngo, Grayson Vill</c:v>
                </c:pt>
                <c:pt idx="320">
                  <c:v>sped up nightcore, ARIZONATEARS, Lil Uzi Vert</c:v>
                </c:pt>
                <c:pt idx="321">
                  <c:v>Daddy Yankee, Bad Bunny</c:v>
                </c:pt>
                <c:pt idx="322">
                  <c:v>Bellakath</c:v>
                </c:pt>
                <c:pt idx="323">
                  <c:v>Tones and I</c:v>
                </c:pt>
                <c:pt idx="324">
                  <c:v>Ariana Grande, The Weeknd</c:v>
                </c:pt>
                <c:pt idx="325">
                  <c:v>Ray Dalton, Ryan Lewis, Macklemore</c:v>
                </c:pt>
                <c:pt idx="326">
                  <c:v>Sean Paul, Feid</c:v>
                </c:pt>
                <c:pt idx="327">
                  <c:v>Selena Gomez</c:v>
                </c:pt>
                <c:pt idx="328">
                  <c:v>Lewis Capaldi</c:v>
                </c:pt>
                <c:pt idx="329">
                  <c:v>Lizzo</c:v>
                </c:pt>
                <c:pt idx="330">
                  <c:v>Sam Smith, Calvin Harris, Jessie Reyez</c:v>
                </c:pt>
                <c:pt idx="331">
                  <c:v>Dave, Central Cee</c:v>
                </c:pt>
                <c:pt idx="332">
                  <c:v>Tom Odell</c:v>
                </c:pt>
                <c:pt idx="333">
                  <c:v>Adassa, Mauro Castillo, Stephanie Beatriz, Encanto - Cast, Rhenzy Feliz, Diane Guerrero, Carolina Gaitan</c:v>
                </c:pt>
                <c:pt idx="334">
                  <c:v>Abhijay Sharma, Riar Saab</c:v>
                </c:pt>
                <c:pt idx="335">
                  <c:v>Gabito Ballesteros, Junior H, Peso Pluma</c:v>
                </c:pt>
                <c:pt idx="336">
                  <c:v>Kendrick Lamar, Blxst, Amanda Reifer</c:v>
                </c:pt>
                <c:pt idx="337">
                  <c:v>Ayparia, unxbected</c:v>
                </c:pt>
                <c:pt idx="338">
                  <c:v>TOMORROW X TOGETHER</c:v>
                </c:pt>
                <c:pt idx="339">
                  <c:v>Kenshi Yonezu</c:v>
                </c:pt>
                <c:pt idx="340">
                  <c:v>Post Malone, Doja Cat</c:v>
                </c:pt>
                <c:pt idx="341">
                  <c:v>James Arthur</c:v>
                </c:pt>
                <c:pt idx="342">
                  <c:v>Ed Sheeran, Taylor Swift</c:v>
                </c:pt>
                <c:pt idx="343">
                  <c:v>Plan B</c:v>
                </c:pt>
                <c:pt idx="344">
                  <c:v>Bruno Mars, Anderson .Paak, Silk Sonic</c:v>
                </c:pt>
                <c:pt idx="345">
                  <c:v>Kanye West, Alicia Keys, Fivio Foreign</c:v>
                </c:pt>
                <c:pt idx="346">
                  <c:v>Arcangel, De La Ghetto, Justin Quiles, Lenny Tavï¿½ï¿½rez, Sech, Dalex, Dimelo Flow, Rich Music</c:v>
                </c:pt>
                <c:pt idx="347">
                  <c:v>Lil Tjay</c:v>
                </c:pt>
                <c:pt idx="348">
                  <c:v>Bruno Mars</c:v>
                </c:pt>
                <c:pt idx="349">
                  <c:v>BTS</c:v>
                </c:pt>
                <c:pt idx="350">
                  <c:v>Avicii</c:v>
                </c:pt>
                <c:pt idx="351">
                  <c:v>Arctic Monkeys</c:v>
                </c:pt>
                <c:pt idx="352">
                  <c:v>Quevedo</c:v>
                </c:pt>
                <c:pt idx="353">
                  <c:v>Labrinth</c:v>
                </c:pt>
                <c:pt idx="354">
                  <c:v>Tyler, The Creator, Kali Uchis</c:v>
                </c:pt>
                <c:pt idx="355">
                  <c:v>Christian Nodal</c:v>
                </c:pt>
                <c:pt idx="356">
                  <c:v>Drake, Future, Young Thug</c:v>
                </c:pt>
                <c:pt idx="357">
                  <c:v>Drake, Project Pat, 21 Savage</c:v>
                </c:pt>
                <c:pt idx="358">
                  <c:v>Matuï¿½ï¿½, Wiu, </c:v>
                </c:pt>
                <c:pt idx="359">
                  <c:v>Metro Boomin, Coi Leray</c:v>
                </c:pt>
                <c:pt idx="360">
                  <c:v>Lady Gaga, Bradley Cooper</c:v>
                </c:pt>
                <c:pt idx="361">
                  <c:v>Taylor Swift</c:v>
                </c:pt>
                <c:pt idx="362">
                  <c:v>j-hope</c:v>
                </c:pt>
                <c:pt idx="363">
                  <c:v>Harry Styles</c:v>
                </c:pt>
                <c:pt idx="364">
                  <c:v>Tate McRae</c:v>
                </c:pt>
                <c:pt idx="365">
                  <c:v>Stray Kids</c:v>
                </c:pt>
                <c:pt idx="366">
                  <c:v>Robin Schulz, Oliver Tree</c:v>
                </c:pt>
                <c:pt idx="367">
                  <c:v>J. Cole, Lil Durk</c:v>
                </c:pt>
                <c:pt idx="368">
                  <c:v>50 Cent</c:v>
                </c:pt>
                <c:pt idx="369">
                  <c:v>Kate Bush</c:v>
                </c:pt>
                <c:pt idx="370">
                  <c:v>Treyce</c:v>
                </c:pt>
                <c:pt idx="371">
                  <c:v>El Chachito, Junior H</c:v>
                </c:pt>
                <c:pt idx="372">
                  <c:v>Charlie Puth, BTS, Jung Kook</c:v>
                </c:pt>
                <c:pt idx="373">
                  <c:v>Cris Mj</c:v>
                </c:pt>
                <c:pt idx="374">
                  <c:v>Michael Bublï¿</c:v>
                </c:pt>
                <c:pt idx="375">
                  <c:v>Fuerza Regida, Peso Pluma</c:v>
                </c:pt>
                <c:pt idx="376">
                  <c:v>Treasure</c:v>
                </c:pt>
                <c:pt idx="377">
                  <c:v>Andy Williams</c:v>
                </c:pt>
                <c:pt idx="378">
                  <c:v>Karol G, Ovy On The Drums</c:v>
                </c:pt>
                <c:pt idx="379">
                  <c:v>girl in red</c:v>
                </c:pt>
                <c:pt idx="380">
                  <c:v>DJ Escobar, MC MENOR SG, MC MENOR HR</c:v>
                </c:pt>
                <c:pt idx="381">
                  <c:v>Loreen</c:v>
                </c:pt>
                <c:pt idx="382">
                  <c:v>The Chainsmokers, Coldplay</c:v>
                </c:pt>
                <c:pt idx="383">
                  <c:v>JISOO</c:v>
                </c:pt>
                <c:pt idx="384">
                  <c:v>Manuel Turizo</c:v>
                </c:pt>
                <c:pt idx="385">
                  <c:v>Queen</c:v>
                </c:pt>
                <c:pt idx="386">
                  <c:v>Ed Sheeran</c:v>
                </c:pt>
                <c:pt idx="387">
                  <c:v>Dua Lipa</c:v>
                </c:pt>
                <c:pt idx="388">
                  <c:v>Jessi</c:v>
                </c:pt>
                <c:pt idx="389">
                  <c:v>Aitana, zzoilo</c:v>
                </c:pt>
                <c:pt idx="390">
                  <c:v>Gorillaz, Bad Bunny</c:v>
                </c:pt>
                <c:pt idx="391">
                  <c:v>Yung Gravy</c:v>
                </c:pt>
                <c:pt idx="392">
                  <c:v>Luï¿½ï¿½sa Sonza, MC Frog, Dj Gabriel do Borel, Davi K</c:v>
                </c:pt>
                <c:pt idx="393">
                  <c:v>Joji</c:v>
                </c:pt>
                <c:pt idx="394">
                  <c:v>Rich The Kid, Matuï¿</c:v>
                </c:pt>
                <c:pt idx="395">
                  <c:v>TAEYANG, Jimin</c:v>
                </c:pt>
                <c:pt idx="396">
                  <c:v>TV Girl</c:v>
                </c:pt>
                <c:pt idx="397">
                  <c:v>Bad Bunny, Jhay Cortez</c:v>
                </c:pt>
                <c:pt idx="398">
                  <c:v>KALUSH</c:v>
                </c:pt>
                <c:pt idx="399">
                  <c:v>NF</c:v>
                </c:pt>
                <c:pt idx="400">
                  <c:v>Rosa Linn</c:v>
                </c:pt>
                <c:pt idx="401">
                  <c:v>The Chainsmokers, Halsey</c:v>
                </c:pt>
                <c:pt idx="402">
                  <c:v>Marshmello, Manuel Turizo</c:v>
                </c:pt>
                <c:pt idx="403">
                  <c:v>Shakira, Bizarrap</c:v>
                </c:pt>
                <c:pt idx="404">
                  <c:v>Maroon 5, Wiz Khalifa</c:v>
                </c:pt>
                <c:pt idx="405">
                  <c:v>Dean Lewis</c:v>
                </c:pt>
                <c:pt idx="406">
                  <c:v>Lasso</c:v>
                </c:pt>
                <c:pt idx="407">
                  <c:v>Nicki Minaj, Lil Baby</c:v>
                </c:pt>
                <c:pt idx="408">
                  <c:v>dennis, MC Kevin o Chris</c:v>
                </c:pt>
                <c:pt idx="409">
                  <c:v>Mainstreet, Chefin</c:v>
                </c:pt>
                <c:pt idx="410">
                  <c:v>Ana Castela, AgroPlay</c:v>
                </c:pt>
                <c:pt idx="411">
                  <c:v>Camila Cabello, Ed Sheeran</c:v>
                </c:pt>
                <c:pt idx="412">
                  <c:v>Ozuna, Feid</c:v>
                </c:pt>
                <c:pt idx="413">
                  <c:v>Gunna, Lil Baby</c:v>
                </c:pt>
                <c:pt idx="414">
                  <c:v>Lady Gaga</c:v>
                </c:pt>
                <c:pt idx="415">
                  <c:v>NewJeans</c:v>
                </c:pt>
                <c:pt idx="416">
                  <c:v>Rauw Alejandro, ROSALï¿½</c:v>
                </c:pt>
                <c:pt idx="417">
                  <c:v>Blackbear, BoyWithUke</c:v>
                </c:pt>
                <c:pt idx="418">
                  <c:v>Juice WRLD</c:v>
                </c:pt>
                <c:pt idx="419">
                  <c:v>BLESSD, Peso Pluma</c:v>
                </c:pt>
                <c:pt idx="420">
                  <c:v>Kendrick Lamar, Sam Dew, Baby Keem</c:v>
                </c:pt>
                <c:pt idx="421">
                  <c:v>Elton John, Britney Spears</c:v>
                </c:pt>
                <c:pt idx="422">
                  <c:v>Bing Crosby, John Scott Trotter &amp; His Orchestra, Ken Darby Singers</c:v>
                </c:pt>
                <c:pt idx="423">
                  <c:v>Band Aid</c:v>
                </c:pt>
                <c:pt idx="424">
                  <c:v>Frank Sinatra, B. Swanson Quartet</c:v>
                </c:pt>
                <c:pt idx="425">
                  <c:v>Stephen Sanchez</c:v>
                </c:pt>
                <c:pt idx="426">
                  <c:v>NEIKED, Mae Muller, Polo G</c:v>
                </c:pt>
                <c:pt idx="427">
                  <c:v>Karol G</c:v>
                </c:pt>
                <c:pt idx="428">
                  <c:v>Chuck Berry</c:v>
                </c:pt>
                <c:pt idx="429">
                  <c:v>Leah Kate</c:v>
                </c:pt>
                <c:pt idx="430">
                  <c:v>Brenda Lee</c:v>
                </c:pt>
                <c:pt idx="431">
                  <c:v>Zion &amp; Lennox</c:v>
                </c:pt>
                <c:pt idx="432">
                  <c:v>Sam Smith, Kim Petras</c:v>
                </c:pt>
                <c:pt idx="433">
                  <c:v>Stephanie Beatriz, Diane Guerrero</c:v>
                </c:pt>
                <c:pt idx="434">
                  <c:v>The Weeknd, Post Malone</c:v>
                </c:pt>
                <c:pt idx="435">
                  <c:v>Brray, Rauw Alejandro, Lyanno</c:v>
                </c:pt>
                <c:pt idx="436">
                  <c:v>Bad Bunny, The Marï¿½ï</c:v>
                </c:pt>
                <c:pt idx="437">
                  <c:v>Eminem</c:v>
                </c:pt>
                <c:pt idx="438">
                  <c:v>Kanye West</c:v>
                </c:pt>
                <c:pt idx="439">
                  <c:v>Coldplay</c:v>
                </c:pt>
                <c:pt idx="440">
                  <c:v>Olga Merediz, Stephanie Beatriz, Encanto - Cast</c:v>
                </c:pt>
                <c:pt idx="441">
                  <c:v>Gwen Stefani, Blake Shelton</c:v>
                </c:pt>
                <c:pt idx="442">
                  <c:v>Libianca</c:v>
                </c:pt>
                <c:pt idx="443">
                  <c:v>Kendrick Lamar, Kodak Black</c:v>
                </c:pt>
                <c:pt idx="444">
                  <c:v>Kendrick Lamar, Taylour Paige</c:v>
                </c:pt>
                <c:pt idx="445">
                  <c:v>Arijit Singh, Sachin-Jigar</c:v>
                </c:pt>
                <c:pt idx="446">
                  <c:v>Sech, Mora</c:v>
                </c:pt>
                <c:pt idx="447">
                  <c:v>Creedence Clearwater Revival</c:v>
                </c:pt>
                <c:pt idx="448">
                  <c:v>Ed Sheeran, Elton John</c:v>
                </c:pt>
                <c:pt idx="449">
                  <c:v>LE SSERAFIM</c:v>
                </c:pt>
                <c:pt idx="450">
                  <c:v>PinkPantheress, Ice Spice</c:v>
                </c:pt>
                <c:pt idx="451">
                  <c:v>Yuridia, Angela Aguilar</c:v>
                </c:pt>
                <c:pt idx="452">
                  <c:v>Peso Pluma, Grupo Frontera</c:v>
                </c:pt>
                <c:pt idx="453">
                  <c:v>The Walters</c:v>
                </c:pt>
                <c:pt idx="454">
                  <c:v>Chencho Corleone, Bad Bunny</c:v>
                </c:pt>
                <c:pt idx="455">
                  <c:v>Carin Leon, Grupo Frontera</c:v>
                </c:pt>
                <c:pt idx="456">
                  <c:v>Kendrick Lamar, Sampha</c:v>
                </c:pt>
                <c:pt idx="457">
                  <c:v>The Neighbourhood</c:v>
                </c:pt>
                <c:pt idx="458">
                  <c:v>Justin Bieber</c:v>
                </c:pt>
                <c:pt idx="459">
                  <c:v>Nirvana</c:v>
                </c:pt>
                <c:pt idx="460">
                  <c:v>Feid, Mora</c:v>
                </c:pt>
                <c:pt idx="461">
                  <c:v>Burna Boy</c:v>
                </c:pt>
                <c:pt idx="462">
                  <c:v>RAYE, 070 Shake</c:v>
                </c:pt>
                <c:pt idx="463">
                  <c:v>Big One, Duki, Lit Killah, Maria Becerra, FMK, Rusherking, Emilia, Tiago pzk</c:v>
                </c:pt>
                <c:pt idx="464">
                  <c:v>Giveon</c:v>
                </c:pt>
                <c:pt idx="465">
                  <c:v>Feid, Paulo Londra</c:v>
                </c:pt>
                <c:pt idx="466">
                  <c:v>Bad Bunny, Eladio Carrion</c:v>
                </c:pt>
                <c:pt idx="467">
                  <c:v>Sabrina Carpenter</c:v>
                </c:pt>
                <c:pt idx="468">
                  <c:v>Miguel</c:v>
                </c:pt>
                <c:pt idx="469">
                  <c:v>Shakira</c:v>
                </c:pt>
                <c:pt idx="470">
                  <c:v>Rosa Walton, Hallie Coggins</c:v>
                </c:pt>
                <c:pt idx="471">
                  <c:v>Wham!</c:v>
                </c:pt>
                <c:pt idx="472">
                  <c:v>Baby Tate</c:v>
                </c:pt>
                <c:pt idx="473">
                  <c:v>Imagine Dragons, League of Legends, JID, Arcane</c:v>
                </c:pt>
                <c:pt idx="474">
                  <c:v>RM</c:v>
                </c:pt>
                <c:pt idx="475">
                  <c:v>Intense, AP Dhillon, Gurinder Gill</c:v>
                </c:pt>
                <c:pt idx="476">
                  <c:v>Mahalini</c:v>
                </c:pt>
                <c:pt idx="477">
                  <c:v>Mae Stephens</c:v>
                </c:pt>
                <c:pt idx="478">
                  <c:v>L7nnon, DJ Biel do Furduncinho, Bianca</c:v>
                </c:pt>
                <c:pt idx="479">
                  <c:v>Ryan Castro</c:v>
                </c:pt>
                <c:pt idx="480">
                  <c:v>Taylor Swift, Lana Del Rey</c:v>
                </c:pt>
                <c:pt idx="481">
                  <c:v>Karol G, Shakira</c:v>
                </c:pt>
                <c:pt idx="482">
                  <c:v>Paulo Londra</c:v>
                </c:pt>
                <c:pt idx="483">
                  <c:v>Lil Durk, Morgan Wallen</c:v>
                </c:pt>
                <c:pt idx="484">
                  <c:v>Mambo Kingz, DJ Luian, Anuel Aa</c:v>
                </c:pt>
                <c:pt idx="485">
                  <c:v>Gustavo Mioto, Mari Fernandez</c:v>
                </c:pt>
                <c:pt idx="486">
                  <c:v>Maroon 5</c:v>
                </c:pt>
                <c:pt idx="487">
                  <c:v>The Weeknd, Daft Punk</c:v>
                </c:pt>
                <c:pt idx="488">
                  <c:v>Kanye West, Lil Durk, Cardi B</c:v>
                </c:pt>
                <c:pt idx="489">
                  <c:v>Beach Weather</c:v>
                </c:pt>
                <c:pt idx="490">
                  <c:v>Sleepy hallow</c:v>
                </c:pt>
                <c:pt idx="491">
                  <c:v>d4vd</c:v>
                </c:pt>
                <c:pt idx="492">
                  <c:v>Vance Joy</c:v>
                </c:pt>
                <c:pt idx="493">
                  <c:v>Pharrell Williams, Nile Rodgers, Daft Punk</c:v>
                </c:pt>
                <c:pt idx="494">
                  <c:v>Jin</c:v>
                </c:pt>
                <c:pt idx="495">
                  <c:v>Jimin</c:v>
                </c:pt>
                <c:pt idx="496">
                  <c:v>Ugly Dray, Tesla Jnr</c:v>
                </c:pt>
                <c:pt idx="497">
                  <c:v>Dean Martin</c:v>
                </c:pt>
                <c:pt idx="498">
                  <c:v>Marï¿½ï¿½lia Mendonï¿½ï¿½a, Hugo &amp; G</c:v>
                </c:pt>
                <c:pt idx="499">
                  <c:v>SiM</c:v>
                </c:pt>
                <c:pt idx="500">
                  <c:v>Yung Lean</c:v>
                </c:pt>
                <c:pt idx="501">
                  <c:v>Jason Derulo</c:v>
                </c:pt>
                <c:pt idx="502">
                  <c:v>Feid, Myke Towers, Sky Rompiendo</c:v>
                </c:pt>
                <c:pt idx="503">
                  <c:v>Darlene Love</c:v>
                </c:pt>
                <c:pt idx="504">
                  <c:v>Dove Cameron</c:v>
                </c:pt>
                <c:pt idx="505">
                  <c:v>Aventura, Bad Bunny</c:v>
                </c:pt>
                <c:pt idx="506">
                  <c:v>THE ANXIETY, Willow, Tyler Cole</c:v>
                </c:pt>
                <c:pt idx="507">
                  <c:v>Bizarrap, Villano Antillano</c:v>
                </c:pt>
                <c:pt idx="508">
                  <c:v>The Ronettes</c:v>
                </c:pt>
                <c:pt idx="509">
                  <c:v>MC Caverinha, KayBlack</c:v>
                </c:pt>
                <c:pt idx="510">
                  <c:v>Bad Bunny, Grupo Frontera</c:v>
                </c:pt>
                <c:pt idx="511">
                  <c:v>Shakira, Rauw Alejandro</c:v>
                </c:pt>
                <c:pt idx="512">
                  <c:v>Mabel Matiz, Mert Demir</c:v>
                </c:pt>
                <c:pt idx="513">
                  <c:v>Arijit Singh, Vishal Dadlani, Sukriti Kakar, Vishal-Shekhar, Shekhar Ravjiani, Kumaar</c:v>
                </c:pt>
                <c:pt idx="514">
                  <c:v>Bizarrap, Tiago pzk</c:v>
                </c:pt>
                <c:pt idx="515">
                  <c:v>Cartel De Santa, La Kelly</c:v>
                </c:pt>
                <c:pt idx="516">
                  <c:v>Yandel, Feid</c:v>
                </c:pt>
                <c:pt idx="517">
                  <c:v>Jasiel Nuï¿½ï¿½ez, Peso P</c:v>
                </c:pt>
                <c:pt idx="518">
                  <c:v>David Kushner</c:v>
                </c:pt>
                <c:pt idx="519">
                  <c:v>IU, Agust D</c:v>
                </c:pt>
                <c:pt idx="520">
                  <c:v>Stromae</c:v>
                </c:pt>
                <c:pt idx="521">
                  <c:v>24kgoldn, Iann Dior</c:v>
                </c:pt>
                <c:pt idx="522">
                  <c:v>YEAT</c:v>
                </c:pt>
                <c:pt idx="523">
                  <c:v>Omar Apollo</c:v>
                </c:pt>
                <c:pt idx="524">
                  <c:v>The Weeknd, ROSALï¿½</c:v>
                </c:pt>
                <c:pt idx="525">
                  <c:v>Imagine Dragons</c:v>
                </c:pt>
                <c:pt idx="526">
                  <c:v>Chris Rea</c:v>
                </c:pt>
                <c:pt idx="527">
                  <c:v>Bomba Estï¿½ï¿½reo, Bad B</c:v>
                </c:pt>
                <c:pt idx="528">
                  <c:v>YOASOBI</c:v>
                </c:pt>
                <c:pt idx="529">
                  <c:v>De La Ghetto, Duki, Quevedo</c:v>
                </c:pt>
                <c:pt idx="530">
                  <c:v>Demi Lovato</c:v>
                </c:pt>
                <c:pt idx="531">
                  <c:v>Fran C, Polima WestCoast, Nickoog Clk, Pablito Pesadilla</c:v>
                </c:pt>
                <c:pt idx="532">
                  <c:v>Kendrick Lamar</c:v>
                </c:pt>
                <c:pt idx="533">
                  <c:v>BLACKPINK</c:v>
                </c:pt>
                <c:pt idx="534">
                  <c:v>Doja Cat, The Weeknd</c:v>
                </c:pt>
                <c:pt idx="535">
                  <c:v>Panic! At The Disco</c:v>
                </c:pt>
                <c:pt idx="536">
                  <c:v>Maluma</c:v>
                </c:pt>
                <c:pt idx="537">
                  <c:v>SALES</c:v>
                </c:pt>
                <c:pt idx="538">
                  <c:v>Kodak Black, NLE Choppa, Muni Long, JVKE, Jimin</c:v>
                </c:pt>
                <c:pt idx="539">
                  <c:v>Jain</c:v>
                </c:pt>
                <c:pt idx="540">
                  <c:v>Bizarrap, Paulo Londra</c:v>
                </c:pt>
                <c:pt idx="541">
                  <c:v>David Guetta, Ella Henderson, Becky Hill</c:v>
                </c:pt>
                <c:pt idx="542">
                  <c:v>Lil Uzi Vert</c:v>
                </c:pt>
                <c:pt idx="543">
                  <c:v>Niall Horan</c:v>
                </c:pt>
                <c:pt idx="544">
                  <c:v>Israel &amp; Rodolffo, Mari Fernandez</c:v>
                </c:pt>
                <c:pt idx="545">
                  <c:v>J Balvin, Maria Becerra</c:v>
                </c:pt>
                <c:pt idx="546">
                  <c:v>a-ha</c:v>
                </c:pt>
                <c:pt idx="547">
                  <c:v>NIKI</c:v>
                </c:pt>
                <c:pt idx="548">
                  <c:v>Peggy Gou</c:v>
                </c:pt>
                <c:pt idx="549">
                  <c:v>Arcangel, Bizarrap</c:v>
                </c:pt>
                <c:pt idx="550">
                  <c:v>Calvin Harris, Halsey, Pharrell Williams, Justin Timberlake</c:v>
                </c:pt>
                <c:pt idx="551">
                  <c:v>Tyga, Doja Cat</c:v>
                </c:pt>
                <c:pt idx="552">
                  <c:v>Kenia OS</c:v>
                </c:pt>
                <c:pt idx="553">
                  <c:v>Eminem, Dina Rae</c:v>
                </c:pt>
                <c:pt idx="554">
                  <c:v>Bad Bunny, Tainy</c:v>
                </c:pt>
                <c:pt idx="555">
                  <c:v>P!nk</c:v>
                </c:pt>
                <c:pt idx="556">
                  <c:v>21 Savage, Gunna</c:v>
                </c:pt>
                <c:pt idx="557">
                  <c:v>Agust D</c:v>
                </c:pt>
                <c:pt idx="558">
                  <c:v>Kevin Kaarl</c:v>
                </c:pt>
                <c:pt idx="559">
                  <c:v>Dj LK da Escï¿½ï¿½cia, Tchakabum, mc jhenny, M</c:v>
                </c:pt>
                <c:pt idx="560">
                  <c:v>Surf Curse</c:v>
                </c:pt>
                <c:pt idx="561">
                  <c:v>Hozier</c:v>
                </c:pt>
                <c:pt idx="562">
                  <c:v>BIGBANG</c:v>
                </c:pt>
                <c:pt idx="563">
                  <c:v>Chris Molitor</c:v>
                </c:pt>
                <c:pt idx="564">
                  <c:v>Em Beihold</c:v>
                </c:pt>
                <c:pt idx="565">
                  <c:v>Kaliii, Kaliii</c:v>
                </c:pt>
                <c:pt idx="566">
                  <c:v>Lisa</c:v>
                </c:pt>
                <c:pt idx="567">
                  <c:v>Beach House</c:v>
                </c:pt>
                <c:pt idx="568">
                  <c:v>Victor Cibrian</c:v>
                </c:pt>
                <c:pt idx="569">
                  <c:v>Beyoncï¿</c:v>
                </c:pt>
                <c:pt idx="570">
                  <c:v>Bizarrap, Quevedo</c:v>
                </c:pt>
                <c:pt idx="571">
                  <c:v>INTERWORLD</c:v>
                </c:pt>
                <c:pt idx="572">
                  <c:v>Linkin Park</c:v>
                </c:pt>
                <c:pt idx="573">
                  <c:v>Benson Boone</c:v>
                </c:pt>
                <c:pt idx="574">
                  <c:v>Yahritza Y Su Esencia, Grupo Frontera</c:v>
                </c:pt>
                <c:pt idx="575">
                  <c:v>Anitta</c:v>
                </c:pt>
                <c:pt idx="576">
                  <c:v>Doechii</c:v>
                </c:pt>
                <c:pt idx="577">
                  <c:v>Future, Chris Brown, Metro Boomin</c:v>
                </c:pt>
                <c:pt idx="578">
                  <c:v>The Weeknd, Swedish House Mafia</c:v>
                </c:pt>
                <c:pt idx="579">
                  <c:v>Chino Pacas</c:v>
                </c:pt>
                <c:pt idx="580">
                  <c:v>JVKE</c:v>
                </c:pt>
                <c:pt idx="581">
                  <c:v>Junior H, Eden Muï¿½ï</c:v>
                </c:pt>
                <c:pt idx="582">
                  <c:v>Pharrell Williams, Tyler, The Creator, 21 Savage</c:v>
                </c:pt>
                <c:pt idx="583">
                  <c:v>Natanael Cano, Peso Pluma</c:v>
                </c:pt>
                <c:pt idx="584">
                  <c:v>Fifty Fifty</c:v>
                </c:pt>
                <c:pt idx="585">
                  <c:v>Daddy Yankee</c:v>
                </c:pt>
                <c:pt idx="586">
                  <c:v>Sebastian Yatra, Manuel Turizo, Beï¿½ï</c:v>
                </c:pt>
                <c:pt idx="587">
                  <c:v>Chase Atlantic</c:v>
                </c:pt>
                <c:pt idx="588">
                  <c:v>Nile Rodgers, LE SSERAFIM</c:v>
                </c:pt>
                <c:pt idx="589">
                  <c:v>Sofia Carson</c:v>
                </c:pt>
                <c:pt idx="590">
                  <c:v>Frank Sinatra</c:v>
                </c:pt>
                <c:pt idx="591">
                  <c:v>Morgan Wallen, Eric Church</c:v>
                </c:pt>
                <c:pt idx="592">
                  <c:v>Conan Gray</c:v>
                </c:pt>
                <c:pt idx="593">
                  <c:v>Lauren Spencer Smith</c:v>
                </c:pt>
                <c:pt idx="594">
                  <c:v>Troye Sivan</c:v>
                </c:pt>
                <c:pt idx="595">
                  <c:v>Elley Duhï¿</c:v>
                </c:pt>
                <c:pt idx="596">
                  <c:v>SZA, Travis Scott</c:v>
                </c:pt>
                <c:pt idx="597">
                  <c:v>Melanie Martinez</c:v>
                </c:pt>
                <c:pt idx="598">
                  <c:v>The Weeknd, 21 Savage, Metro Boomin</c:v>
                </c:pt>
                <c:pt idx="599">
                  <c:v>Alec Benjamin</c:v>
                </c:pt>
                <c:pt idx="600">
                  <c:v>Quevedo, La Pantera, Juseph, Cruz Cafunï¿½ï¿½, Bï¿½ï¿½jo, Abhir Hathi</c:v>
                </c:pt>
                <c:pt idx="601">
                  <c:v>Miley Cyrus</c:v>
                </c:pt>
                <c:pt idx="602">
                  <c:v>Marshmello, Juice WRLD</c:v>
                </c:pt>
                <c:pt idx="603">
                  <c:v>John Lennon, The Harlem Community Choir, The Plastic Ono Band, Yoko Ono</c:v>
                </c:pt>
                <c:pt idx="604">
                  <c:v>Kodak Black</c:v>
                </c:pt>
                <c:pt idx="605">
                  <c:v>Dua Lipa, Megan Thee Stallion</c:v>
                </c:pt>
                <c:pt idx="606">
                  <c:v>Ruth B.</c:v>
                </c:pt>
                <c:pt idx="607">
                  <c:v>Calvin Harris, Dua Lipa, Young Thug</c:v>
                </c:pt>
                <c:pt idx="608">
                  <c:v>Nicky Youre, Dazy</c:v>
                </c:pt>
                <c:pt idx="609">
                  <c:v>Zach Bryan</c:v>
                </c:pt>
                <c:pt idx="610">
                  <c:v>Josï¿½ï¿½ Felic</c:v>
                </c:pt>
                <c:pt idx="611">
                  <c:v>NLE Choppa</c:v>
                </c:pt>
                <c:pt idx="612">
                  <c:v>Marï¿½ï¿½lia Mendonï¿½ï¿½a, George Henrique &amp;</c:v>
                </c:pt>
                <c:pt idx="613">
                  <c:v>Myke Towers, Quevedo</c:v>
                </c:pt>
                <c:pt idx="614">
                  <c:v>Justin Quiles, Lenny Tavï¿½ï¿½rez, BL</c:v>
                </c:pt>
                <c:pt idx="615">
                  <c:v>Justin Bieber, Daniel Caesar, Giveon</c:v>
                </c:pt>
                <c:pt idx="616">
                  <c:v>HA SUNG WOON, Jimin</c:v>
                </c:pt>
                <c:pt idx="617">
                  <c:v>Raim Laode</c:v>
                </c:pt>
                <c:pt idx="618">
                  <c:v>Seafret</c:v>
                </c:pt>
                <c:pt idx="619">
                  <c:v>Tainy, Bad Bunny</c:v>
                </c:pt>
                <c:pt idx="620">
                  <c:v>Peso Pluma, Luis R Conriquez</c:v>
                </c:pt>
                <c:pt idx="621">
                  <c:v>Tony Dize, Bad Bunny</c:v>
                </c:pt>
                <c:pt idx="622">
                  <c:v>Trueno</c:v>
                </c:pt>
                <c:pt idx="623">
                  <c:v>Taiu, Milo j</c:v>
                </c:pt>
                <c:pt idx="624">
                  <c:v>SZA, Phoebe Bridgers</c:v>
                </c:pt>
                <c:pt idx="625">
                  <c:v>Kendrick Lamar, Ghostface Killah, Summer Walker</c:v>
                </c:pt>
                <c:pt idx="626">
                  <c:v>Halsey</c:v>
                </c:pt>
                <c:pt idx="627">
                  <c:v>Paloma Faith</c:v>
                </c:pt>
                <c:pt idx="628">
                  <c:v>MNEK, Jax Jones</c:v>
                </c:pt>
                <c:pt idx="629">
                  <c:v>Offset, JID</c:v>
                </c:pt>
                <c:pt idx="630">
                  <c:v>Buscabulla, Bad Bunny</c:v>
                </c:pt>
                <c:pt idx="631">
                  <c:v>King</c:v>
                </c:pt>
                <c:pt idx="632">
                  <c:v>Keane</c:v>
                </c:pt>
                <c:pt idx="633">
                  <c:v>David Guetta, Shakira, Black Eyed Peas</c:v>
                </c:pt>
                <c:pt idx="634">
                  <c:v>Leo Santana</c:v>
                </c:pt>
                <c:pt idx="635">
                  <c:v>Kendrick Lamar, Beth Gibbons</c:v>
                </c:pt>
                <c:pt idx="636">
                  <c:v>Quevedo, Jhayco</c:v>
                </c:pt>
                <c:pt idx="637">
                  <c:v>Polima WestCoast, Pailita</c:v>
                </c:pt>
                <c:pt idx="638">
                  <c:v>Peso Pluma, Yng Lvcas</c:v>
                </c:pt>
                <c:pt idx="639">
                  <c:v>Luude, Colin Hay</c:v>
                </c:pt>
                <c:pt idx="640">
                  <c:v>Mac DeMarco</c:v>
                </c:pt>
                <c:pt idx="641">
                  <c:v>Rihanna</c:v>
                </c:pt>
                <c:pt idx="642">
                  <c:v>Lost Frequencies, Calum Scott</c:v>
                </c:pt>
                <c:pt idx="643">
                  <c:v>Lord Huron</c:v>
                </c:pt>
                <c:pt idx="644">
                  <c:v>Kevin Gates, Juicy J</c:v>
                </c:pt>
              </c:strCache>
            </c:strRef>
          </c:cat>
          <c:val>
            <c:numRef>
              <c:f>dancability!$C$4:$C$649</c:f>
              <c:numCache>
                <c:formatCode>General</c:formatCode>
                <c:ptCount val="64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2</c:v>
                </c:pt>
                <c:pt idx="64">
                  <c:v>3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4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2</c:v>
                </c:pt>
                <c:pt idx="107">
                  <c:v>2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2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2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8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2</c:v>
                </c:pt>
                <c:pt idx="153">
                  <c:v>2</c:v>
                </c:pt>
                <c:pt idx="154">
                  <c:v>4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3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3</c:v>
                </c:pt>
                <c:pt idx="171">
                  <c:v>2</c:v>
                </c:pt>
                <c:pt idx="172">
                  <c:v>5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2</c:v>
                </c:pt>
                <c:pt idx="182">
                  <c:v>1</c:v>
                </c:pt>
                <c:pt idx="183">
                  <c:v>2</c:v>
                </c:pt>
                <c:pt idx="184">
                  <c:v>1</c:v>
                </c:pt>
                <c:pt idx="185">
                  <c:v>3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4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2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2</c:v>
                </c:pt>
                <c:pt idx="204">
                  <c:v>1</c:v>
                </c:pt>
                <c:pt idx="205">
                  <c:v>1</c:v>
                </c:pt>
                <c:pt idx="206">
                  <c:v>2</c:v>
                </c:pt>
                <c:pt idx="207">
                  <c:v>3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3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2</c:v>
                </c:pt>
                <c:pt idx="225">
                  <c:v>2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2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2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7</c:v>
                </c:pt>
                <c:pt idx="248">
                  <c:v>3</c:v>
                </c:pt>
                <c:pt idx="249">
                  <c:v>2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11</c:v>
                </c:pt>
                <c:pt idx="262">
                  <c:v>8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19</c:v>
                </c:pt>
                <c:pt idx="277">
                  <c:v>2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2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2</c:v>
                </c:pt>
                <c:pt idx="297">
                  <c:v>1</c:v>
                </c:pt>
                <c:pt idx="298">
                  <c:v>2</c:v>
                </c:pt>
                <c:pt idx="299">
                  <c:v>1</c:v>
                </c:pt>
                <c:pt idx="300">
                  <c:v>6</c:v>
                </c:pt>
                <c:pt idx="301">
                  <c:v>19</c:v>
                </c:pt>
                <c:pt idx="302">
                  <c:v>4</c:v>
                </c:pt>
                <c:pt idx="303">
                  <c:v>22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2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2</c:v>
                </c:pt>
                <c:pt idx="315">
                  <c:v>3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2</c:v>
                </c:pt>
                <c:pt idx="322">
                  <c:v>1</c:v>
                </c:pt>
                <c:pt idx="323">
                  <c:v>1</c:v>
                </c:pt>
                <c:pt idx="324">
                  <c:v>2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3</c:v>
                </c:pt>
                <c:pt idx="329">
                  <c:v>3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2</c:v>
                </c:pt>
                <c:pt idx="342">
                  <c:v>1</c:v>
                </c:pt>
                <c:pt idx="343">
                  <c:v>1</c:v>
                </c:pt>
                <c:pt idx="344">
                  <c:v>2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4</c:v>
                </c:pt>
                <c:pt idx="349">
                  <c:v>8</c:v>
                </c:pt>
                <c:pt idx="350">
                  <c:v>2</c:v>
                </c:pt>
                <c:pt idx="351">
                  <c:v>4</c:v>
                </c:pt>
                <c:pt idx="352">
                  <c:v>4</c:v>
                </c:pt>
                <c:pt idx="353">
                  <c:v>7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34</c:v>
                </c:pt>
                <c:pt idx="362">
                  <c:v>1</c:v>
                </c:pt>
                <c:pt idx="363">
                  <c:v>17</c:v>
                </c:pt>
                <c:pt idx="364">
                  <c:v>2</c:v>
                </c:pt>
                <c:pt idx="365">
                  <c:v>2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2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9</c:v>
                </c:pt>
                <c:pt idx="387">
                  <c:v>3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3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2</c:v>
                </c:pt>
                <c:pt idx="398">
                  <c:v>1</c:v>
                </c:pt>
                <c:pt idx="399">
                  <c:v>1</c:v>
                </c:pt>
                <c:pt idx="400">
                  <c:v>2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2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2</c:v>
                </c:pt>
                <c:pt idx="415">
                  <c:v>6</c:v>
                </c:pt>
                <c:pt idx="416">
                  <c:v>1</c:v>
                </c:pt>
                <c:pt idx="417">
                  <c:v>1</c:v>
                </c:pt>
                <c:pt idx="418">
                  <c:v>2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4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4</c:v>
                </c:pt>
                <c:pt idx="438">
                  <c:v>3</c:v>
                </c:pt>
                <c:pt idx="439">
                  <c:v>3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2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3</c:v>
                </c:pt>
                <c:pt idx="458">
                  <c:v>3</c:v>
                </c:pt>
                <c:pt idx="459">
                  <c:v>2</c:v>
                </c:pt>
                <c:pt idx="460">
                  <c:v>1</c:v>
                </c:pt>
                <c:pt idx="461">
                  <c:v>2</c:v>
                </c:pt>
                <c:pt idx="462">
                  <c:v>2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2</c:v>
                </c:pt>
                <c:pt idx="480">
                  <c:v>1</c:v>
                </c:pt>
                <c:pt idx="481">
                  <c:v>1</c:v>
                </c:pt>
                <c:pt idx="482">
                  <c:v>2</c:v>
                </c:pt>
                <c:pt idx="483">
                  <c:v>1</c:v>
                </c:pt>
                <c:pt idx="484">
                  <c:v>2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2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3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2</c:v>
                </c:pt>
                <c:pt idx="523">
                  <c:v>1</c:v>
                </c:pt>
                <c:pt idx="524">
                  <c:v>1</c:v>
                </c:pt>
                <c:pt idx="525">
                  <c:v>3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12</c:v>
                </c:pt>
                <c:pt idx="533">
                  <c:v>3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3</c:v>
                </c:pt>
                <c:pt idx="570">
                  <c:v>1</c:v>
                </c:pt>
                <c:pt idx="571">
                  <c:v>1</c:v>
                </c:pt>
                <c:pt idx="572">
                  <c:v>2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2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2</c:v>
                </c:pt>
                <c:pt idx="585">
                  <c:v>2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2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2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A1-4425-9DC3-050DF262F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7095303"/>
        <c:axId val="327097351"/>
      </c:barChart>
      <c:catAx>
        <c:axId val="327095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097351"/>
        <c:crosses val="autoZero"/>
        <c:auto val="1"/>
        <c:lblAlgn val="ctr"/>
        <c:lblOffset val="100"/>
        <c:noMultiLvlLbl val="0"/>
      </c:catAx>
      <c:valAx>
        <c:axId val="327097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095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[spotify-2023.xlsx]energy!PivotTable4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energy by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energy!$B$3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energy!$A$4:$A$481</c:f>
              <c:strCache>
                <c:ptCount val="477"/>
                <c:pt idx="0">
                  <c:v>1/1/1930</c:v>
                </c:pt>
                <c:pt idx="1">
                  <c:v>1/1/1942</c:v>
                </c:pt>
                <c:pt idx="2">
                  <c:v>11/1/1946</c:v>
                </c:pt>
                <c:pt idx="3">
                  <c:v>1/1/1950</c:v>
                </c:pt>
                <c:pt idx="4">
                  <c:v>1/1/1952</c:v>
                </c:pt>
                <c:pt idx="5">
                  <c:v>1/1/1957</c:v>
                </c:pt>
                <c:pt idx="6">
                  <c:v>1/1/1958</c:v>
                </c:pt>
                <c:pt idx="7">
                  <c:v>1/1/1959</c:v>
                </c:pt>
                <c:pt idx="8">
                  <c:v>11/16/1959</c:v>
                </c:pt>
                <c:pt idx="9">
                  <c:v>10/14/1963</c:v>
                </c:pt>
                <c:pt idx="10">
                  <c:v>11/22/1963</c:v>
                </c:pt>
                <c:pt idx="11">
                  <c:v>7/1/1968</c:v>
                </c:pt>
                <c:pt idx="12">
                  <c:v>1/1/1970</c:v>
                </c:pt>
                <c:pt idx="13">
                  <c:v>11/1/1970</c:v>
                </c:pt>
                <c:pt idx="14">
                  <c:v>12/1/1971</c:v>
                </c:pt>
                <c:pt idx="15">
                  <c:v>1/5/1973</c:v>
                </c:pt>
                <c:pt idx="16">
                  <c:v>1/1/1975</c:v>
                </c:pt>
                <c:pt idx="17">
                  <c:v>10/31/1975</c:v>
                </c:pt>
                <c:pt idx="18">
                  <c:v>11/16/1979</c:v>
                </c:pt>
                <c:pt idx="19">
                  <c:v>1/1/1982</c:v>
                </c:pt>
                <c:pt idx="20">
                  <c:v>5/16/1982</c:v>
                </c:pt>
                <c:pt idx="21">
                  <c:v>1/6/1983</c:v>
                </c:pt>
                <c:pt idx="22">
                  <c:v>1/1/1984</c:v>
                </c:pt>
                <c:pt idx="23">
                  <c:v>10/19/1984</c:v>
                </c:pt>
                <c:pt idx="24">
                  <c:v>11/25/1984</c:v>
                </c:pt>
                <c:pt idx="25">
                  <c:v>2/17/1985</c:v>
                </c:pt>
                <c:pt idx="26">
                  <c:v>9/16/1985</c:v>
                </c:pt>
                <c:pt idx="27">
                  <c:v>1/1/1986</c:v>
                </c:pt>
                <c:pt idx="28">
                  <c:v>3/3/1986</c:v>
                </c:pt>
                <c:pt idx="29">
                  <c:v>1/1/1987</c:v>
                </c:pt>
                <c:pt idx="30">
                  <c:v>9/10/1991</c:v>
                </c:pt>
                <c:pt idx="31">
                  <c:v>9/24/1991</c:v>
                </c:pt>
                <c:pt idx="32">
                  <c:v>9/21/1992</c:v>
                </c:pt>
                <c:pt idx="33">
                  <c:v>10/28/1994</c:v>
                </c:pt>
                <c:pt idx="34">
                  <c:v>7/11/1995</c:v>
                </c:pt>
                <c:pt idx="35">
                  <c:v>12/28/1995</c:v>
                </c:pt>
                <c:pt idx="36">
                  <c:v>11/24/1996</c:v>
                </c:pt>
                <c:pt idx="37">
                  <c:v>1/1/1997</c:v>
                </c:pt>
                <c:pt idx="38">
                  <c:v>3/31/1998</c:v>
                </c:pt>
                <c:pt idx="39">
                  <c:v>1/1/1999</c:v>
                </c:pt>
                <c:pt idx="40">
                  <c:v>11/21/1999</c:v>
                </c:pt>
                <c:pt idx="41">
                  <c:v>1/1/2000</c:v>
                </c:pt>
                <c:pt idx="42">
                  <c:v>7/10/2000</c:v>
                </c:pt>
                <c:pt idx="43">
                  <c:v>10/24/2000</c:v>
                </c:pt>
                <c:pt idx="44">
                  <c:v>11/7/2000</c:v>
                </c:pt>
                <c:pt idx="45">
                  <c:v>1/1/2002</c:v>
                </c:pt>
                <c:pt idx="46">
                  <c:v>5/26/2002</c:v>
                </c:pt>
                <c:pt idx="47">
                  <c:v>8/5/2002</c:v>
                </c:pt>
                <c:pt idx="48">
                  <c:v>3/24/2003</c:v>
                </c:pt>
                <c:pt idx="49">
                  <c:v>9/23/2003</c:v>
                </c:pt>
                <c:pt idx="50">
                  <c:v>1/1/2004</c:v>
                </c:pt>
                <c:pt idx="51">
                  <c:v>5/4/2004</c:v>
                </c:pt>
                <c:pt idx="52">
                  <c:v>7/13/2004</c:v>
                </c:pt>
                <c:pt idx="53">
                  <c:v>9/20/2005</c:v>
                </c:pt>
                <c:pt idx="54">
                  <c:v>4/20/2007</c:v>
                </c:pt>
                <c:pt idx="55">
                  <c:v>1/1/2008</c:v>
                </c:pt>
                <c:pt idx="56">
                  <c:v>1/1/2010</c:v>
                </c:pt>
                <c:pt idx="57">
                  <c:v>5/25/2010</c:v>
                </c:pt>
                <c:pt idx="58">
                  <c:v>7/20/2010</c:v>
                </c:pt>
                <c:pt idx="59">
                  <c:v>10/4/2010</c:v>
                </c:pt>
                <c:pt idx="60">
                  <c:v>11/29/2010</c:v>
                </c:pt>
                <c:pt idx="61">
                  <c:v>1/1/2011</c:v>
                </c:pt>
                <c:pt idx="62">
                  <c:v>8/16/2011</c:v>
                </c:pt>
                <c:pt idx="63">
                  <c:v>10/14/2011</c:v>
                </c:pt>
                <c:pt idx="64">
                  <c:v>1/1/2012</c:v>
                </c:pt>
                <c:pt idx="65">
                  <c:v>5/14/2012</c:v>
                </c:pt>
                <c:pt idx="66">
                  <c:v>6/20/2012</c:v>
                </c:pt>
                <c:pt idx="67">
                  <c:v>10/15/2012</c:v>
                </c:pt>
                <c:pt idx="68">
                  <c:v>12/5/2012</c:v>
                </c:pt>
                <c:pt idx="69">
                  <c:v>1/1/2013</c:v>
                </c:pt>
                <c:pt idx="70">
                  <c:v>7/16/2013</c:v>
                </c:pt>
                <c:pt idx="71">
                  <c:v>8/1/2013</c:v>
                </c:pt>
                <c:pt idx="72">
                  <c:v>8/16/2013</c:v>
                </c:pt>
                <c:pt idx="73">
                  <c:v>9/13/2013</c:v>
                </c:pt>
                <c:pt idx="74">
                  <c:v>10/25/2013</c:v>
                </c:pt>
                <c:pt idx="75">
                  <c:v>12/13/2013</c:v>
                </c:pt>
                <c:pt idx="76">
                  <c:v>1/1/2014</c:v>
                </c:pt>
                <c:pt idx="77">
                  <c:v>6/5/2014</c:v>
                </c:pt>
                <c:pt idx="78">
                  <c:v>6/20/2014</c:v>
                </c:pt>
                <c:pt idx="79">
                  <c:v>8/8/2014</c:v>
                </c:pt>
                <c:pt idx="80">
                  <c:v>11/17/2014</c:v>
                </c:pt>
                <c:pt idx="81">
                  <c:v>11/28/2014</c:v>
                </c:pt>
                <c:pt idx="82">
                  <c:v>12/9/2014</c:v>
                </c:pt>
                <c:pt idx="83">
                  <c:v>1/1/2015</c:v>
                </c:pt>
                <c:pt idx="84">
                  <c:v>1/11/2015</c:v>
                </c:pt>
                <c:pt idx="85">
                  <c:v>2/2/2015</c:v>
                </c:pt>
                <c:pt idx="86">
                  <c:v>4/22/2015</c:v>
                </c:pt>
                <c:pt idx="87">
                  <c:v>5/10/2015</c:v>
                </c:pt>
                <c:pt idx="88">
                  <c:v>5/27/2015</c:v>
                </c:pt>
                <c:pt idx="89">
                  <c:v>6/22/2015</c:v>
                </c:pt>
                <c:pt idx="90">
                  <c:v>7/24/2015</c:v>
                </c:pt>
                <c:pt idx="91">
                  <c:v>10/30/2015</c:v>
                </c:pt>
                <c:pt idx="92">
                  <c:v>11/9/2015</c:v>
                </c:pt>
                <c:pt idx="93">
                  <c:v>1/15/2016</c:v>
                </c:pt>
                <c:pt idx="94">
                  <c:v>1/21/2016</c:v>
                </c:pt>
                <c:pt idx="95">
                  <c:v>4/4/2016</c:v>
                </c:pt>
                <c:pt idx="96">
                  <c:v>4/20/2016</c:v>
                </c:pt>
                <c:pt idx="97">
                  <c:v>5/31/2016</c:v>
                </c:pt>
                <c:pt idx="98">
                  <c:v>6/23/2016</c:v>
                </c:pt>
                <c:pt idx="99">
                  <c:v>8/5/2016</c:v>
                </c:pt>
                <c:pt idx="100">
                  <c:v>8/20/2016</c:v>
                </c:pt>
                <c:pt idx="101">
                  <c:v>9/9/2016</c:v>
                </c:pt>
                <c:pt idx="102">
                  <c:v>9/21/2016</c:v>
                </c:pt>
                <c:pt idx="103">
                  <c:v>9/23/2016</c:v>
                </c:pt>
                <c:pt idx="104">
                  <c:v>9/27/2016</c:v>
                </c:pt>
                <c:pt idx="105">
                  <c:v>11/4/2016</c:v>
                </c:pt>
                <c:pt idx="106">
                  <c:v>11/10/2016</c:v>
                </c:pt>
                <c:pt idx="107">
                  <c:v>11/18/2016</c:v>
                </c:pt>
                <c:pt idx="108">
                  <c:v>11/24/2016</c:v>
                </c:pt>
                <c:pt idx="109">
                  <c:v>11/25/2016</c:v>
                </c:pt>
                <c:pt idx="110">
                  <c:v>1/1/2017</c:v>
                </c:pt>
                <c:pt idx="111">
                  <c:v>1/6/2017</c:v>
                </c:pt>
                <c:pt idx="112">
                  <c:v>1/31/2017</c:v>
                </c:pt>
                <c:pt idx="113">
                  <c:v>2/20/2017</c:v>
                </c:pt>
                <c:pt idx="114">
                  <c:v>2/22/2017</c:v>
                </c:pt>
                <c:pt idx="115">
                  <c:v>3/21/2017</c:v>
                </c:pt>
                <c:pt idx="116">
                  <c:v>3/30/2017</c:v>
                </c:pt>
                <c:pt idx="117">
                  <c:v>4/28/2017</c:v>
                </c:pt>
                <c:pt idx="118">
                  <c:v>6/2/2017</c:v>
                </c:pt>
                <c:pt idx="119">
                  <c:v>6/15/2017</c:v>
                </c:pt>
                <c:pt idx="120">
                  <c:v>6/23/2017</c:v>
                </c:pt>
                <c:pt idx="121">
                  <c:v>7/21/2017</c:v>
                </c:pt>
                <c:pt idx="122">
                  <c:v>8/11/2017</c:v>
                </c:pt>
                <c:pt idx="123">
                  <c:v>8/25/2017</c:v>
                </c:pt>
                <c:pt idx="124">
                  <c:v>10/4/2017</c:v>
                </c:pt>
                <c:pt idx="125">
                  <c:v>10/20/2017</c:v>
                </c:pt>
                <c:pt idx="126">
                  <c:v>11/8/2017</c:v>
                </c:pt>
                <c:pt idx="127">
                  <c:v>11/10/2017</c:v>
                </c:pt>
                <c:pt idx="128">
                  <c:v>12/8/2017</c:v>
                </c:pt>
                <c:pt idx="129">
                  <c:v>3/9/2018</c:v>
                </c:pt>
                <c:pt idx="130">
                  <c:v>3/16/2018</c:v>
                </c:pt>
                <c:pt idx="131">
                  <c:v>3/29/2018</c:v>
                </c:pt>
                <c:pt idx="132">
                  <c:v>5/25/2018</c:v>
                </c:pt>
                <c:pt idx="133">
                  <c:v>9/12/2018</c:v>
                </c:pt>
                <c:pt idx="134">
                  <c:v>9/27/2018</c:v>
                </c:pt>
                <c:pt idx="135">
                  <c:v>10/9/2018</c:v>
                </c:pt>
                <c:pt idx="136">
                  <c:v>11/8/2018</c:v>
                </c:pt>
                <c:pt idx="137">
                  <c:v>11/21/2018</c:v>
                </c:pt>
                <c:pt idx="138">
                  <c:v>1/1/2019</c:v>
                </c:pt>
                <c:pt idx="139">
                  <c:v>1/11/2019</c:v>
                </c:pt>
                <c:pt idx="140">
                  <c:v>3/7/2019</c:v>
                </c:pt>
                <c:pt idx="141">
                  <c:v>4/12/2019</c:v>
                </c:pt>
                <c:pt idx="142">
                  <c:v>5/10/2019</c:v>
                </c:pt>
                <c:pt idx="143">
                  <c:v>5/16/2019</c:v>
                </c:pt>
                <c:pt idx="144">
                  <c:v>5/31/2019</c:v>
                </c:pt>
                <c:pt idx="145">
                  <c:v>6/19/2019</c:v>
                </c:pt>
                <c:pt idx="146">
                  <c:v>6/21/2019</c:v>
                </c:pt>
                <c:pt idx="147">
                  <c:v>6/28/2019</c:v>
                </c:pt>
                <c:pt idx="148">
                  <c:v>7/26/2019</c:v>
                </c:pt>
                <c:pt idx="149">
                  <c:v>8/4/2019</c:v>
                </c:pt>
                <c:pt idx="150">
                  <c:v>8/23/2019</c:v>
                </c:pt>
                <c:pt idx="151">
                  <c:v>8/30/2019</c:v>
                </c:pt>
                <c:pt idx="152">
                  <c:v>9/13/2019</c:v>
                </c:pt>
                <c:pt idx="153">
                  <c:v>9/20/2019</c:v>
                </c:pt>
                <c:pt idx="154">
                  <c:v>10/4/2019</c:v>
                </c:pt>
                <c:pt idx="155">
                  <c:v>10/18/2019</c:v>
                </c:pt>
                <c:pt idx="156">
                  <c:v>10/31/2019</c:v>
                </c:pt>
                <c:pt idx="157">
                  <c:v>11/1/2019</c:v>
                </c:pt>
                <c:pt idx="158">
                  <c:v>11/7/2019</c:v>
                </c:pt>
                <c:pt idx="159">
                  <c:v>11/17/2019</c:v>
                </c:pt>
                <c:pt idx="160">
                  <c:v>11/29/2019</c:v>
                </c:pt>
                <c:pt idx="161">
                  <c:v>12/6/2019</c:v>
                </c:pt>
                <c:pt idx="162">
                  <c:v>12/13/2019</c:v>
                </c:pt>
                <c:pt idx="163">
                  <c:v>1/1/2020</c:v>
                </c:pt>
                <c:pt idx="164">
                  <c:v>1/10/2020</c:v>
                </c:pt>
                <c:pt idx="165">
                  <c:v>1/16/2020</c:v>
                </c:pt>
                <c:pt idx="166">
                  <c:v>2/10/2020</c:v>
                </c:pt>
                <c:pt idx="167">
                  <c:v>2/19/2020</c:v>
                </c:pt>
                <c:pt idx="168">
                  <c:v>2/21/2020</c:v>
                </c:pt>
                <c:pt idx="169">
                  <c:v>2/29/2020</c:v>
                </c:pt>
                <c:pt idx="170">
                  <c:v>3/13/2020</c:v>
                </c:pt>
                <c:pt idx="171">
                  <c:v>3/20/2020</c:v>
                </c:pt>
                <c:pt idx="172">
                  <c:v>3/27/2020</c:v>
                </c:pt>
                <c:pt idx="173">
                  <c:v>4/17/2020</c:v>
                </c:pt>
                <c:pt idx="174">
                  <c:v>5/20/2020</c:v>
                </c:pt>
                <c:pt idx="175">
                  <c:v>6/5/2020</c:v>
                </c:pt>
                <c:pt idx="176">
                  <c:v>6/28/2020</c:v>
                </c:pt>
                <c:pt idx="177">
                  <c:v>7/17/2020</c:v>
                </c:pt>
                <c:pt idx="178">
                  <c:v>7/24/2020</c:v>
                </c:pt>
                <c:pt idx="179">
                  <c:v>8/21/2020</c:v>
                </c:pt>
                <c:pt idx="180">
                  <c:v>9/3/2020</c:v>
                </c:pt>
                <c:pt idx="181">
                  <c:v>9/18/2020</c:v>
                </c:pt>
                <c:pt idx="182">
                  <c:v>9/21/2020</c:v>
                </c:pt>
                <c:pt idx="183">
                  <c:v>10/8/2020</c:v>
                </c:pt>
                <c:pt idx="184">
                  <c:v>10/23/2020</c:v>
                </c:pt>
                <c:pt idx="185">
                  <c:v>10/30/2020</c:v>
                </c:pt>
                <c:pt idx="186">
                  <c:v>11/2/2020</c:v>
                </c:pt>
                <c:pt idx="187">
                  <c:v>11/27/2020</c:v>
                </c:pt>
                <c:pt idx="188">
                  <c:v>12/18/2020</c:v>
                </c:pt>
                <c:pt idx="189">
                  <c:v>12/24/2020</c:v>
                </c:pt>
                <c:pt idx="190">
                  <c:v>12/25/2020</c:v>
                </c:pt>
                <c:pt idx="191">
                  <c:v>1/8/2021</c:v>
                </c:pt>
                <c:pt idx="192">
                  <c:v>1/15/2021</c:v>
                </c:pt>
                <c:pt idx="193">
                  <c:v>1/28/2021</c:v>
                </c:pt>
                <c:pt idx="194">
                  <c:v>3/5/2021</c:v>
                </c:pt>
                <c:pt idx="195">
                  <c:v>3/11/2021</c:v>
                </c:pt>
                <c:pt idx="196">
                  <c:v>3/19/2021</c:v>
                </c:pt>
                <c:pt idx="197">
                  <c:v>4/1/2021</c:v>
                </c:pt>
                <c:pt idx="198">
                  <c:v>4/9/2021</c:v>
                </c:pt>
                <c:pt idx="199">
                  <c:v>4/14/2021</c:v>
                </c:pt>
                <c:pt idx="200">
                  <c:v>4/28/2021</c:v>
                </c:pt>
                <c:pt idx="201">
                  <c:v>4/29/2021</c:v>
                </c:pt>
                <c:pt idx="202">
                  <c:v>4/30/2021</c:v>
                </c:pt>
                <c:pt idx="203">
                  <c:v>5/7/2021</c:v>
                </c:pt>
                <c:pt idx="204">
                  <c:v>5/14/2021</c:v>
                </c:pt>
                <c:pt idx="205">
                  <c:v>5/15/2021</c:v>
                </c:pt>
                <c:pt idx="206">
                  <c:v>5/21/2021</c:v>
                </c:pt>
                <c:pt idx="207">
                  <c:v>6/4/2021</c:v>
                </c:pt>
                <c:pt idx="208">
                  <c:v>6/11/2021</c:v>
                </c:pt>
                <c:pt idx="209">
                  <c:v>6/24/2021</c:v>
                </c:pt>
                <c:pt idx="210">
                  <c:v>6/25/2021</c:v>
                </c:pt>
                <c:pt idx="211">
                  <c:v>7/8/2021</c:v>
                </c:pt>
                <c:pt idx="212">
                  <c:v>7/9/2021</c:v>
                </c:pt>
                <c:pt idx="213">
                  <c:v>7/23/2021</c:v>
                </c:pt>
                <c:pt idx="214">
                  <c:v>7/28/2021</c:v>
                </c:pt>
                <c:pt idx="215">
                  <c:v>7/30/2021</c:v>
                </c:pt>
                <c:pt idx="216">
                  <c:v>8/1/2021</c:v>
                </c:pt>
                <c:pt idx="217">
                  <c:v>8/3/2021</c:v>
                </c:pt>
                <c:pt idx="218">
                  <c:v>8/6/2021</c:v>
                </c:pt>
                <c:pt idx="219">
                  <c:v>8/9/2021</c:v>
                </c:pt>
                <c:pt idx="220">
                  <c:v>8/10/2021</c:v>
                </c:pt>
                <c:pt idx="221">
                  <c:v>8/12/2021</c:v>
                </c:pt>
                <c:pt idx="222">
                  <c:v>8/13/2021</c:v>
                </c:pt>
                <c:pt idx="223">
                  <c:v>8/20/2021</c:v>
                </c:pt>
                <c:pt idx="224">
                  <c:v>8/27/2021</c:v>
                </c:pt>
                <c:pt idx="225">
                  <c:v>8/29/2021</c:v>
                </c:pt>
                <c:pt idx="226">
                  <c:v>9/1/2021</c:v>
                </c:pt>
                <c:pt idx="227">
                  <c:v>9/2/2021</c:v>
                </c:pt>
                <c:pt idx="228">
                  <c:v>9/3/2021</c:v>
                </c:pt>
                <c:pt idx="229">
                  <c:v>9/8/2021</c:v>
                </c:pt>
                <c:pt idx="230">
                  <c:v>9/9/2021</c:v>
                </c:pt>
                <c:pt idx="231">
                  <c:v>9/10/2021</c:v>
                </c:pt>
                <c:pt idx="232">
                  <c:v>9/16/2021</c:v>
                </c:pt>
                <c:pt idx="233">
                  <c:v>9/17/2021</c:v>
                </c:pt>
                <c:pt idx="234">
                  <c:v>9/24/2021</c:v>
                </c:pt>
                <c:pt idx="235">
                  <c:v>10/1/2021</c:v>
                </c:pt>
                <c:pt idx="236">
                  <c:v>10/5/2021</c:v>
                </c:pt>
                <c:pt idx="237">
                  <c:v>10/14/2021</c:v>
                </c:pt>
                <c:pt idx="238">
                  <c:v>10/21/2021</c:v>
                </c:pt>
                <c:pt idx="239">
                  <c:v>10/22/2021</c:v>
                </c:pt>
                <c:pt idx="240">
                  <c:v>10/27/2021</c:v>
                </c:pt>
                <c:pt idx="241">
                  <c:v>10/30/2021</c:v>
                </c:pt>
                <c:pt idx="242">
                  <c:v>11/4/2021</c:v>
                </c:pt>
                <c:pt idx="243">
                  <c:v>11/5/2021</c:v>
                </c:pt>
                <c:pt idx="244">
                  <c:v>11/11/2021</c:v>
                </c:pt>
                <c:pt idx="245">
                  <c:v>11/12/2021</c:v>
                </c:pt>
                <c:pt idx="246">
                  <c:v>11/17/2021</c:v>
                </c:pt>
                <c:pt idx="247">
                  <c:v>11/18/2021</c:v>
                </c:pt>
                <c:pt idx="248">
                  <c:v>11/19/2021</c:v>
                </c:pt>
                <c:pt idx="249">
                  <c:v>11/25/2021</c:v>
                </c:pt>
                <c:pt idx="250">
                  <c:v>11/30/2021</c:v>
                </c:pt>
                <c:pt idx="251">
                  <c:v>12/1/2021</c:v>
                </c:pt>
                <c:pt idx="252">
                  <c:v>12/3/2021</c:v>
                </c:pt>
                <c:pt idx="253">
                  <c:v>12/10/2021</c:v>
                </c:pt>
                <c:pt idx="254">
                  <c:v>12/17/2021</c:v>
                </c:pt>
                <c:pt idx="255">
                  <c:v>12/23/2021</c:v>
                </c:pt>
                <c:pt idx="256">
                  <c:v>12/24/2021</c:v>
                </c:pt>
                <c:pt idx="257">
                  <c:v>12/29/2021</c:v>
                </c:pt>
                <c:pt idx="258">
                  <c:v>1/5/2022</c:v>
                </c:pt>
                <c:pt idx="259">
                  <c:v>1/7/2022</c:v>
                </c:pt>
                <c:pt idx="260">
                  <c:v>1/9/2022</c:v>
                </c:pt>
                <c:pt idx="261">
                  <c:v>1/10/2022</c:v>
                </c:pt>
                <c:pt idx="262">
                  <c:v>1/14/2022</c:v>
                </c:pt>
                <c:pt idx="263">
                  <c:v>1/15/2022</c:v>
                </c:pt>
                <c:pt idx="264">
                  <c:v>1/17/2022</c:v>
                </c:pt>
                <c:pt idx="265">
                  <c:v>1/19/2022</c:v>
                </c:pt>
                <c:pt idx="266">
                  <c:v>1/20/2022</c:v>
                </c:pt>
                <c:pt idx="267">
                  <c:v>1/21/2022</c:v>
                </c:pt>
                <c:pt idx="268">
                  <c:v>1/26/2022</c:v>
                </c:pt>
                <c:pt idx="269">
                  <c:v>1/28/2022</c:v>
                </c:pt>
                <c:pt idx="270">
                  <c:v>1/30/2022</c:v>
                </c:pt>
                <c:pt idx="271">
                  <c:v>2/1/2022</c:v>
                </c:pt>
                <c:pt idx="272">
                  <c:v>2/2/2022</c:v>
                </c:pt>
                <c:pt idx="273">
                  <c:v>2/4/2022</c:v>
                </c:pt>
                <c:pt idx="274">
                  <c:v>2/6/2022</c:v>
                </c:pt>
                <c:pt idx="275">
                  <c:v>2/9/2022</c:v>
                </c:pt>
                <c:pt idx="276">
                  <c:v>2/10/2022</c:v>
                </c:pt>
                <c:pt idx="277">
                  <c:v>2/11/2022</c:v>
                </c:pt>
                <c:pt idx="278">
                  <c:v>2/14/2022</c:v>
                </c:pt>
                <c:pt idx="279">
                  <c:v>2/15/2022</c:v>
                </c:pt>
                <c:pt idx="280">
                  <c:v>2/17/2022</c:v>
                </c:pt>
                <c:pt idx="281">
                  <c:v>2/18/2022</c:v>
                </c:pt>
                <c:pt idx="282">
                  <c:v>2/22/2022</c:v>
                </c:pt>
                <c:pt idx="283">
                  <c:v>2/25/2022</c:v>
                </c:pt>
                <c:pt idx="284">
                  <c:v>3/3/2022</c:v>
                </c:pt>
                <c:pt idx="285">
                  <c:v>3/4/2022</c:v>
                </c:pt>
                <c:pt idx="286">
                  <c:v>3/10/2022</c:v>
                </c:pt>
                <c:pt idx="287">
                  <c:v>3/11/2022</c:v>
                </c:pt>
                <c:pt idx="288">
                  <c:v>3/14/2022</c:v>
                </c:pt>
                <c:pt idx="289">
                  <c:v>3/17/2022</c:v>
                </c:pt>
                <c:pt idx="290">
                  <c:v>3/18/2022</c:v>
                </c:pt>
                <c:pt idx="291">
                  <c:v>3/19/2022</c:v>
                </c:pt>
                <c:pt idx="292">
                  <c:v>3/23/2022</c:v>
                </c:pt>
                <c:pt idx="293">
                  <c:v>3/24/2022</c:v>
                </c:pt>
                <c:pt idx="294">
                  <c:v>3/25/2022</c:v>
                </c:pt>
                <c:pt idx="295">
                  <c:v>3/30/2022</c:v>
                </c:pt>
                <c:pt idx="296">
                  <c:v>3/31/2022</c:v>
                </c:pt>
                <c:pt idx="297">
                  <c:v>4/1/2022</c:v>
                </c:pt>
                <c:pt idx="298">
                  <c:v>4/5/2022</c:v>
                </c:pt>
                <c:pt idx="299">
                  <c:v>4/6/2022</c:v>
                </c:pt>
                <c:pt idx="300">
                  <c:v>4/7/2022</c:v>
                </c:pt>
                <c:pt idx="301">
                  <c:v>4/8/2022</c:v>
                </c:pt>
                <c:pt idx="302">
                  <c:v>4/13/2022</c:v>
                </c:pt>
                <c:pt idx="303">
                  <c:v>4/14/2022</c:v>
                </c:pt>
                <c:pt idx="304">
                  <c:v>4/20/2022</c:v>
                </c:pt>
                <c:pt idx="305">
                  <c:v>4/21/2022</c:v>
                </c:pt>
                <c:pt idx="306">
                  <c:v>4/22/2022</c:v>
                </c:pt>
                <c:pt idx="307">
                  <c:v>4/24/2022</c:v>
                </c:pt>
                <c:pt idx="308">
                  <c:v>4/25/2022</c:v>
                </c:pt>
                <c:pt idx="309">
                  <c:v>4/27/2022</c:v>
                </c:pt>
                <c:pt idx="310">
                  <c:v>4/28/2022</c:v>
                </c:pt>
                <c:pt idx="311">
                  <c:v>4/29/2022</c:v>
                </c:pt>
                <c:pt idx="312">
                  <c:v>5/2/2022</c:v>
                </c:pt>
                <c:pt idx="313">
                  <c:v>5/3/2022</c:v>
                </c:pt>
                <c:pt idx="314">
                  <c:v>5/6/2022</c:v>
                </c:pt>
                <c:pt idx="315">
                  <c:v>5/8/2022</c:v>
                </c:pt>
                <c:pt idx="316">
                  <c:v>5/12/2022</c:v>
                </c:pt>
                <c:pt idx="317">
                  <c:v>5/13/2022</c:v>
                </c:pt>
                <c:pt idx="318">
                  <c:v>5/20/2022</c:v>
                </c:pt>
                <c:pt idx="319">
                  <c:v>5/25/2022</c:v>
                </c:pt>
                <c:pt idx="320">
                  <c:v>5/26/2022</c:v>
                </c:pt>
                <c:pt idx="321">
                  <c:v>5/27/2022</c:v>
                </c:pt>
                <c:pt idx="322">
                  <c:v>5/31/2022</c:v>
                </c:pt>
                <c:pt idx="323">
                  <c:v>6/2/2022</c:v>
                </c:pt>
                <c:pt idx="324">
                  <c:v>6/3/2022</c:v>
                </c:pt>
                <c:pt idx="325">
                  <c:v>6/8/2022</c:v>
                </c:pt>
                <c:pt idx="326">
                  <c:v>6/9/2022</c:v>
                </c:pt>
                <c:pt idx="327">
                  <c:v>6/10/2022</c:v>
                </c:pt>
                <c:pt idx="328">
                  <c:v>6/15/2022</c:v>
                </c:pt>
                <c:pt idx="329">
                  <c:v>6/16/2022</c:v>
                </c:pt>
                <c:pt idx="330">
                  <c:v>6/17/2022</c:v>
                </c:pt>
                <c:pt idx="331">
                  <c:v>6/21/2022</c:v>
                </c:pt>
                <c:pt idx="332">
                  <c:v>6/23/2022</c:v>
                </c:pt>
                <c:pt idx="333">
                  <c:v>6/24/2022</c:v>
                </c:pt>
                <c:pt idx="334">
                  <c:v>6/29/2022</c:v>
                </c:pt>
                <c:pt idx="335">
                  <c:v>7/1/2022</c:v>
                </c:pt>
                <c:pt idx="336">
                  <c:v>7/6/2022</c:v>
                </c:pt>
                <c:pt idx="337">
                  <c:v>7/8/2022</c:v>
                </c:pt>
                <c:pt idx="338">
                  <c:v>7/12/2022</c:v>
                </c:pt>
                <c:pt idx="339">
                  <c:v>7/14/2022</c:v>
                </c:pt>
                <c:pt idx="340">
                  <c:v>7/15/2022</c:v>
                </c:pt>
                <c:pt idx="341">
                  <c:v>7/17/2022</c:v>
                </c:pt>
                <c:pt idx="342">
                  <c:v>7/20/2022</c:v>
                </c:pt>
                <c:pt idx="343">
                  <c:v>7/21/2022</c:v>
                </c:pt>
                <c:pt idx="344">
                  <c:v>7/22/2022</c:v>
                </c:pt>
                <c:pt idx="345">
                  <c:v>7/25/2022</c:v>
                </c:pt>
                <c:pt idx="346">
                  <c:v>7/28/2022</c:v>
                </c:pt>
                <c:pt idx="347">
                  <c:v>7/29/2022</c:v>
                </c:pt>
                <c:pt idx="348">
                  <c:v>8/1/2022</c:v>
                </c:pt>
                <c:pt idx="349">
                  <c:v>8/4/2022</c:v>
                </c:pt>
                <c:pt idx="350">
                  <c:v>8/5/2022</c:v>
                </c:pt>
                <c:pt idx="351">
                  <c:v>8/11/2022</c:v>
                </c:pt>
                <c:pt idx="352">
                  <c:v>8/12/2022</c:v>
                </c:pt>
                <c:pt idx="353">
                  <c:v>8/15/2022</c:v>
                </c:pt>
                <c:pt idx="354">
                  <c:v>8/16/2022</c:v>
                </c:pt>
                <c:pt idx="355">
                  <c:v>8/18/2022</c:v>
                </c:pt>
                <c:pt idx="356">
                  <c:v>8/19/2022</c:v>
                </c:pt>
                <c:pt idx="357">
                  <c:v>8/22/2022</c:v>
                </c:pt>
                <c:pt idx="358">
                  <c:v>8/25/2022</c:v>
                </c:pt>
                <c:pt idx="359">
                  <c:v>8/26/2022</c:v>
                </c:pt>
                <c:pt idx="360">
                  <c:v>9/2/2022</c:v>
                </c:pt>
                <c:pt idx="361">
                  <c:v>9/8/2022</c:v>
                </c:pt>
                <c:pt idx="362">
                  <c:v>9/9/2022</c:v>
                </c:pt>
                <c:pt idx="363">
                  <c:v>9/13/2022</c:v>
                </c:pt>
                <c:pt idx="364">
                  <c:v>9/14/2022</c:v>
                </c:pt>
                <c:pt idx="365">
                  <c:v>9/16/2022</c:v>
                </c:pt>
                <c:pt idx="366">
                  <c:v>9/22/2022</c:v>
                </c:pt>
                <c:pt idx="367">
                  <c:v>9/28/2022</c:v>
                </c:pt>
                <c:pt idx="368">
                  <c:v>9/29/2022</c:v>
                </c:pt>
                <c:pt idx="369">
                  <c:v>10/3/2022</c:v>
                </c:pt>
                <c:pt idx="370">
                  <c:v>10/6/2022</c:v>
                </c:pt>
                <c:pt idx="371">
                  <c:v>10/7/2022</c:v>
                </c:pt>
                <c:pt idx="372">
                  <c:v>10/12/2022</c:v>
                </c:pt>
                <c:pt idx="373">
                  <c:v>10/14/2022</c:v>
                </c:pt>
                <c:pt idx="374">
                  <c:v>10/17/2022</c:v>
                </c:pt>
                <c:pt idx="375">
                  <c:v>10/19/2022</c:v>
                </c:pt>
                <c:pt idx="376">
                  <c:v>10/20/2022</c:v>
                </c:pt>
                <c:pt idx="377">
                  <c:v>10/21/2022</c:v>
                </c:pt>
                <c:pt idx="378">
                  <c:v>10/26/2022</c:v>
                </c:pt>
                <c:pt idx="379">
                  <c:v>10/28/2022</c:v>
                </c:pt>
                <c:pt idx="380">
                  <c:v>10/31/2022</c:v>
                </c:pt>
                <c:pt idx="381">
                  <c:v>11/1/2022</c:v>
                </c:pt>
                <c:pt idx="382">
                  <c:v>11/3/2022</c:v>
                </c:pt>
                <c:pt idx="383">
                  <c:v>11/4/2022</c:v>
                </c:pt>
                <c:pt idx="384">
                  <c:v>11/5/2022</c:v>
                </c:pt>
                <c:pt idx="385">
                  <c:v>11/13/2022</c:v>
                </c:pt>
                <c:pt idx="386">
                  <c:v>11/20/2022</c:v>
                </c:pt>
                <c:pt idx="387">
                  <c:v>11/24/2022</c:v>
                </c:pt>
                <c:pt idx="388">
                  <c:v>11/25/2022</c:v>
                </c:pt>
                <c:pt idx="389">
                  <c:v>11/30/2022</c:v>
                </c:pt>
                <c:pt idx="390">
                  <c:v>12/1/2022</c:v>
                </c:pt>
                <c:pt idx="391">
                  <c:v>12/2/2022</c:v>
                </c:pt>
                <c:pt idx="392">
                  <c:v>12/8/2022</c:v>
                </c:pt>
                <c:pt idx="393">
                  <c:v>12/9/2022</c:v>
                </c:pt>
                <c:pt idx="394">
                  <c:v>12/12/2022</c:v>
                </c:pt>
                <c:pt idx="395">
                  <c:v>12/15/2022</c:v>
                </c:pt>
                <c:pt idx="396">
                  <c:v>12/16/2022</c:v>
                </c:pt>
                <c:pt idx="397">
                  <c:v>12/19/2022</c:v>
                </c:pt>
                <c:pt idx="398">
                  <c:v>12/20/2022</c:v>
                </c:pt>
                <c:pt idx="399">
                  <c:v>12/22/2022</c:v>
                </c:pt>
                <c:pt idx="400">
                  <c:v>12/23/2022</c:v>
                </c:pt>
                <c:pt idx="401">
                  <c:v>12/24/2022</c:v>
                </c:pt>
                <c:pt idx="402">
                  <c:v>12/30/2022</c:v>
                </c:pt>
                <c:pt idx="403">
                  <c:v>1/2/2023</c:v>
                </c:pt>
                <c:pt idx="404">
                  <c:v>1/11/2023</c:v>
                </c:pt>
                <c:pt idx="405">
                  <c:v>1/12/2023</c:v>
                </c:pt>
                <c:pt idx="406">
                  <c:v>1/13/2023</c:v>
                </c:pt>
                <c:pt idx="407">
                  <c:v>1/20/2023</c:v>
                </c:pt>
                <c:pt idx="408">
                  <c:v>1/23/2023</c:v>
                </c:pt>
                <c:pt idx="409">
                  <c:v>1/27/2023</c:v>
                </c:pt>
                <c:pt idx="410">
                  <c:v>1/31/2023</c:v>
                </c:pt>
                <c:pt idx="411">
                  <c:v>2/2/2023</c:v>
                </c:pt>
                <c:pt idx="412">
                  <c:v>2/3/2023</c:v>
                </c:pt>
                <c:pt idx="413">
                  <c:v>2/5/2023</c:v>
                </c:pt>
                <c:pt idx="414">
                  <c:v>2/8/2023</c:v>
                </c:pt>
                <c:pt idx="415">
                  <c:v>2/10/2023</c:v>
                </c:pt>
                <c:pt idx="416">
                  <c:v>2/14/2023</c:v>
                </c:pt>
                <c:pt idx="417">
                  <c:v>2/17/2023</c:v>
                </c:pt>
                <c:pt idx="418">
                  <c:v>2/23/2023</c:v>
                </c:pt>
                <c:pt idx="419">
                  <c:v>2/24/2023</c:v>
                </c:pt>
                <c:pt idx="420">
                  <c:v>2/25/2023</c:v>
                </c:pt>
                <c:pt idx="421">
                  <c:v>3/1/2023</c:v>
                </c:pt>
                <c:pt idx="422">
                  <c:v>3/2/2023</c:v>
                </c:pt>
                <c:pt idx="423">
                  <c:v>3/3/2023</c:v>
                </c:pt>
                <c:pt idx="424">
                  <c:v>3/4/2023</c:v>
                </c:pt>
                <c:pt idx="425">
                  <c:v>3/10/2023</c:v>
                </c:pt>
                <c:pt idx="426">
                  <c:v>3/14/2023</c:v>
                </c:pt>
                <c:pt idx="427">
                  <c:v>3/16/2023</c:v>
                </c:pt>
                <c:pt idx="428">
                  <c:v>3/17/2023</c:v>
                </c:pt>
                <c:pt idx="429">
                  <c:v>3/22/2023</c:v>
                </c:pt>
                <c:pt idx="430">
                  <c:v>3/23/2023</c:v>
                </c:pt>
                <c:pt idx="431">
                  <c:v>3/24/2023</c:v>
                </c:pt>
                <c:pt idx="432">
                  <c:v>3/25/2023</c:v>
                </c:pt>
                <c:pt idx="433">
                  <c:v>3/27/2023</c:v>
                </c:pt>
                <c:pt idx="434">
                  <c:v>3/29/2023</c:v>
                </c:pt>
                <c:pt idx="435">
                  <c:v>3/30/2023</c:v>
                </c:pt>
                <c:pt idx="436">
                  <c:v>3/31/2023</c:v>
                </c:pt>
                <c:pt idx="437">
                  <c:v>4/4/2023</c:v>
                </c:pt>
                <c:pt idx="438">
                  <c:v>4/6/2023</c:v>
                </c:pt>
                <c:pt idx="439">
                  <c:v>4/7/2023</c:v>
                </c:pt>
                <c:pt idx="440">
                  <c:v>4/10/2023</c:v>
                </c:pt>
                <c:pt idx="441">
                  <c:v>4/12/2023</c:v>
                </c:pt>
                <c:pt idx="442">
                  <c:v>4/14/2023</c:v>
                </c:pt>
                <c:pt idx="443">
                  <c:v>4/17/2023</c:v>
                </c:pt>
                <c:pt idx="444">
                  <c:v>4/21/2023</c:v>
                </c:pt>
                <c:pt idx="445">
                  <c:v>4/24/2023</c:v>
                </c:pt>
                <c:pt idx="446">
                  <c:v>4/25/2023</c:v>
                </c:pt>
                <c:pt idx="447">
                  <c:v>4/27/2023</c:v>
                </c:pt>
                <c:pt idx="448">
                  <c:v>4/30/2023</c:v>
                </c:pt>
                <c:pt idx="449">
                  <c:v>5/1/2023</c:v>
                </c:pt>
                <c:pt idx="450">
                  <c:v>5/4/2023</c:v>
                </c:pt>
                <c:pt idx="451">
                  <c:v>5/5/2023</c:v>
                </c:pt>
                <c:pt idx="452">
                  <c:v>5/11/2023</c:v>
                </c:pt>
                <c:pt idx="453">
                  <c:v>5/12/2023</c:v>
                </c:pt>
                <c:pt idx="454">
                  <c:v>5/13/2023</c:v>
                </c:pt>
                <c:pt idx="455">
                  <c:v>5/15/2023</c:v>
                </c:pt>
                <c:pt idx="456">
                  <c:v>5/18/2023</c:v>
                </c:pt>
                <c:pt idx="457">
                  <c:v>5/19/2023</c:v>
                </c:pt>
                <c:pt idx="458">
                  <c:v>5/22/2023</c:v>
                </c:pt>
                <c:pt idx="459">
                  <c:v>5/25/2023</c:v>
                </c:pt>
                <c:pt idx="460">
                  <c:v>5/26/2023</c:v>
                </c:pt>
                <c:pt idx="461">
                  <c:v>5/31/2023</c:v>
                </c:pt>
                <c:pt idx="462">
                  <c:v>6/1/2023</c:v>
                </c:pt>
                <c:pt idx="463">
                  <c:v>6/2/2023</c:v>
                </c:pt>
                <c:pt idx="464">
                  <c:v>6/5/2023</c:v>
                </c:pt>
                <c:pt idx="465">
                  <c:v>6/8/2023</c:v>
                </c:pt>
                <c:pt idx="466">
                  <c:v>6/9/2023</c:v>
                </c:pt>
                <c:pt idx="467">
                  <c:v>6/15/2023</c:v>
                </c:pt>
                <c:pt idx="468">
                  <c:v>6/21/2023</c:v>
                </c:pt>
                <c:pt idx="469">
                  <c:v>6/22/2023</c:v>
                </c:pt>
                <c:pt idx="470">
                  <c:v>6/23/2023</c:v>
                </c:pt>
                <c:pt idx="471">
                  <c:v>6/28/2023</c:v>
                </c:pt>
                <c:pt idx="472">
                  <c:v>6/29/2023</c:v>
                </c:pt>
                <c:pt idx="473">
                  <c:v>6/30/2023</c:v>
                </c:pt>
                <c:pt idx="474">
                  <c:v>7/7/2023</c:v>
                </c:pt>
                <c:pt idx="475">
                  <c:v>7/13/2023</c:v>
                </c:pt>
                <c:pt idx="476">
                  <c:v>7/14/2023</c:v>
                </c:pt>
              </c:strCache>
            </c:strRef>
          </c:cat>
          <c:val>
            <c:numRef>
              <c:f>energy!$B$4:$B$481</c:f>
              <c:numCache>
                <c:formatCode>General</c:formatCode>
                <c:ptCount val="477"/>
                <c:pt idx="0">
                  <c:v>80</c:v>
                </c:pt>
                <c:pt idx="1">
                  <c:v>25</c:v>
                </c:pt>
                <c:pt idx="2">
                  <c:v>15</c:v>
                </c:pt>
                <c:pt idx="3">
                  <c:v>32</c:v>
                </c:pt>
                <c:pt idx="4">
                  <c:v>36</c:v>
                </c:pt>
                <c:pt idx="5">
                  <c:v>35.5</c:v>
                </c:pt>
                <c:pt idx="6">
                  <c:v>48</c:v>
                </c:pt>
                <c:pt idx="7">
                  <c:v>36</c:v>
                </c:pt>
                <c:pt idx="8">
                  <c:v>24</c:v>
                </c:pt>
                <c:pt idx="9">
                  <c:v>60</c:v>
                </c:pt>
                <c:pt idx="10">
                  <c:v>76.5</c:v>
                </c:pt>
                <c:pt idx="11">
                  <c:v>70</c:v>
                </c:pt>
                <c:pt idx="12">
                  <c:v>69</c:v>
                </c:pt>
                <c:pt idx="13">
                  <c:v>82</c:v>
                </c:pt>
                <c:pt idx="14">
                  <c:v>61</c:v>
                </c:pt>
                <c:pt idx="15">
                  <c:v>43</c:v>
                </c:pt>
                <c:pt idx="16">
                  <c:v>73</c:v>
                </c:pt>
                <c:pt idx="17">
                  <c:v>40</c:v>
                </c:pt>
                <c:pt idx="18">
                  <c:v>58</c:v>
                </c:pt>
                <c:pt idx="19">
                  <c:v>67</c:v>
                </c:pt>
                <c:pt idx="20">
                  <c:v>58</c:v>
                </c:pt>
                <c:pt idx="21">
                  <c:v>45</c:v>
                </c:pt>
                <c:pt idx="22">
                  <c:v>76</c:v>
                </c:pt>
                <c:pt idx="23">
                  <c:v>90</c:v>
                </c:pt>
                <c:pt idx="24">
                  <c:v>57</c:v>
                </c:pt>
                <c:pt idx="25">
                  <c:v>81</c:v>
                </c:pt>
                <c:pt idx="26">
                  <c:v>55</c:v>
                </c:pt>
                <c:pt idx="27">
                  <c:v>58</c:v>
                </c:pt>
                <c:pt idx="28">
                  <c:v>83</c:v>
                </c:pt>
                <c:pt idx="29">
                  <c:v>90</c:v>
                </c:pt>
                <c:pt idx="30">
                  <c:v>91</c:v>
                </c:pt>
                <c:pt idx="31">
                  <c:v>20</c:v>
                </c:pt>
                <c:pt idx="32">
                  <c:v>34</c:v>
                </c:pt>
                <c:pt idx="33">
                  <c:v>63</c:v>
                </c:pt>
                <c:pt idx="34">
                  <c:v>61</c:v>
                </c:pt>
                <c:pt idx="35">
                  <c:v>84</c:v>
                </c:pt>
                <c:pt idx="36">
                  <c:v>64</c:v>
                </c:pt>
                <c:pt idx="37">
                  <c:v>73</c:v>
                </c:pt>
                <c:pt idx="38">
                  <c:v>72</c:v>
                </c:pt>
                <c:pt idx="39">
                  <c:v>76.75</c:v>
                </c:pt>
                <c:pt idx="40">
                  <c:v>74</c:v>
                </c:pt>
                <c:pt idx="41">
                  <c:v>66</c:v>
                </c:pt>
                <c:pt idx="42">
                  <c:v>27</c:v>
                </c:pt>
                <c:pt idx="43">
                  <c:v>90</c:v>
                </c:pt>
                <c:pt idx="44">
                  <c:v>72</c:v>
                </c:pt>
                <c:pt idx="45">
                  <c:v>70</c:v>
                </c:pt>
                <c:pt idx="46">
                  <c:v>80.5</c:v>
                </c:pt>
                <c:pt idx="47">
                  <c:v>44</c:v>
                </c:pt>
                <c:pt idx="48">
                  <c:v>86</c:v>
                </c:pt>
                <c:pt idx="49">
                  <c:v>93</c:v>
                </c:pt>
                <c:pt idx="50">
                  <c:v>63</c:v>
                </c:pt>
                <c:pt idx="51">
                  <c:v>70</c:v>
                </c:pt>
                <c:pt idx="52">
                  <c:v>80</c:v>
                </c:pt>
                <c:pt idx="53">
                  <c:v>88</c:v>
                </c:pt>
                <c:pt idx="54">
                  <c:v>85</c:v>
                </c:pt>
                <c:pt idx="55">
                  <c:v>63.5</c:v>
                </c:pt>
                <c:pt idx="56">
                  <c:v>79.666666666666671</c:v>
                </c:pt>
                <c:pt idx="57">
                  <c:v>60</c:v>
                </c:pt>
                <c:pt idx="58">
                  <c:v>77</c:v>
                </c:pt>
                <c:pt idx="59">
                  <c:v>61</c:v>
                </c:pt>
                <c:pt idx="60">
                  <c:v>76</c:v>
                </c:pt>
                <c:pt idx="61">
                  <c:v>66.857142857142861</c:v>
                </c:pt>
                <c:pt idx="62">
                  <c:v>93</c:v>
                </c:pt>
                <c:pt idx="63">
                  <c:v>35</c:v>
                </c:pt>
                <c:pt idx="64">
                  <c:v>62.8</c:v>
                </c:pt>
                <c:pt idx="65">
                  <c:v>81</c:v>
                </c:pt>
                <c:pt idx="66">
                  <c:v>82</c:v>
                </c:pt>
                <c:pt idx="67">
                  <c:v>54</c:v>
                </c:pt>
                <c:pt idx="68">
                  <c:v>48.5</c:v>
                </c:pt>
                <c:pt idx="69">
                  <c:v>64.857142857142861</c:v>
                </c:pt>
                <c:pt idx="70">
                  <c:v>70</c:v>
                </c:pt>
                <c:pt idx="71">
                  <c:v>26</c:v>
                </c:pt>
                <c:pt idx="72">
                  <c:v>71</c:v>
                </c:pt>
                <c:pt idx="73">
                  <c:v>66</c:v>
                </c:pt>
                <c:pt idx="74">
                  <c:v>81</c:v>
                </c:pt>
                <c:pt idx="75">
                  <c:v>63</c:v>
                </c:pt>
                <c:pt idx="76">
                  <c:v>70.714285714285708</c:v>
                </c:pt>
                <c:pt idx="77">
                  <c:v>87</c:v>
                </c:pt>
                <c:pt idx="78">
                  <c:v>38</c:v>
                </c:pt>
                <c:pt idx="79">
                  <c:v>60</c:v>
                </c:pt>
                <c:pt idx="80">
                  <c:v>52</c:v>
                </c:pt>
                <c:pt idx="81">
                  <c:v>67</c:v>
                </c:pt>
                <c:pt idx="82">
                  <c:v>52</c:v>
                </c:pt>
                <c:pt idx="83">
                  <c:v>70.5</c:v>
                </c:pt>
                <c:pt idx="84">
                  <c:v>71</c:v>
                </c:pt>
                <c:pt idx="85">
                  <c:v>37</c:v>
                </c:pt>
                <c:pt idx="86">
                  <c:v>48</c:v>
                </c:pt>
                <c:pt idx="87">
                  <c:v>94</c:v>
                </c:pt>
                <c:pt idx="88">
                  <c:v>57</c:v>
                </c:pt>
                <c:pt idx="89">
                  <c:v>66</c:v>
                </c:pt>
                <c:pt idx="90">
                  <c:v>76</c:v>
                </c:pt>
                <c:pt idx="91">
                  <c:v>52</c:v>
                </c:pt>
                <c:pt idx="92">
                  <c:v>38</c:v>
                </c:pt>
                <c:pt idx="93">
                  <c:v>82</c:v>
                </c:pt>
                <c:pt idx="94">
                  <c:v>78</c:v>
                </c:pt>
                <c:pt idx="95">
                  <c:v>63</c:v>
                </c:pt>
                <c:pt idx="96">
                  <c:v>45</c:v>
                </c:pt>
                <c:pt idx="97">
                  <c:v>52</c:v>
                </c:pt>
                <c:pt idx="98">
                  <c:v>60</c:v>
                </c:pt>
                <c:pt idx="99">
                  <c:v>88</c:v>
                </c:pt>
                <c:pt idx="100">
                  <c:v>55</c:v>
                </c:pt>
                <c:pt idx="101">
                  <c:v>56</c:v>
                </c:pt>
                <c:pt idx="102">
                  <c:v>59</c:v>
                </c:pt>
                <c:pt idx="103">
                  <c:v>80</c:v>
                </c:pt>
                <c:pt idx="104">
                  <c:v>51</c:v>
                </c:pt>
                <c:pt idx="105">
                  <c:v>84</c:v>
                </c:pt>
                <c:pt idx="106">
                  <c:v>45</c:v>
                </c:pt>
                <c:pt idx="107">
                  <c:v>89</c:v>
                </c:pt>
                <c:pt idx="108">
                  <c:v>50</c:v>
                </c:pt>
                <c:pt idx="109">
                  <c:v>50</c:v>
                </c:pt>
                <c:pt idx="110">
                  <c:v>48</c:v>
                </c:pt>
                <c:pt idx="111">
                  <c:v>65</c:v>
                </c:pt>
                <c:pt idx="112">
                  <c:v>78</c:v>
                </c:pt>
                <c:pt idx="113">
                  <c:v>78</c:v>
                </c:pt>
                <c:pt idx="114">
                  <c:v>65</c:v>
                </c:pt>
                <c:pt idx="115">
                  <c:v>47</c:v>
                </c:pt>
                <c:pt idx="116">
                  <c:v>46.5</c:v>
                </c:pt>
                <c:pt idx="117">
                  <c:v>69</c:v>
                </c:pt>
                <c:pt idx="118">
                  <c:v>86</c:v>
                </c:pt>
                <c:pt idx="119">
                  <c:v>48</c:v>
                </c:pt>
                <c:pt idx="120">
                  <c:v>67</c:v>
                </c:pt>
                <c:pt idx="121">
                  <c:v>56</c:v>
                </c:pt>
                <c:pt idx="122">
                  <c:v>30</c:v>
                </c:pt>
                <c:pt idx="123">
                  <c:v>25</c:v>
                </c:pt>
                <c:pt idx="124">
                  <c:v>54</c:v>
                </c:pt>
                <c:pt idx="125">
                  <c:v>56</c:v>
                </c:pt>
                <c:pt idx="126">
                  <c:v>53</c:v>
                </c:pt>
                <c:pt idx="127">
                  <c:v>83.666666666666671</c:v>
                </c:pt>
                <c:pt idx="128">
                  <c:v>80</c:v>
                </c:pt>
                <c:pt idx="129">
                  <c:v>58</c:v>
                </c:pt>
                <c:pt idx="130">
                  <c:v>46</c:v>
                </c:pt>
                <c:pt idx="131">
                  <c:v>67</c:v>
                </c:pt>
                <c:pt idx="132">
                  <c:v>55</c:v>
                </c:pt>
                <c:pt idx="133">
                  <c:v>48</c:v>
                </c:pt>
                <c:pt idx="134">
                  <c:v>40</c:v>
                </c:pt>
                <c:pt idx="135">
                  <c:v>50</c:v>
                </c:pt>
                <c:pt idx="136">
                  <c:v>41</c:v>
                </c:pt>
                <c:pt idx="137">
                  <c:v>37</c:v>
                </c:pt>
                <c:pt idx="138">
                  <c:v>70</c:v>
                </c:pt>
                <c:pt idx="139">
                  <c:v>68</c:v>
                </c:pt>
                <c:pt idx="140">
                  <c:v>33</c:v>
                </c:pt>
                <c:pt idx="141">
                  <c:v>86</c:v>
                </c:pt>
                <c:pt idx="142">
                  <c:v>36</c:v>
                </c:pt>
                <c:pt idx="143">
                  <c:v>73</c:v>
                </c:pt>
                <c:pt idx="144">
                  <c:v>62</c:v>
                </c:pt>
                <c:pt idx="145">
                  <c:v>52</c:v>
                </c:pt>
                <c:pt idx="146">
                  <c:v>43</c:v>
                </c:pt>
                <c:pt idx="147">
                  <c:v>54</c:v>
                </c:pt>
                <c:pt idx="148">
                  <c:v>73</c:v>
                </c:pt>
                <c:pt idx="149">
                  <c:v>67</c:v>
                </c:pt>
                <c:pt idx="150">
                  <c:v>59.5</c:v>
                </c:pt>
                <c:pt idx="151">
                  <c:v>67.5</c:v>
                </c:pt>
                <c:pt idx="152">
                  <c:v>90</c:v>
                </c:pt>
                <c:pt idx="153">
                  <c:v>32</c:v>
                </c:pt>
                <c:pt idx="154">
                  <c:v>59.8</c:v>
                </c:pt>
                <c:pt idx="155">
                  <c:v>56</c:v>
                </c:pt>
                <c:pt idx="156">
                  <c:v>79</c:v>
                </c:pt>
                <c:pt idx="157">
                  <c:v>60</c:v>
                </c:pt>
                <c:pt idx="158">
                  <c:v>41</c:v>
                </c:pt>
                <c:pt idx="159">
                  <c:v>82</c:v>
                </c:pt>
                <c:pt idx="160">
                  <c:v>80</c:v>
                </c:pt>
                <c:pt idx="161">
                  <c:v>77</c:v>
                </c:pt>
                <c:pt idx="162">
                  <c:v>55.5</c:v>
                </c:pt>
                <c:pt idx="163">
                  <c:v>62</c:v>
                </c:pt>
                <c:pt idx="164">
                  <c:v>61</c:v>
                </c:pt>
                <c:pt idx="165">
                  <c:v>75</c:v>
                </c:pt>
                <c:pt idx="166">
                  <c:v>41</c:v>
                </c:pt>
                <c:pt idx="167">
                  <c:v>57</c:v>
                </c:pt>
                <c:pt idx="168">
                  <c:v>46</c:v>
                </c:pt>
                <c:pt idx="169">
                  <c:v>82</c:v>
                </c:pt>
                <c:pt idx="170">
                  <c:v>47</c:v>
                </c:pt>
                <c:pt idx="171">
                  <c:v>68</c:v>
                </c:pt>
                <c:pt idx="172">
                  <c:v>85.5</c:v>
                </c:pt>
                <c:pt idx="173">
                  <c:v>37</c:v>
                </c:pt>
                <c:pt idx="174">
                  <c:v>76</c:v>
                </c:pt>
                <c:pt idx="175">
                  <c:v>47</c:v>
                </c:pt>
                <c:pt idx="176">
                  <c:v>53</c:v>
                </c:pt>
                <c:pt idx="177">
                  <c:v>49</c:v>
                </c:pt>
                <c:pt idx="178">
                  <c:v>65.75</c:v>
                </c:pt>
                <c:pt idx="179">
                  <c:v>77</c:v>
                </c:pt>
                <c:pt idx="180">
                  <c:v>90</c:v>
                </c:pt>
                <c:pt idx="181">
                  <c:v>51</c:v>
                </c:pt>
                <c:pt idx="182">
                  <c:v>76</c:v>
                </c:pt>
                <c:pt idx="183">
                  <c:v>46</c:v>
                </c:pt>
                <c:pt idx="184">
                  <c:v>80</c:v>
                </c:pt>
                <c:pt idx="185">
                  <c:v>57</c:v>
                </c:pt>
                <c:pt idx="186">
                  <c:v>63</c:v>
                </c:pt>
                <c:pt idx="187">
                  <c:v>64</c:v>
                </c:pt>
                <c:pt idx="188">
                  <c:v>75</c:v>
                </c:pt>
                <c:pt idx="189">
                  <c:v>78</c:v>
                </c:pt>
                <c:pt idx="190">
                  <c:v>91</c:v>
                </c:pt>
                <c:pt idx="191">
                  <c:v>43</c:v>
                </c:pt>
                <c:pt idx="192">
                  <c:v>86</c:v>
                </c:pt>
                <c:pt idx="193">
                  <c:v>82</c:v>
                </c:pt>
                <c:pt idx="194">
                  <c:v>62</c:v>
                </c:pt>
                <c:pt idx="195">
                  <c:v>72</c:v>
                </c:pt>
                <c:pt idx="196">
                  <c:v>67.666666666666671</c:v>
                </c:pt>
                <c:pt idx="197">
                  <c:v>60</c:v>
                </c:pt>
                <c:pt idx="198">
                  <c:v>64.333333333333329</c:v>
                </c:pt>
                <c:pt idx="199">
                  <c:v>52</c:v>
                </c:pt>
                <c:pt idx="200">
                  <c:v>72</c:v>
                </c:pt>
                <c:pt idx="201">
                  <c:v>54</c:v>
                </c:pt>
                <c:pt idx="202">
                  <c:v>68</c:v>
                </c:pt>
                <c:pt idx="203">
                  <c:v>90</c:v>
                </c:pt>
                <c:pt idx="204">
                  <c:v>66</c:v>
                </c:pt>
                <c:pt idx="205">
                  <c:v>76</c:v>
                </c:pt>
                <c:pt idx="206">
                  <c:v>40.200000000000003</c:v>
                </c:pt>
                <c:pt idx="207">
                  <c:v>65</c:v>
                </c:pt>
                <c:pt idx="208">
                  <c:v>60.5</c:v>
                </c:pt>
                <c:pt idx="209">
                  <c:v>68.333333333333329</c:v>
                </c:pt>
                <c:pt idx="210">
                  <c:v>64.599999999999994</c:v>
                </c:pt>
                <c:pt idx="211">
                  <c:v>73</c:v>
                </c:pt>
                <c:pt idx="212">
                  <c:v>75</c:v>
                </c:pt>
                <c:pt idx="213">
                  <c:v>70</c:v>
                </c:pt>
                <c:pt idx="214">
                  <c:v>57</c:v>
                </c:pt>
                <c:pt idx="215">
                  <c:v>44</c:v>
                </c:pt>
                <c:pt idx="216">
                  <c:v>79</c:v>
                </c:pt>
                <c:pt idx="217">
                  <c:v>86</c:v>
                </c:pt>
                <c:pt idx="218">
                  <c:v>75.5</c:v>
                </c:pt>
                <c:pt idx="219">
                  <c:v>44</c:v>
                </c:pt>
                <c:pt idx="220">
                  <c:v>67</c:v>
                </c:pt>
                <c:pt idx="221">
                  <c:v>76</c:v>
                </c:pt>
                <c:pt idx="222">
                  <c:v>69</c:v>
                </c:pt>
                <c:pt idx="223">
                  <c:v>81</c:v>
                </c:pt>
                <c:pt idx="224">
                  <c:v>61</c:v>
                </c:pt>
                <c:pt idx="225">
                  <c:v>55</c:v>
                </c:pt>
                <c:pt idx="226">
                  <c:v>65</c:v>
                </c:pt>
                <c:pt idx="227">
                  <c:v>84</c:v>
                </c:pt>
                <c:pt idx="228">
                  <c:v>52.8</c:v>
                </c:pt>
                <c:pt idx="229">
                  <c:v>85</c:v>
                </c:pt>
                <c:pt idx="230">
                  <c:v>71.5</c:v>
                </c:pt>
                <c:pt idx="231">
                  <c:v>57.666666666666664</c:v>
                </c:pt>
                <c:pt idx="232">
                  <c:v>53</c:v>
                </c:pt>
                <c:pt idx="233">
                  <c:v>85</c:v>
                </c:pt>
                <c:pt idx="234">
                  <c:v>68</c:v>
                </c:pt>
                <c:pt idx="235">
                  <c:v>90</c:v>
                </c:pt>
                <c:pt idx="236">
                  <c:v>70</c:v>
                </c:pt>
                <c:pt idx="237">
                  <c:v>53</c:v>
                </c:pt>
                <c:pt idx="238">
                  <c:v>63</c:v>
                </c:pt>
                <c:pt idx="239">
                  <c:v>77.5</c:v>
                </c:pt>
                <c:pt idx="240">
                  <c:v>72</c:v>
                </c:pt>
                <c:pt idx="241">
                  <c:v>41</c:v>
                </c:pt>
                <c:pt idx="242">
                  <c:v>76</c:v>
                </c:pt>
                <c:pt idx="243">
                  <c:v>68.333333333333329</c:v>
                </c:pt>
                <c:pt idx="244">
                  <c:v>57.333333333333336</c:v>
                </c:pt>
                <c:pt idx="245">
                  <c:v>52</c:v>
                </c:pt>
                <c:pt idx="246">
                  <c:v>79</c:v>
                </c:pt>
                <c:pt idx="247">
                  <c:v>61</c:v>
                </c:pt>
                <c:pt idx="248">
                  <c:v>60.625</c:v>
                </c:pt>
                <c:pt idx="249">
                  <c:v>64</c:v>
                </c:pt>
                <c:pt idx="250">
                  <c:v>61</c:v>
                </c:pt>
                <c:pt idx="251">
                  <c:v>51</c:v>
                </c:pt>
                <c:pt idx="252">
                  <c:v>55</c:v>
                </c:pt>
                <c:pt idx="253">
                  <c:v>57.5</c:v>
                </c:pt>
                <c:pt idx="254">
                  <c:v>62</c:v>
                </c:pt>
                <c:pt idx="255">
                  <c:v>42</c:v>
                </c:pt>
                <c:pt idx="256">
                  <c:v>55</c:v>
                </c:pt>
                <c:pt idx="257">
                  <c:v>85.5</c:v>
                </c:pt>
                <c:pt idx="258">
                  <c:v>45.5</c:v>
                </c:pt>
                <c:pt idx="259">
                  <c:v>61.526315789473685</c:v>
                </c:pt>
                <c:pt idx="260">
                  <c:v>55</c:v>
                </c:pt>
                <c:pt idx="261">
                  <c:v>81.333333333333329</c:v>
                </c:pt>
                <c:pt idx="262">
                  <c:v>79</c:v>
                </c:pt>
                <c:pt idx="263">
                  <c:v>52</c:v>
                </c:pt>
                <c:pt idx="264">
                  <c:v>84</c:v>
                </c:pt>
                <c:pt idx="265">
                  <c:v>63</c:v>
                </c:pt>
                <c:pt idx="266">
                  <c:v>50</c:v>
                </c:pt>
                <c:pt idx="267">
                  <c:v>75</c:v>
                </c:pt>
                <c:pt idx="268">
                  <c:v>78</c:v>
                </c:pt>
                <c:pt idx="269">
                  <c:v>69</c:v>
                </c:pt>
                <c:pt idx="270">
                  <c:v>64</c:v>
                </c:pt>
                <c:pt idx="271">
                  <c:v>57</c:v>
                </c:pt>
                <c:pt idx="272">
                  <c:v>60</c:v>
                </c:pt>
                <c:pt idx="273">
                  <c:v>55.25</c:v>
                </c:pt>
                <c:pt idx="274">
                  <c:v>62.5</c:v>
                </c:pt>
                <c:pt idx="275">
                  <c:v>78</c:v>
                </c:pt>
                <c:pt idx="276">
                  <c:v>70</c:v>
                </c:pt>
                <c:pt idx="277">
                  <c:v>63</c:v>
                </c:pt>
                <c:pt idx="278">
                  <c:v>85</c:v>
                </c:pt>
                <c:pt idx="279">
                  <c:v>64</c:v>
                </c:pt>
                <c:pt idx="280">
                  <c:v>67</c:v>
                </c:pt>
                <c:pt idx="281">
                  <c:v>57.2</c:v>
                </c:pt>
                <c:pt idx="282">
                  <c:v>80</c:v>
                </c:pt>
                <c:pt idx="283">
                  <c:v>68.5</c:v>
                </c:pt>
                <c:pt idx="284">
                  <c:v>51.666666666666664</c:v>
                </c:pt>
                <c:pt idx="285">
                  <c:v>70</c:v>
                </c:pt>
                <c:pt idx="286">
                  <c:v>82</c:v>
                </c:pt>
                <c:pt idx="287">
                  <c:v>57</c:v>
                </c:pt>
                <c:pt idx="288">
                  <c:v>69</c:v>
                </c:pt>
                <c:pt idx="289">
                  <c:v>45</c:v>
                </c:pt>
                <c:pt idx="290">
                  <c:v>75</c:v>
                </c:pt>
                <c:pt idx="291">
                  <c:v>64</c:v>
                </c:pt>
                <c:pt idx="292">
                  <c:v>81</c:v>
                </c:pt>
                <c:pt idx="293">
                  <c:v>92</c:v>
                </c:pt>
                <c:pt idx="294">
                  <c:v>74.75</c:v>
                </c:pt>
                <c:pt idx="295">
                  <c:v>64.5</c:v>
                </c:pt>
                <c:pt idx="296">
                  <c:v>75.333333333333329</c:v>
                </c:pt>
                <c:pt idx="297">
                  <c:v>68.333333333333329</c:v>
                </c:pt>
                <c:pt idx="298">
                  <c:v>64.5</c:v>
                </c:pt>
                <c:pt idx="299">
                  <c:v>46</c:v>
                </c:pt>
                <c:pt idx="300">
                  <c:v>64</c:v>
                </c:pt>
                <c:pt idx="301">
                  <c:v>45.6</c:v>
                </c:pt>
                <c:pt idx="302">
                  <c:v>60</c:v>
                </c:pt>
                <c:pt idx="303">
                  <c:v>74</c:v>
                </c:pt>
                <c:pt idx="304">
                  <c:v>40</c:v>
                </c:pt>
                <c:pt idx="305">
                  <c:v>58</c:v>
                </c:pt>
                <c:pt idx="306">
                  <c:v>52.8</c:v>
                </c:pt>
                <c:pt idx="307">
                  <c:v>43</c:v>
                </c:pt>
                <c:pt idx="308">
                  <c:v>90</c:v>
                </c:pt>
                <c:pt idx="309">
                  <c:v>64</c:v>
                </c:pt>
                <c:pt idx="310">
                  <c:v>53</c:v>
                </c:pt>
                <c:pt idx="311">
                  <c:v>70.5</c:v>
                </c:pt>
                <c:pt idx="312">
                  <c:v>76.5</c:v>
                </c:pt>
                <c:pt idx="313">
                  <c:v>63</c:v>
                </c:pt>
                <c:pt idx="314">
                  <c:v>64.81481481481481</c:v>
                </c:pt>
                <c:pt idx="315">
                  <c:v>81</c:v>
                </c:pt>
                <c:pt idx="316">
                  <c:v>67</c:v>
                </c:pt>
                <c:pt idx="317">
                  <c:v>59.652173913043477</c:v>
                </c:pt>
                <c:pt idx="318">
                  <c:v>58.357142857142854</c:v>
                </c:pt>
                <c:pt idx="319">
                  <c:v>58</c:v>
                </c:pt>
                <c:pt idx="320">
                  <c:v>68</c:v>
                </c:pt>
                <c:pt idx="321">
                  <c:v>78</c:v>
                </c:pt>
                <c:pt idx="322">
                  <c:v>38</c:v>
                </c:pt>
                <c:pt idx="323">
                  <c:v>87.5</c:v>
                </c:pt>
                <c:pt idx="324">
                  <c:v>61</c:v>
                </c:pt>
                <c:pt idx="325">
                  <c:v>75</c:v>
                </c:pt>
                <c:pt idx="326">
                  <c:v>62</c:v>
                </c:pt>
                <c:pt idx="327">
                  <c:v>65.2</c:v>
                </c:pt>
                <c:pt idx="328">
                  <c:v>89</c:v>
                </c:pt>
                <c:pt idx="329">
                  <c:v>85</c:v>
                </c:pt>
                <c:pt idx="330">
                  <c:v>61.333333333333336</c:v>
                </c:pt>
                <c:pt idx="331">
                  <c:v>88</c:v>
                </c:pt>
                <c:pt idx="332">
                  <c:v>56</c:v>
                </c:pt>
                <c:pt idx="333">
                  <c:v>70.666666666666671</c:v>
                </c:pt>
                <c:pt idx="334">
                  <c:v>51</c:v>
                </c:pt>
                <c:pt idx="335">
                  <c:v>67</c:v>
                </c:pt>
                <c:pt idx="336">
                  <c:v>80.5</c:v>
                </c:pt>
                <c:pt idx="337">
                  <c:v>56</c:v>
                </c:pt>
                <c:pt idx="338">
                  <c:v>53</c:v>
                </c:pt>
                <c:pt idx="339">
                  <c:v>77</c:v>
                </c:pt>
                <c:pt idx="340">
                  <c:v>61</c:v>
                </c:pt>
                <c:pt idx="341">
                  <c:v>52.5</c:v>
                </c:pt>
                <c:pt idx="342">
                  <c:v>58</c:v>
                </c:pt>
                <c:pt idx="343">
                  <c:v>25</c:v>
                </c:pt>
                <c:pt idx="344">
                  <c:v>72</c:v>
                </c:pt>
                <c:pt idx="345">
                  <c:v>83</c:v>
                </c:pt>
                <c:pt idx="346">
                  <c:v>60.5</c:v>
                </c:pt>
                <c:pt idx="347">
                  <c:v>66.5</c:v>
                </c:pt>
                <c:pt idx="348">
                  <c:v>79.5</c:v>
                </c:pt>
                <c:pt idx="349">
                  <c:v>43</c:v>
                </c:pt>
                <c:pt idx="350">
                  <c:v>65.8</c:v>
                </c:pt>
                <c:pt idx="351">
                  <c:v>62</c:v>
                </c:pt>
                <c:pt idx="352">
                  <c:v>89</c:v>
                </c:pt>
                <c:pt idx="353">
                  <c:v>75</c:v>
                </c:pt>
                <c:pt idx="354">
                  <c:v>41</c:v>
                </c:pt>
                <c:pt idx="355">
                  <c:v>75</c:v>
                </c:pt>
                <c:pt idx="356">
                  <c:v>62</c:v>
                </c:pt>
                <c:pt idx="357">
                  <c:v>92</c:v>
                </c:pt>
                <c:pt idx="358">
                  <c:v>86</c:v>
                </c:pt>
                <c:pt idx="359">
                  <c:v>94</c:v>
                </c:pt>
                <c:pt idx="360">
                  <c:v>76</c:v>
                </c:pt>
                <c:pt idx="361">
                  <c:v>56</c:v>
                </c:pt>
                <c:pt idx="362">
                  <c:v>63</c:v>
                </c:pt>
                <c:pt idx="363">
                  <c:v>70.666666666666671</c:v>
                </c:pt>
                <c:pt idx="364">
                  <c:v>47</c:v>
                </c:pt>
                <c:pt idx="365">
                  <c:v>74</c:v>
                </c:pt>
                <c:pt idx="366">
                  <c:v>70.75</c:v>
                </c:pt>
                <c:pt idx="367">
                  <c:v>68</c:v>
                </c:pt>
                <c:pt idx="368">
                  <c:v>77.333333333333329</c:v>
                </c:pt>
                <c:pt idx="369">
                  <c:v>81</c:v>
                </c:pt>
                <c:pt idx="370">
                  <c:v>59</c:v>
                </c:pt>
                <c:pt idx="371">
                  <c:v>60</c:v>
                </c:pt>
                <c:pt idx="372">
                  <c:v>73</c:v>
                </c:pt>
                <c:pt idx="373">
                  <c:v>60</c:v>
                </c:pt>
                <c:pt idx="374">
                  <c:v>75.333333333333329</c:v>
                </c:pt>
                <c:pt idx="375">
                  <c:v>70</c:v>
                </c:pt>
                <c:pt idx="376">
                  <c:v>67</c:v>
                </c:pt>
                <c:pt idx="377">
                  <c:v>45.176470588235297</c:v>
                </c:pt>
                <c:pt idx="378">
                  <c:v>79</c:v>
                </c:pt>
                <c:pt idx="379">
                  <c:v>50.333333333333336</c:v>
                </c:pt>
                <c:pt idx="380">
                  <c:v>68</c:v>
                </c:pt>
                <c:pt idx="381">
                  <c:v>79</c:v>
                </c:pt>
                <c:pt idx="382">
                  <c:v>67</c:v>
                </c:pt>
                <c:pt idx="383">
                  <c:v>56.571428571428569</c:v>
                </c:pt>
                <c:pt idx="384">
                  <c:v>56</c:v>
                </c:pt>
                <c:pt idx="385">
                  <c:v>69</c:v>
                </c:pt>
                <c:pt idx="386">
                  <c:v>88</c:v>
                </c:pt>
                <c:pt idx="387">
                  <c:v>73</c:v>
                </c:pt>
                <c:pt idx="388">
                  <c:v>77</c:v>
                </c:pt>
                <c:pt idx="389">
                  <c:v>68.666666666666671</c:v>
                </c:pt>
                <c:pt idx="390">
                  <c:v>60</c:v>
                </c:pt>
                <c:pt idx="391">
                  <c:v>63.333333333333336</c:v>
                </c:pt>
                <c:pt idx="392">
                  <c:v>69.2</c:v>
                </c:pt>
                <c:pt idx="393">
                  <c:v>52.470588235294116</c:v>
                </c:pt>
                <c:pt idx="394">
                  <c:v>80</c:v>
                </c:pt>
                <c:pt idx="395">
                  <c:v>68.666666666666671</c:v>
                </c:pt>
                <c:pt idx="396">
                  <c:v>69.5</c:v>
                </c:pt>
                <c:pt idx="397">
                  <c:v>64</c:v>
                </c:pt>
                <c:pt idx="398">
                  <c:v>73</c:v>
                </c:pt>
                <c:pt idx="399">
                  <c:v>70</c:v>
                </c:pt>
                <c:pt idx="400">
                  <c:v>36</c:v>
                </c:pt>
                <c:pt idx="401">
                  <c:v>48</c:v>
                </c:pt>
                <c:pt idx="402">
                  <c:v>81</c:v>
                </c:pt>
                <c:pt idx="403">
                  <c:v>77</c:v>
                </c:pt>
                <c:pt idx="404">
                  <c:v>63</c:v>
                </c:pt>
                <c:pt idx="405">
                  <c:v>69.5</c:v>
                </c:pt>
                <c:pt idx="406">
                  <c:v>61</c:v>
                </c:pt>
                <c:pt idx="407">
                  <c:v>63</c:v>
                </c:pt>
                <c:pt idx="408">
                  <c:v>63</c:v>
                </c:pt>
                <c:pt idx="409">
                  <c:v>77.142857142857139</c:v>
                </c:pt>
                <c:pt idx="410">
                  <c:v>78</c:v>
                </c:pt>
                <c:pt idx="411">
                  <c:v>72.333333333333329</c:v>
                </c:pt>
                <c:pt idx="412">
                  <c:v>70</c:v>
                </c:pt>
                <c:pt idx="413">
                  <c:v>90</c:v>
                </c:pt>
                <c:pt idx="414">
                  <c:v>71</c:v>
                </c:pt>
                <c:pt idx="415">
                  <c:v>69</c:v>
                </c:pt>
                <c:pt idx="416">
                  <c:v>62.5</c:v>
                </c:pt>
                <c:pt idx="417">
                  <c:v>76</c:v>
                </c:pt>
                <c:pt idx="418">
                  <c:v>69.666666666666671</c:v>
                </c:pt>
                <c:pt idx="419">
                  <c:v>63.571428571428569</c:v>
                </c:pt>
                <c:pt idx="420">
                  <c:v>78</c:v>
                </c:pt>
                <c:pt idx="421">
                  <c:v>92</c:v>
                </c:pt>
                <c:pt idx="422">
                  <c:v>67</c:v>
                </c:pt>
                <c:pt idx="423">
                  <c:v>74.333333333333329</c:v>
                </c:pt>
                <c:pt idx="424">
                  <c:v>47</c:v>
                </c:pt>
                <c:pt idx="425">
                  <c:v>87</c:v>
                </c:pt>
                <c:pt idx="426">
                  <c:v>79</c:v>
                </c:pt>
                <c:pt idx="427">
                  <c:v>76</c:v>
                </c:pt>
                <c:pt idx="428">
                  <c:v>58.857142857142854</c:v>
                </c:pt>
                <c:pt idx="429">
                  <c:v>78</c:v>
                </c:pt>
                <c:pt idx="430">
                  <c:v>63.5</c:v>
                </c:pt>
                <c:pt idx="431">
                  <c:v>69.8</c:v>
                </c:pt>
                <c:pt idx="432">
                  <c:v>86</c:v>
                </c:pt>
                <c:pt idx="433">
                  <c:v>65</c:v>
                </c:pt>
                <c:pt idx="434">
                  <c:v>66</c:v>
                </c:pt>
                <c:pt idx="435">
                  <c:v>68</c:v>
                </c:pt>
                <c:pt idx="436">
                  <c:v>61.666666666666664</c:v>
                </c:pt>
                <c:pt idx="437">
                  <c:v>68</c:v>
                </c:pt>
                <c:pt idx="438">
                  <c:v>91</c:v>
                </c:pt>
                <c:pt idx="439">
                  <c:v>49.2</c:v>
                </c:pt>
                <c:pt idx="440">
                  <c:v>88</c:v>
                </c:pt>
                <c:pt idx="441">
                  <c:v>94</c:v>
                </c:pt>
                <c:pt idx="442">
                  <c:v>67</c:v>
                </c:pt>
                <c:pt idx="443">
                  <c:v>72</c:v>
                </c:pt>
                <c:pt idx="444">
                  <c:v>67.666666666666671</c:v>
                </c:pt>
                <c:pt idx="445">
                  <c:v>88</c:v>
                </c:pt>
                <c:pt idx="446">
                  <c:v>70</c:v>
                </c:pt>
                <c:pt idx="447">
                  <c:v>70</c:v>
                </c:pt>
                <c:pt idx="448">
                  <c:v>58</c:v>
                </c:pt>
                <c:pt idx="449">
                  <c:v>77.5</c:v>
                </c:pt>
                <c:pt idx="450">
                  <c:v>70</c:v>
                </c:pt>
                <c:pt idx="451">
                  <c:v>76</c:v>
                </c:pt>
                <c:pt idx="452">
                  <c:v>47.5</c:v>
                </c:pt>
                <c:pt idx="453">
                  <c:v>64.5</c:v>
                </c:pt>
                <c:pt idx="454">
                  <c:v>43</c:v>
                </c:pt>
                <c:pt idx="455">
                  <c:v>66.666666666666671</c:v>
                </c:pt>
                <c:pt idx="456">
                  <c:v>71</c:v>
                </c:pt>
                <c:pt idx="457">
                  <c:v>67</c:v>
                </c:pt>
                <c:pt idx="458">
                  <c:v>75</c:v>
                </c:pt>
                <c:pt idx="459">
                  <c:v>85</c:v>
                </c:pt>
                <c:pt idx="460">
                  <c:v>63.8</c:v>
                </c:pt>
                <c:pt idx="461">
                  <c:v>67</c:v>
                </c:pt>
                <c:pt idx="462">
                  <c:v>63.666666666666664</c:v>
                </c:pt>
                <c:pt idx="463">
                  <c:v>57.666666666666664</c:v>
                </c:pt>
                <c:pt idx="464">
                  <c:v>74</c:v>
                </c:pt>
                <c:pt idx="465">
                  <c:v>80</c:v>
                </c:pt>
                <c:pt idx="466">
                  <c:v>59</c:v>
                </c:pt>
                <c:pt idx="467">
                  <c:v>88</c:v>
                </c:pt>
                <c:pt idx="468">
                  <c:v>65</c:v>
                </c:pt>
                <c:pt idx="469">
                  <c:v>72.8</c:v>
                </c:pt>
                <c:pt idx="470">
                  <c:v>60.333333333333336</c:v>
                </c:pt>
                <c:pt idx="471">
                  <c:v>87</c:v>
                </c:pt>
                <c:pt idx="472">
                  <c:v>71</c:v>
                </c:pt>
                <c:pt idx="473">
                  <c:v>65</c:v>
                </c:pt>
                <c:pt idx="474">
                  <c:v>73.125</c:v>
                </c:pt>
                <c:pt idx="475">
                  <c:v>60.666666666666664</c:v>
                </c:pt>
                <c:pt idx="476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B6-4386-8B71-F4C3D5DF0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215432"/>
        <c:axId val="1908106248"/>
      </c:lineChart>
      <c:catAx>
        <c:axId val="1898215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106248"/>
        <c:crosses val="autoZero"/>
        <c:auto val="1"/>
        <c:lblAlgn val="ctr"/>
        <c:lblOffset val="100"/>
        <c:noMultiLvlLbl val="0"/>
      </c:catAx>
      <c:valAx>
        <c:axId val="1908106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215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171450</xdr:rowOff>
    </xdr:from>
    <xdr:to>
      <xdr:col>8</xdr:col>
      <xdr:colOff>161925</xdr:colOff>
      <xdr:row>31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52A64C-9381-4451-9224-C1C9383112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14</xdr:col>
      <xdr:colOff>428625</xdr:colOff>
      <xdr:row>48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8D23AD-B3A6-4FAF-85CB-D3CB956DDF5E}"/>
            </a:ext>
            <a:ext uri="{147F2762-F138-4A5C-976F-8EAC2B608ADB}">
              <a16:predDERef xmlns:a16="http://schemas.microsoft.com/office/drawing/2014/main" pred="{1152A64C-9381-4451-9224-C1C9383112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5</xdr:col>
      <xdr:colOff>466725</xdr:colOff>
      <xdr:row>73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CC77D8-09B4-4CEC-848E-EF050C788568}"/>
            </a:ext>
            <a:ext uri="{147F2762-F138-4A5C-976F-8EAC2B608ADB}">
              <a16:predDERef xmlns:a16="http://schemas.microsoft.com/office/drawing/2014/main" pred="{418D23AD-B3A6-4FAF-85CB-D3CB956DDF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219075</xdr:colOff>
      <xdr:row>54</xdr:row>
      <xdr:rowOff>180975</xdr:rowOff>
    </xdr:from>
    <xdr:to>
      <xdr:col>18</xdr:col>
      <xdr:colOff>285750</xdr:colOff>
      <xdr:row>69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8016B2-FB02-4BAE-B8C1-9C6BABCB4870}"/>
            </a:ext>
            <a:ext uri="{147F2762-F138-4A5C-976F-8EAC2B608ADB}">
              <a16:predDERef xmlns:a16="http://schemas.microsoft.com/office/drawing/2014/main" pred="{41CC77D8-09B4-4CEC-848E-EF050C788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2.706365625003" createdVersion="8" refreshedVersion="8" minRefreshableVersion="3" recordCount="953" xr:uid="{FA1B6812-90B2-4206-B4D8-95E8A00077AC}">
  <cacheSource type="worksheet">
    <worksheetSource name="Table1"/>
  </cacheSource>
  <cacheFields count="23">
    <cacheField name="artist(s)_name" numFmtId="0">
      <sharedItems count="645">
        <s v="(G)I-DLE"/>
        <s v="21 Savage, Gunna"/>
        <s v="24kgoldn, Iann Dior"/>
        <s v="50 Cent"/>
        <s v="A$AP Rocky, Metro Boomin, Roisee"/>
        <s v="Abhijay Sharma, Riar Saab"/>
        <s v="Adassa, Mauro Castillo, Stephanie Beatriz, Encanto - Cast, Rhenzy Feliz, Diane Guerrero, Carolina Gaitan"/>
        <s v="Adele"/>
        <s v="Aerosmith"/>
        <s v="Agust D"/>
        <s v="a-ha"/>
        <s v="Aitana, zzoilo"/>
        <s v="Ak4:20, Cris Mj, Pailita"/>
        <s v="Alec Benjamin"/>
        <s v="Alvaro Diaz, Rauw Alejandro"/>
        <s v="Ana Castela, AgroPlay"/>
        <s v="Andy Williams"/>
        <s v="Anggi Marito"/>
        <s v="Anitta"/>
        <s v="Anitta, Tini, Becky G"/>
        <s v="AnnenMayKantereit, Giant Rooks"/>
        <s v="Anuel Aa, Jhay Cortez"/>
        <s v="Anuel Aa, Myke Towers, Jhay Cortez"/>
        <s v="Arcangel, Bad Bunny"/>
        <s v="Arcangel, Bizarrap"/>
        <s v="Arcangel, De La Ghetto, Justin Quiles, Lenny Tavï¿½ï¿½rez, Sech, Dalex, Dimelo Flow, Rich Music"/>
        <s v="Arctic Monkeys"/>
        <s v="Ariana Grande"/>
        <s v="Ariana Grande, The Weeknd"/>
        <s v="Arijit Singh, Sachin-Jigar"/>
        <s v="Arijit Singh, Sachin-Jigar, Amitabha Bhattacharya"/>
        <s v="Arijit Singh, Vishal Dadlani, Sukriti Kakar, Vishal-Shekhar, Shekhar Ravjiani, Kumaar"/>
        <s v="Armani White"/>
        <s v="Aventura, Bad Bunny"/>
        <s v="Avicii"/>
        <s v="Ayparia, unxbected"/>
        <s v="Baby Rasta, Rauw Alejandro"/>
        <s v="Baby Tate"/>
        <s v="Bad Bunny"/>
        <s v="Bad Bunny, Eladio Carrion"/>
        <s v="Bad Bunny, Grupo Frontera"/>
        <s v="Bad Bunny, Jhay Cortez"/>
        <s v="Bad Bunny, Rauw Alejandro"/>
        <s v="Bad Bunny, Tainy"/>
        <s v="Bad Bunny, The Marï¿½ï"/>
        <s v="Band Aid"/>
        <s v="Beach House"/>
        <s v="Beach Weather"/>
        <s v="Bebe Rexha, David Guetta"/>
        <s v="Becky G, Peso Pluma"/>
        <s v="Bellakath"/>
        <s v="Benson Boone"/>
        <s v="Beyoncï¿"/>
        <s v="Big One, Duki, Lit Killah, Maria Becerra, FMK, Rusherking, Emilia, Tiago pzk"/>
        <s v="Big One, FMK, Ke personajes"/>
        <s v="BIGBANG"/>
        <s v="Billie Eilish"/>
        <s v="Billie Eilish, Khalid"/>
        <s v="Bing Crosby, John Scott Trotter &amp; His Orchestra, Ken Darby Singers"/>
        <s v="Bizarrap, Paulo Londra"/>
        <s v="Bizarrap, Peso Pluma"/>
        <s v="Bizarrap, Quevedo"/>
        <s v="Bizarrap, Tiago pzk"/>
        <s v="Bizarrap, Villano Antillano"/>
        <s v="Blackbear, BoyWithUke"/>
        <s v="BLACKPINK"/>
        <s v="BLESSD, Peso Pluma"/>
        <s v="Bobby Helms"/>
        <s v="Bomba Estï¿½ï¿½reo, Bad B"/>
        <s v="BoyWithUke"/>
        <s v="Brenda Lee"/>
        <s v="Britney Spears"/>
        <s v="Brray, Rauw Alejandro, Lyanno"/>
        <s v="Bruno Mars"/>
        <s v="Bruno Mars, Anderson .Paak, Silk Sonic"/>
        <s v="BTS"/>
        <s v="BTS, Jung Kook, FIFA Sound"/>
        <s v="Burl Ives"/>
        <s v="Burna Boy"/>
        <s v="Buscabulla, Bad Bunny"/>
        <s v="BYOR, Imanbek"/>
        <s v="C. Tangana"/>
        <s v="Calvin Harris, Dua Lipa"/>
        <s v="Calvin Harris, Dua Lipa, Young Thug"/>
        <s v="Calvin Harris, Ellie Goulding"/>
        <s v="Calvin Harris, Halsey, Pharrell Williams, Justin Timberlake"/>
        <s v="Camila Cabello, Ed Sheeran"/>
        <s v="Camila Cabello, Willow"/>
        <s v="Carin Leon"/>
        <s v="Carin Leon, Grupo Frontera"/>
        <s v="Cartel De Santa, La Kelly"/>
        <s v="Central Cee"/>
        <s v="Chanel"/>
        <s v="Charli XCX, Jax Jones, Joel Corry, Saweetie"/>
        <s v="Charlie Puth"/>
        <s v="Charlie Puth, BTS, Jung Kook"/>
        <s v="Chase Atlantic"/>
        <s v="Chencho Corleone, Bad Bunny"/>
        <s v="Chencho Corleone, Rauw Alejandro"/>
        <s v="Cherish, ACRAZE"/>
        <s v="Childish Gambino"/>
        <s v="Chino Pacas"/>
        <s v="Chris Brown"/>
        <s v="Chris Brown, Rvssian, Rauw Alejandro"/>
        <s v="Chris Molitor"/>
        <s v="Chris Rea"/>
        <s v="Christian Nodal"/>
        <s v="Chuck Berry"/>
        <s v="Cigarettes After Sex"/>
        <s v="Ckay"/>
        <s v="Ckay, AX'EL, Dj Yo!"/>
        <s v="Coi Leray"/>
        <s v="Coldplay"/>
        <s v="Coldplay, BTS"/>
        <s v="Conan Gray"/>
        <s v="Coolio, L.V."/>
        <s v="Creedence Clearwater Revival"/>
        <s v="Cris Mj"/>
        <s v="d4vd"/>
        <s v="Daddy Yankee"/>
        <s v="Daddy Yankee, Bad Bunny"/>
        <s v="Danny Ocean"/>
        <s v="Darlene Love"/>
        <s v="Dave"/>
        <s v="Dave, Central Cee"/>
        <s v="David Guetta, Anne-Marie, Coi Leray"/>
        <s v="David Guetta, Ella Henderson, Becky Hill"/>
        <s v="David Guetta, Shakira, Black Eyed Peas"/>
        <s v="David Kushner"/>
        <s v="De La Ghetto, Duki, Quevedo"/>
        <s v="De La Ghetto, Feid, Polima WestCoast, Paloma Mami, Pailita"/>
        <s v="Dean Lewis"/>
        <s v="Dean Martin"/>
        <s v="Demi Lovato"/>
        <s v="dennis, MC Kevin o Chris"/>
        <s v="DJ Escobar, MC MENOR SG, MC MENOR HR"/>
        <s v="Dj LK da Escï¿½ï¿½cia, Tchakabum, mc jhenny, M"/>
        <s v="Doechii"/>
        <s v="Doja Cat"/>
        <s v="Doja Cat, The Weeknd"/>
        <s v="Don Omar, Lucenzo"/>
        <s v="Don Toliver, Future, Justin Bieber"/>
        <s v="Dove Cameron"/>
        <s v="Dr. Dre, 2Pac, Roger"/>
        <s v="Dr. Dre, Snoop Dogg"/>
        <s v="Drake"/>
        <s v="Drake, 21 Savage"/>
        <s v="Drake, DJ Khaled, Lil Baby"/>
        <s v="Drake, Future, Tems"/>
        <s v="Drake, Future, Young Thug"/>
        <s v="Drake, Project Pat, 21 Savage"/>
        <s v="Drake, Travis Scott"/>
        <s v="Drake, Travis Scott, 21 Savage"/>
        <s v="Drake, WizKid, Kyla"/>
        <s v="Dua Lipa"/>
        <s v="Dua Lipa, DaBaby"/>
        <s v="Dua Lipa, Elton John, Pnau"/>
        <s v="Dua Lipa, Megan Thee Stallion"/>
        <s v="Duki"/>
        <s v="Duki, NICKI NICOLE, Cris Mj, Standly, Stars Music Chile"/>
        <s v="Duncan Laurence"/>
        <s v="Ed Sheeran"/>
        <s v="Ed Sheeran, Elton John"/>
        <s v="Ed Sheeran, Fireboy DML"/>
        <s v="Ed Sheeran, J Balvin"/>
        <s v="Ed Sheeran, Taylor Swift"/>
        <s v="Eden Muï¿½ï"/>
        <s v="Edison Lighthouse"/>
        <s v="El Chachito, Junior H"/>
        <s v="Elley Duhï¿"/>
        <s v="Elton John, Britney Spears"/>
        <s v="Em Beihold"/>
        <s v="Em Beihold, Stephen Sanchez"/>
        <s v="Eminem"/>
        <s v="Eminem, Dido"/>
        <s v="Eminem, Dina Rae"/>
        <s v="Eminem, Dr. Dre"/>
        <s v="Eminem, Nate Dogg"/>
        <s v="Emmy Meli"/>
        <s v="ENHYPEN"/>
        <s v="Eslabon Armado, Peso Pluma"/>
        <s v="Farruko"/>
        <s v="Feid"/>
        <s v="Feid, Alejo, Robi"/>
        <s v="Feid, Mora"/>
        <s v="Feid, Mora, Saiko, Quevedo"/>
        <s v="Feid, Myke Towers, Sky Rompiendo"/>
        <s v="Feid, Paulo Londra"/>
        <s v="Feid, Sech, Jhayco"/>
        <s v="Feid, Young Miko"/>
        <s v="Fifty Fifty"/>
        <s v="Fran C, Polima WestCoast, Nickoog Clk, Pablito Pesadilla"/>
        <s v="Frank Ocean"/>
        <s v="Frank Sinatra"/>
        <s v="Frank Sinatra, B. Swanson Quartet"/>
        <s v="Freddie Dredd"/>
        <s v="Fuerza Regida"/>
        <s v="Fuerza Regida, Chino Pacas"/>
        <s v="Fuerza Regida, Grupo Frontera"/>
        <s v="Fuerza Regida, Natanael Cano"/>
        <s v="Fuerza Regida, Peso Pluma"/>
        <s v="Fujii Kaze"/>
        <s v="Future"/>
        <s v="Future, Chris Brown, Metro Boomin"/>
        <s v="Future, Lil Uzi Vert, Metro Boomin"/>
        <s v="Future, Metro Boomin, Don Toliver"/>
        <s v="Gabito Ballesteros, Junior H, Peso Pluma"/>
        <s v="Gayle"/>
        <s v="Ghost"/>
        <s v="girl in red"/>
        <s v="Giveon"/>
        <s v="Glass Animals"/>
        <s v="GODZZ__-, Zakaria"/>
        <s v="Gorillaz, Bad Bunny"/>
        <s v="Gotye, Kimbra"/>
        <s v="Grupo Frontera"/>
        <s v="Grupo Marca Registrada, Grupo Frontera"/>
        <s v="Grupo Marca Registrada, Junior H"/>
        <s v="Gunna"/>
        <s v="Gunna, Lil Baby"/>
        <s v="Guns N' Roses"/>
        <s v="Gustavo Mioto, Mari Fernandez"/>
        <s v="Gwen Stefani, Blake Shelton"/>
        <s v="HA SUNG WOON, Jimin"/>
        <s v="Halsey"/>
        <s v="Halsey, BTS"/>
        <s v="Halsey, Suga"/>
        <s v="Harry Styles"/>
        <s v="Hotel Ugly"/>
        <s v="Hozier"/>
        <s v="Imagine Dragons"/>
        <s v="Imagine Dragons, League of Legends, Arcane"/>
        <s v="Imagine Dragons, League of Legends, JID, Arcane"/>
        <s v="Intense, AP Dhillon, Gurinder Gill"/>
        <s v="Interplanetary Criminal, Eliza Rose"/>
        <s v="INTERWORLD"/>
        <s v="Israel &amp; Rodolffo, Ana Castela"/>
        <s v="Israel &amp; Rodolffo, Mari Fernandez"/>
        <s v="IU, Agust D"/>
        <s v="IVE"/>
        <s v="J Balvin, Bad Bunny"/>
        <s v="J Balvin, Maria Becerra"/>
        <s v="J Balvin, Nio Garcia, Bad Bunny"/>
        <s v="J. Cole"/>
        <s v="J. Cole, Lil Durk"/>
        <s v="Jack Black"/>
        <s v="Jack Harlow"/>
        <s v="Jack Harlow, Lil Nas X"/>
        <s v="Jain"/>
        <s v="James Arthur"/>
        <s v="James Blake, Metro Boomin"/>
        <s v="James Hype, Miggy Dela Rosa"/>
        <s v="Jasiel Nuï¿½ï¿½ez, Peso P"/>
        <s v="Jason Derulo"/>
        <s v="Jaymes Young"/>
        <s v="Jessi"/>
        <s v="Jessica Darrow"/>
        <s v="j-hope"/>
        <s v="j-hope, J. Cole"/>
        <s v="Jimin"/>
        <s v="Jin"/>
        <s v="JISOO"/>
        <s v="Jnr Choi"/>
        <s v="John Legend"/>
        <s v="John Legend, Metro Boomin"/>
        <s v="John Lennon, The Harlem Community Choir, The Plastic Ono Band, Yoko Ono"/>
        <s v="Joji"/>
        <s v="Jordan Fisher, Josh Levi, Finneas O'Connell, 4*TOWN (From Disney and Pixarï¿½ï¿½ï¿½s Turning Red), Topher Ngo, Grayson Vill"/>
        <s v="Josï¿½ï¿½ Felic"/>
        <s v="Juan Cruz Toledo, Huilen Toledo"/>
        <s v="Juice WRLD"/>
        <s v="Julieta Venegas, Bad Bunny, Tainy"/>
        <s v="Jung Kook"/>
        <s v="Junior H, Eden Muï¿½ï"/>
        <s v="Junior H, Peso Pluma"/>
        <s v="Justin Bieber"/>
        <s v="Justin Bieber, Daniel Caesar, Giveon"/>
        <s v="Justin Bieber, Don Toliver"/>
        <s v="Justin Bieber, The Kid Laroi"/>
        <s v="Justin Quiles, Lenny Tavï¿½ï¿½rez, BL"/>
        <s v="JVKE"/>
        <s v="Kaifi Khalil"/>
        <s v="Kali Uchis"/>
        <s v="Kali Uchis, Amaarae, Moliy"/>
        <s v="Kaliii, Kaliii"/>
        <s v="KALUSH"/>
        <s v="Kanii, PR1ISVX"/>
        <s v="Kanye West"/>
        <s v="Kanye West, Alicia Keys, Fivio Foreign"/>
        <s v="Kanye West, Lil Durk, Cardi B"/>
        <s v="Kanye West, XXXTENTACION"/>
        <s v="Karol G"/>
        <s v="Karol G, Becky G"/>
        <s v="Karol G, Ovy On The Drums"/>
        <s v="Karol G, Quevedo"/>
        <s v="Karol G, Romeo Santos"/>
        <s v="Karol G, Shakira"/>
        <s v="Kate Bush"/>
        <s v="Katy Perry, Alesso"/>
        <s v="Keane"/>
        <s v="Keisya Levronka"/>
        <s v="Kelly Clarkson"/>
        <s v="Kendrick Lamar"/>
        <s v="Kendrick Lamar, Baby Keem"/>
        <s v="Kendrick Lamar, Beth Gibbons"/>
        <s v="Kendrick Lamar, Beyoncï¿"/>
        <s v="Kendrick Lamar, Blxst, Amanda Reifer"/>
        <s v="Kendrick Lamar, Ghostface Killah, Summer Walker"/>
        <s v="Kendrick Lamar, Jay Rock"/>
        <s v="Kendrick Lamar, Kodak Black"/>
        <s v="Kendrick Lamar, Sam Dew, Baby Keem"/>
        <s v="Kendrick Lamar, Sampha"/>
        <s v="Kendrick Lamar, Tanna Leone"/>
        <s v="Kendrick Lamar, Taylour Paige"/>
        <s v="Kenia OS"/>
        <s v="Kenshi Yonezu"/>
        <s v="Kevin Gates, Juicy J"/>
        <s v="Kevin Kaarl"/>
        <s v="King"/>
        <s v="Kodak Black"/>
        <s v="Kodak Black, NLE Choppa, Muni Long, JVKE, Jimin"/>
        <s v="Kordhell"/>
        <s v="L7nnon, DJ Biel do Furduncinho, Bianca"/>
        <s v="Labrinth"/>
        <s v="Labrinth, Zendaya"/>
        <s v="Lady Gaga"/>
        <s v="Lady Gaga, Bradley Cooper"/>
        <s v="Lana Del Rey"/>
        <s v="Lana Del Rey, Taylor Swift"/>
        <s v="Lasso"/>
        <s v="Latto, Jung Kook"/>
        <s v="Lauren Spencer Smith"/>
        <s v="Lauren Spencer Smith, Lauren Spencer Smith, Lauren Spencer Smith"/>
        <s v="LE SSERAFIM"/>
        <s v="Leah Kate"/>
        <s v="Leo Santana"/>
        <s v="Lewis Capaldi"/>
        <s v="LF System"/>
        <s v="Libianca"/>
        <s v="Lil Baby"/>
        <s v="Lil Durk, Morgan Wallen"/>
        <s v="Lil Nas X"/>
        <s v="Lil Tjay"/>
        <s v="Lil Uzi Vert"/>
        <s v="Lil Yachty"/>
        <s v="Linkin Park"/>
        <s v="Lisa"/>
        <s v="Lit Killah, Maria Becerra, Tiago pzk, NICKI NICOLE"/>
        <s v="Lizzo"/>
        <s v="Lizzy McAlpine"/>
        <s v="Lord Huron"/>
        <s v="Loreen"/>
        <s v="Lost Frequencies, Calum Scott"/>
        <s v="Luar La L"/>
        <s v="Luciano"/>
        <s v="Luciano, Aitch, Bï¿½"/>
        <s v="Ludwig Goransson, Foudeqush"/>
        <s v="Luï¿½ï¿½sa Sonza, MC Frog, Dj Gabriel do Borel, Davi K"/>
        <s v="Luis R Conriquez, La Adictiva"/>
        <s v="Luke Combs"/>
        <s v="Luude, Colin Hay"/>
        <s v="Mabel Matiz, Mert Demir"/>
        <s v="Mac DeMarco"/>
        <s v="Mae Stephens"/>
        <s v="Mahalini"/>
        <s v="Mahmood, Blanco"/>
        <s v="Mainstreet, Chefin"/>
        <s v="Maldy, Karol G"/>
        <s v="Maluma"/>
        <s v="Mambo Kingz, DJ Luian, Anuel Aa"/>
        <s v="Manuel Turizo"/>
        <s v="Marï¿½ï¿½lia Mendo"/>
        <s v="Marï¿½ï¿½lia Mendonï¿½ï¿½a, George Henrique &amp;"/>
        <s v="Marï¿½ï¿½lia Mendonï¿½ï¿½a, Hugo &amp; G"/>
        <s v="Marï¿½ï¿½lia Mendonï¿½ï¿½a, Maiara &amp;"/>
        <s v="Maria Becerra"/>
        <s v="Mariah Carey"/>
        <s v="Maroon 5"/>
        <s v="Maroon 5, Wiz Khalifa"/>
        <s v="Marshmello, Jonas Brothers"/>
        <s v="Marshmello, Juice WRLD"/>
        <s v="Marshmello, Khalid"/>
        <s v="Marshmello, Manuel Turizo"/>
        <s v="Masked Wolf"/>
        <s v="Matuï¿½ï¿½, Wiu, "/>
        <s v="MC Caverinha, KayBlack"/>
        <s v="Mc Livinho, DJ Matt D"/>
        <s v="Mc Pedrinho, DJ 900"/>
        <s v="Mc Pedrinho, Pedro Sampaio"/>
        <s v="MC Ryan SP, Love Funk, Mc Paiva ZS"/>
        <s v="Mc Vitin Da Igrejinha, MC Tairon, DJ Win"/>
        <s v="MC Xenon, Os Gemeos da Putaria"/>
        <s v="Meghan Trainor"/>
        <s v="Melanie Martinez"/>
        <s v="Melody, Ana Castela, Dj Chris No Beat"/>
        <s v="Metallica"/>
        <s v="Metro Boomin, Coi Leray"/>
        <s v="Mï¿½ï¿½ne"/>
        <s v="Michael Bublï¿"/>
        <s v="Migrantes, LiL CaKe, Nico Valdi"/>
        <s v="Miguel"/>
        <s v="Miley Cyrus"/>
        <s v="MNEK, Jax Jones"/>
        <s v="Morgan Wallen"/>
        <s v="Morgan Wallen, Eric Church"/>
        <s v="Mr.Kitty"/>
        <s v="Muni Long"/>
        <s v="Musical Youth"/>
        <s v="Myke Towers"/>
        <s v="Myke Towers, Quevedo"/>
        <s v="Nat King Cole"/>
        <s v="Natanael Cano"/>
        <s v="Natanael Cano, Gabito Ballesteros, Peso Pluma"/>
        <s v="Natanael Cano, Peso Pluma"/>
        <s v="Nayeon"/>
        <s v="NEIKED, Mae Muller, Polo G"/>
        <s v="Nengo Flow, Anuel Aa, Chris Jedi, Chencho Corleone"/>
        <s v="Nengo Flow, Bad Bunny"/>
        <s v="Nessa Barrett"/>
        <s v="New West"/>
        <s v="NewJeans"/>
        <s v="NF"/>
        <s v="Niall Horan"/>
        <s v="Nicki Minaj"/>
        <s v="Nicki Minaj, Aqua, Ice Spice"/>
        <s v="Nicki Minaj, Ice Spice"/>
        <s v="Nicki Minaj, Lil Baby"/>
        <s v="Nicky Jam, Feid"/>
        <s v="Nicky Youre, Dazy"/>
        <s v="NIKI"/>
        <s v="Nile Rodgers, LE SSERAFIM"/>
        <s v="Nirvana"/>
        <s v="NLE Choppa"/>
        <s v="NMIXX"/>
        <s v="Offset, JID"/>
        <s v="Olga Merediz, Stephanie Beatriz, Encanto - Cast"/>
        <s v="Oliver Tree"/>
        <s v="Olivia Rodrigo"/>
        <s v="Omar Apollo"/>
        <s v="One Direction"/>
        <s v="OneRepublic"/>
        <s v="Oscar Maydon, Junior H"/>
        <s v="Ovy On The Drums, Quevedo"/>
        <s v="Oxlade"/>
        <s v="Ozuna, Feid"/>
        <s v="Ozuna, Shakira"/>
        <s v="Ozuna, Tiago pzk"/>
        <s v="P!nk"/>
        <s v="Paloma Faith"/>
        <s v="Panic! At The Disco"/>
        <s v="Paul McCartney"/>
        <s v="Paulo Londra"/>
        <s v="Peggy Gou"/>
        <s v="Perry Como, The Fontane Sisters, Mitchell Ayres &amp; His Orchestra"/>
        <s v="Peso Pluma"/>
        <s v="Peso Pluma, Grupo Frontera"/>
        <s v="Peso Pluma, Luis R Conriquez"/>
        <s v="Peso Pluma, Yng Lvcas"/>
        <s v="Pharrell Williams, Nile Rodgers, Daft Punk"/>
        <s v="Pharrell Williams, Tyler, The Creator, 21 Savage"/>
        <s v="PinkPantheress"/>
        <s v="PinkPantheress, Ice Spice"/>
        <s v="Plan B"/>
        <s v="Playboi Carti"/>
        <s v="PnB Rock"/>
        <s v="Polima WestCoast, Pailita"/>
        <s v="Polo G"/>
        <s v="Post Malone"/>
        <s v="Post Malone, Doja Cat"/>
        <s v="Post Malone, Roddy Ricch"/>
        <s v="Post Malone, Swae Lee"/>
        <s v="Prezioso, Gabry Ponte, LUM!X"/>
        <s v="Pritam, Arijit Singh, Amitabh Bhattacharya"/>
        <s v="PSY, Suga"/>
        <s v="Queen"/>
        <s v="Quevedo"/>
        <s v="Quevedo, Jhayco"/>
        <s v="Quevedo, La Pantera, Juseph, Cruz Cafunï¿½ï¿½, Bï¿½ï¿½jo, Abhir Hathi"/>
        <s v="Radiohead"/>
        <s v="Raim Laode"/>
        <s v="Rauw Alejandro"/>
        <s v="Rauw Alejandro, Bizarrap"/>
        <s v="Rauw Alejandro, ROSALï¿½"/>
        <s v="Ray Dalton, Ryan Lewis, Macklemore"/>
        <s v="RAYE, 070 Shake"/>
        <s v="Rels B"/>
        <s v="Residente, Bizarrap"/>
        <s v="Rex Orange County"/>
        <s v="Rï¿½ï"/>
        <s v="Rï¿½ï¿½ma, Selena G"/>
        <s v="Rich The Kid, Matuï¿"/>
        <s v="Rihanna"/>
        <s v="Rihanna, Calvin Harris"/>
        <s v="Riton, Nightcrawlers, Mufasa &amp; Hypeman, Dopamine"/>
        <s v="RM"/>
        <s v="RM, Colde"/>
        <s v="Robin Schulz, Oliver Tree"/>
        <s v="Rosa Linn"/>
        <s v="Rosa Walton, Hallie Coggins"/>
        <s v="ROSALï¿½"/>
        <s v="Ruth B."/>
        <s v="Ryan Castro"/>
        <s v="Sabrina Carpenter"/>
        <s v="Sachin-Jigar, Shadab Faridi, Altamash Faridi, Amitabh Bhattacharya, Varun Jain"/>
        <s v="SALES"/>
        <s v="Sam Ryder"/>
        <s v="Sam Smith"/>
        <s v="Sam Smith, Calvin Harris, Jessie Reyez"/>
        <s v="Sam Smith, Kim Petras"/>
        <s v="Schï¿½ï¿½rze, DJ R"/>
        <s v="Seafret"/>
        <s v="Sean Paul, Dua Lipa"/>
        <s v="Sean Paul, Feid"/>
        <s v="Sebastian Yatra"/>
        <s v="Sebastian Yatra, Manuel Turizo, Beï¿½ï"/>
        <s v="Sech, Bad Bunny, Mora"/>
        <s v="Sech, Mora"/>
        <s v="Selena Gomez"/>
        <s v="Semicenk, Doï¿½ï¿½u "/>
        <s v="SEVENTEEN"/>
        <s v="Shae Gill, Ali Sethi"/>
        <s v="Shakin' Stevens"/>
        <s v="Shakira"/>
        <s v="Shakira, Bizarrap"/>
        <s v="Shakira, Rauw Alejandro"/>
        <s v="Shawn Mendes"/>
        <s v="Shawn Mendes, Camila Cabello"/>
        <s v="Shubh"/>
        <s v="Sia"/>
        <s v="Sidhu Moose Wala"/>
        <s v="SiM"/>
        <s v="Simone Mendes"/>
        <s v="Skrillex, Flowdan, Fred again.."/>
        <s v="Sleepy hallow"/>
        <s v="Sleepy hallow, 347aidan"/>
        <s v="Snoop Dogg, BTS, Benny Blanco"/>
        <s v="Sofia Carson"/>
        <s v="Sog, Ryan Castro, Peso Pluma"/>
        <s v="Southstar"/>
        <s v="sped up 8282"/>
        <s v="sped up nightcore, ARIZONATEARS, Lil Uzi Vert"/>
        <s v="Stephanie Beatriz, Diane Guerrero"/>
        <s v="Stephen Sanchez"/>
        <s v="Steve Aoki, Tini, La Joaqui"/>
        <s v="Steve Lacy"/>
        <s v="Stray Kids"/>
        <s v="Stromae"/>
        <s v="Styrx, utku INC, Thezth"/>
        <s v="Suki Waterhouse"/>
        <s v="Surf Curse"/>
        <s v="Swae Lee, A Boogie Wit da Hoodie, Metro Boomin, NAV"/>
        <s v="Swae Lee, Lil Wayne, Offset, Metro Boomin"/>
        <s v="SZA"/>
        <s v="SZA, Doja Cat"/>
        <s v="SZA, Don Toliver"/>
        <s v="SZA, Phoebe Bridgers"/>
        <s v="SZA, Travis Scott"/>
        <s v="TAEYANG, Jimin"/>
        <s v="TAEYANG, Lisa"/>
        <s v="Tainy, Bad Bunny"/>
        <s v="Taiu, Milo j"/>
        <s v="Tate McRae"/>
        <s v="Taylor Swift"/>
        <s v="Taylor Swift, Ice Spice"/>
        <s v="Taylor Swift, Lana Del Rey"/>
        <s v="Tears For Fears"/>
        <s v="teto"/>
        <s v="THE ANXIETY, Willow, Tyler Cole"/>
        <s v="The Chainsmokers, Coldplay"/>
        <s v="The Chainsmokers, Halsey"/>
        <s v="The Goo Goo Dolls"/>
        <s v="The Kid Laroi"/>
        <s v="The Killers"/>
        <s v="The Neighbourhood"/>
        <s v="The Police"/>
        <s v="The Rare Occasions"/>
        <s v="The Ronettes"/>
        <s v="The Walters"/>
        <s v="The Weeknd"/>
        <s v="The Weeknd, 21 Savage, Metro Boomin"/>
        <s v="The Weeknd, Daft Punk"/>
        <s v="The Weeknd, Future"/>
        <s v="The Weeknd, Gesaffelstein"/>
        <s v="The Weeknd, Lana Del Rey"/>
        <s v="The Weeknd, Lil Wayne"/>
        <s v="The Weeknd, Madonna, Playboi Carti"/>
        <s v="The Weeknd, Post Malone"/>
        <s v="The Weeknd, ROSALï¿½"/>
        <s v="The Weeknd, Swedish House Mafia"/>
        <s v="The Weeknd, Tyler, The Creator"/>
        <s v="ThxSoMch"/>
        <s v="Tiï¿½ï¿"/>
        <s v="Tiï¿½ï¿½sto, Ava"/>
        <s v="Tiï¿½ï¿½sto, Kar"/>
        <s v="Tiï¿½ï¿½sto, Tate M"/>
        <s v="Tini"/>
        <s v="Tini, L-Gante"/>
        <s v="Tini, Maria Becerra"/>
        <s v="Tom Odell"/>
        <s v="TOMORROW X TOGETHER"/>
        <s v="Tones and I"/>
        <s v="Tony Dize, Bad Bunny"/>
        <s v="Tory Lanez"/>
        <s v="Travis Scott, 21 Savage, Metro Boomin"/>
        <s v="Travis Scott, Metro Boomin"/>
        <s v="Travis Scott, Young Thug, Metro Boomin"/>
        <s v="Treasure"/>
        <s v="Treyce"/>
        <s v="Troye Sivan"/>
        <s v="Trueno"/>
        <s v="Trueno, Tiago pzk"/>
        <s v="Tulus"/>
        <s v="TV Girl"/>
        <s v="TWICE"/>
        <s v="Twisted, Oliver Tree"/>
        <s v="Tyga, Doja Cat"/>
        <s v="Tyler, The Creator"/>
        <s v="Tyler, The Creator, Kali Uchis"/>
        <s v="Ugly Dray, Tesla Jnr"/>
        <s v="V"/>
        <s v="Vance Joy"/>
        <s v="Veigh, Bvga Beatz, Supernova Ent, Prod Malax"/>
        <s v="Victor Cibrian"/>
        <s v="Vishal-Shekhar, Shilpa Rao, Caralisa Monteiro, Kumaar, Vishal Dadlani, Shekhar Ravjiani"/>
        <s v="Vundabar"/>
        <s v="Wham!"/>
        <s v="Willow"/>
        <s v="Wisin &amp; Yandel, ROSALï¿½"/>
        <s v="WizKid, Toian, Metro Boomin, Don Toliver, Beam"/>
        <s v="Xamï¿½ï¿½, Gustah, Neo B"/>
        <s v="XXXTENTACION"/>
        <s v="Yahritza Y Su Esencia"/>
        <s v="Yahritza Y Su Esencia, Grupo Frontera"/>
        <s v="Yandel, Feid"/>
        <s v="YEAT"/>
        <s v="Yng Lvcas"/>
        <s v="YOASOBI"/>
        <s v="Young Thug, Future, Gunna"/>
        <s v="Yung Gravy"/>
        <s v="Yung Lean"/>
        <s v="Yuridia, Angela Aguilar"/>
        <s v="Zach Bryan"/>
        <s v="Zï¿½ï¿½ Fe"/>
        <s v="Zï¿½ï¿½ Neto &amp; Crist"/>
        <s v="Zion &amp; Lennox"/>
      </sharedItems>
    </cacheField>
    <cacheField name="track_name" numFmtId="0">
      <sharedItems containsDate="1" containsMixedTypes="1" minDate="1900-01-02T17:22:04" maxDate="1899-12-31T16:41:04"/>
    </cacheField>
    <cacheField name="artist_count" numFmtId="0">
      <sharedItems containsSemiMixedTypes="0" containsString="0" containsNumber="1" containsInteger="1" minValue="1" maxValue="8"/>
    </cacheField>
    <cacheField name="release_date" numFmtId="14">
      <sharedItems containsSemiMixedTypes="0" containsNonDate="0" containsDate="1" containsString="0" minDate="1930-01-01T00:00:00" maxDate="2023-07-15T00:00:00" count="477">
        <d v="2023-07-14T00:00:00"/>
        <d v="2023-03-23T00:00:00"/>
        <d v="2023-06-30T00:00:00"/>
        <d v="2019-08-23T00:00:00"/>
        <d v="2023-05-18T00:00:00"/>
        <d v="2023-06-01T00:00:00"/>
        <d v="2023-03-16T00:00:00"/>
        <d v="2023-07-07T00:00:00"/>
        <d v="2023-05-15T00:00:00"/>
        <d v="2023-03-17T00:00:00"/>
        <d v="2023-04-17T00:00:00"/>
        <d v="2023-01-12T00:00:00"/>
        <d v="2023-04-14T00:00:00"/>
        <d v="2022-03-31T00:00:00"/>
        <d v="2022-12-08T00:00:00"/>
        <d v="2023-02-24T00:00:00"/>
        <d v="2023-07-13T00:00:00"/>
        <d v="2023-03-31T00:00:00"/>
        <d v="2023-03-24T00:00:00"/>
        <d v="2023-06-22T00:00:00"/>
        <d v="2013-01-01T00:00:00"/>
        <d v="2023-05-31T00:00:00"/>
        <d v="2023-06-02T00:00:00"/>
        <d v="2022-03-25T00:00:00"/>
        <d v="2023-06-29T00:00:00"/>
        <d v="2023-01-31T00:00:00"/>
        <d v="2023-05-25T00:00:00"/>
        <d v="2023-06-28T00:00:00"/>
        <d v="2022-12-02T00:00:00"/>
        <d v="2022-10-21T00:00:00"/>
        <d v="2023-02-23T00:00:00"/>
        <d v="2023-04-07T00:00:00"/>
        <d v="2014-01-01T00:00:00"/>
        <d v="2023-05-19T00:00:00"/>
        <d v="2023-02-10T00:00:00"/>
        <d v="2018-10-09T00:00:00"/>
        <d v="2022-08-26T00:00:00"/>
        <d v="2017-07-21T00:00:00"/>
        <d v="2023-06-23T00:00:00"/>
        <d v="2020-11-27T00:00:00"/>
        <d v="2022-05-13T00:00:00"/>
        <d v="2016-11-24T00:00:00"/>
        <d v="2016-09-21T00:00:00"/>
        <d v="2023-04-06T00:00:00"/>
        <d v="2023-06-15T00:00:00"/>
        <d v="2012-10-15T00:00:00"/>
        <d v="2019-11-29T00:00:00"/>
        <d v="2022-05-26T00:00:00"/>
        <d v="2020-07-24T00:00:00"/>
        <d v="2023-05-04T00:00:00"/>
        <d v="2023-02-03T00:00:00"/>
        <d v="2022-06-24T00:00:00"/>
        <d v="2022-10-06T00:00:00"/>
        <d v="1999-01-01T00:00:00"/>
        <d v="2020-06-28T00:00:00"/>
        <d v="2022-07-15T00:00:00"/>
        <d v="2012-05-14T00:00:00"/>
        <d v="2022-07-06T00:00:00"/>
        <d v="2008-01-01T00:00:00"/>
        <d v="2022-07-17T00:00:00"/>
        <d v="2022-09-22T00:00:00"/>
        <d v="2022-12-20T00:00:00"/>
        <d v="1975-01-01T00:00:00"/>
        <d v="2022-04-22T00:00:00"/>
        <d v="2021-07-09T00:00:00"/>
        <d v="2023-03-03T00:00:00"/>
        <d v="2018-11-08T00:00:00"/>
        <d v="2022-05-06T00:00:00"/>
        <d v="2015-06-22T00:00:00"/>
        <d v="2012-06-20T00:00:00"/>
        <d v="2017-11-08T00:00:00"/>
        <d v="2020-06-05T00:00:00"/>
        <d v="2023-05-12T00:00:00"/>
        <d v="2022-12-09T00:00:00"/>
        <d v="2011-01-01T00:00:00"/>
        <d v="2023-06-09T00:00:00"/>
        <d v="2012-01-01T00:00:00"/>
        <d v="2004-01-01T00:00:00"/>
        <d v="2022-04-20T00:00:00"/>
        <d v="2017-11-10T00:00:00"/>
        <d v="2017-04-28T00:00:00"/>
        <d v="2021-03-11T00:00:00"/>
        <d v="1985-02-17T00:00:00"/>
        <d v="2014-12-09T00:00:00"/>
        <d v="2023-02-25T00:00:00"/>
        <d v="2023-02-08T00:00:00"/>
        <d v="2023-03-10T00:00:00"/>
        <d v="2021-06-11T00:00:00"/>
        <d v="2022-08-19T00:00:00"/>
        <d v="2011-08-16T00:00:00"/>
        <d v="2019-11-17T00:00:00"/>
        <d v="2017-08-11T00:00:00"/>
        <d v="2023-06-21T00:00:00"/>
        <d v="2023-01-02T00:00:00"/>
        <d v="2023-01-11T00:00:00"/>
        <d v="2007-04-20T00:00:00"/>
        <d v="2023-05-22T00:00:00"/>
        <d v="2017-01-01T00:00:00"/>
        <d v="2022-07-20T00:00:00"/>
        <d v="2017-01-31T00:00:00"/>
        <d v="2002-01-01T00:00:00"/>
        <d v="2019-05-10T00:00:00"/>
        <d v="2023-01-27T00:00:00"/>
        <d v="2023-05-26T00:00:00"/>
        <d v="2010-01-01T00:00:00"/>
        <d v="2023-02-02T00:00:00"/>
        <d v="2012-12-05T00:00:00"/>
        <d v="2023-04-04T00:00:00"/>
        <d v="2022-06-17T00:00:00"/>
        <d v="2021-03-19T00:00:00"/>
        <d v="2019-10-04T00:00:00"/>
        <d v="2023-01-23T00:00:00"/>
        <d v="2004-07-13T00:00:00"/>
        <d v="2016-04-04T00:00:00"/>
        <d v="2020-03-20T00:00:00"/>
        <d v="2010-05-25T00:00:00"/>
        <d v="1983-01-06T00:00:00"/>
        <d v="2015-02-02T00:00:00"/>
        <d v="2018-05-25T00:00:00"/>
        <d v="2023-04-12T00:00:00"/>
        <d v="2016-11-25T00:00:00"/>
        <d v="2022-03-19T00:00:00"/>
        <d v="2017-01-06T00:00:00"/>
        <d v="2014-11-17T00:00:00"/>
        <d v="2023-01-13T00:00:00"/>
        <d v="1992-09-21T00:00:00"/>
        <d v="2019-10-18T00:00:00"/>
        <d v="2017-03-21T00:00:00"/>
        <d v="2016-08-20T00:00:00"/>
        <d v="2019-08-30T00:00:00"/>
        <d v="2013-09-13T00:00:00"/>
        <d v="2022-12-16T00:00:00"/>
        <d v="2021-04-09T00:00:00"/>
        <d v="2020-02-10T00:00:00"/>
        <d v="1968-07-01T00:00:00"/>
        <d v="2010-07-20T00:00:00"/>
        <d v="2023-06-08T00:00:00"/>
        <d v="2022-12-19T00:00:00"/>
        <d v="1984-10-19T00:00:00"/>
        <d v="2023-05-01T00:00:00"/>
        <d v="2023-05-11T00:00:00"/>
        <d v="2022-11-24T00:00:00"/>
        <d v="2023-03-30T00:00:00"/>
        <d v="2023-05-13T00:00:00"/>
        <d v="2022-09-29T00:00:00"/>
        <d v="2022-10-12T00:00:00"/>
        <d v="2022-11-30T00:00:00"/>
        <d v="2022-12-01T00:00:00"/>
        <d v="2022-07-08T00:00:00"/>
        <d v="2023-03-01T00:00:00"/>
        <d v="2022-06-29T00:00:00"/>
        <d v="2022-07-29T00:00:00"/>
        <d v="2023-06-05T00:00:00"/>
        <d v="2023-04-21T00:00:00"/>
        <d v="2023-02-14T00:00:00"/>
        <d v="2022-10-17T00:00:00"/>
        <d v="2016-01-21T00:00:00"/>
        <d v="2021-09-01T00:00:00"/>
        <d v="2022-11-04T00:00:00"/>
        <d v="2021-10-14T00:00:00"/>
        <d v="2000-01-01T00:00:00"/>
        <d v="2021-12-10T00:00:00"/>
        <d v="2022-06-10T00:00:00"/>
        <d v="2023-05-05T00:00:00"/>
        <d v="2023-04-30T00:00:00"/>
        <d v="2022-04-08T00:00:00"/>
        <d v="2023-04-10T00:00:00"/>
        <d v="1997-01-01T00:00:00"/>
        <d v="2023-03-04T00:00:00"/>
        <d v="2023-04-24T00:00:00"/>
        <d v="2022-04-21T00:00:00"/>
        <d v="2021-09-09T00:00:00"/>
        <d v="2022-12-30T00:00:00"/>
        <d v="2023-04-25T00:00:00"/>
        <d v="2022-08-16T00:00:00"/>
        <d v="2022-07-28T00:00:00"/>
        <d v="2023-02-05T00:00:00"/>
        <d v="2022-04-28T00:00:00"/>
        <d v="2014-06-05T00:00:00"/>
        <d v="2021-11-25T00:00:00"/>
        <d v="2023-04-27T00:00:00"/>
        <d v="2022-12-24T00:00:00"/>
        <d v="2018-03-29T00:00:00"/>
        <d v="2022-09-16T00:00:00"/>
        <d v="2022-12-22T00:00:00"/>
        <d v="2021-12-03T00:00:00"/>
        <d v="2002-05-26T00:00:00"/>
        <d v="2023-03-02T00:00:00"/>
        <d v="2023-03-22T00:00:00"/>
        <d v="2023-03-27T00:00:00"/>
        <d v="2022-11-01T00:00:00"/>
        <d v="2023-03-25T00:00:00"/>
        <d v="2021-12-24T00:00:00"/>
        <d v="2022-05-20T00:00:00"/>
        <d v="2023-03-29T00:00:00"/>
        <d v="2023-03-14T00:00:00"/>
        <d v="2022-04-01T00:00:00"/>
        <d v="2022-10-26T00:00:00"/>
        <d v="2022-01-21T00:00:00"/>
        <d v="1995-07-11T00:00:00"/>
        <d v="2022-11-13T00:00:00"/>
        <d v="2014-11-28T00:00:00"/>
        <d v="2017-02-20T00:00:00"/>
        <d v="2016-09-09T00:00:00"/>
        <d v="2015-05-27T00:00:00"/>
        <d v="2022-12-15T00:00:00"/>
        <d v="2022-07-25T00:00:00"/>
        <d v="2003-03-24T00:00:00"/>
        <d v="2022-08-05T00:00:00"/>
        <d v="2023-02-17T00:00:00"/>
        <d v="2022-11-05T00:00:00"/>
        <d v="2022-10-31T00:00:00"/>
        <d v="2022-05-31T00:00:00"/>
        <d v="2022-08-01T00:00:00"/>
        <d v="2022-10-19T00:00:00"/>
        <d v="2023-01-20T00:00:00"/>
        <d v="2000-10-24T00:00:00"/>
        <d v="2022-06-03T00:00:00"/>
        <d v="2022-09-08T00:00:00"/>
        <d v="2022-12-23T00:00:00"/>
        <d v="2021-09-03T00:00:00"/>
        <d v="2017-08-25T00:00:00"/>
        <d v="2022-11-03T00:00:00"/>
        <d v="2019-06-28T00:00:00"/>
        <d v="2022-10-20T00:00:00"/>
        <d v="2020-02-19T00:00:00"/>
        <d v="2020-05-20T00:00:00"/>
        <d v="2021-09-24T00:00:00"/>
        <d v="2022-10-28T00:00:00"/>
        <d v="2016-11-04T00:00:00"/>
        <d v="2019-04-12T00:00:00"/>
        <d v="2016-09-27T00:00:00"/>
        <d v="2022-02-09T00:00:00"/>
        <d v="2022-11-25T00:00:00"/>
        <d v="2015-01-01T00:00:00"/>
        <d v="2022-11-20T00:00:00"/>
        <d v="2022-07-21T00:00:00"/>
        <d v="2022-12-12T00:00:00"/>
        <d v="2017-06-02T00:00:00"/>
        <d v="2022-04-27T00:00:00"/>
        <d v="2019-10-31T00:00:00"/>
        <d v="2014-08-08T00:00:00"/>
        <d v="2021-07-23T00:00:00"/>
        <d v="2020-01-10T00:00:00"/>
        <d v="2015-04-22T00:00:00"/>
        <d v="2022-09-09T00:00:00"/>
        <d v="2022-10-03T00:00:00"/>
        <d v="2022-01-17T00:00:00"/>
        <d v="2021-06-04T00:00:00"/>
        <d v="2022-08-12T00:00:00"/>
        <d v="1985-09-16T00:00:00"/>
        <d v="1973-01-05T00:00:00"/>
        <d v="2022-08-11T00:00:00"/>
        <d v="2021-07-30T00:00:00"/>
        <d v="2022-09-28T00:00:00"/>
        <d v="2020-09-03T00:00:00"/>
        <d v="2020-12-24T00:00:00"/>
        <d v="2020-03-27T00:00:00"/>
        <d v="2021-06-25T00:00:00"/>
        <d v="2022-09-14T00:00:00"/>
        <d v="2022-03-14T00:00:00"/>
        <d v="1930-01-01T00:00:00"/>
        <d v="1994-10-28T00:00:00"/>
        <d v="1984-01-01T00:00:00"/>
        <d v="1958-01-01T00:00:00"/>
        <d v="1957-01-01T00:00:00"/>
        <d v="2011-10-14T00:00:00"/>
        <d v="2013-12-13T00:00:00"/>
        <d v="1963-10-14T00:00:00"/>
        <d v="1959-11-16T00:00:00"/>
        <d v="2013-10-25T00:00:00"/>
        <d v="1970-11-01T00:00:00"/>
        <d v="1963-11-22T00:00:00"/>
        <d v="1971-12-01T00:00:00"/>
        <d v="1952-01-01T00:00:00"/>
        <d v="1946-11-01T00:00:00"/>
        <d v="1979-11-16T00:00:00"/>
        <d v="1984-11-25T00:00:00"/>
        <d v="1950-01-01T00:00:00"/>
        <d v="1942-01-01T00:00:00"/>
        <d v="1986-01-01T00:00:00"/>
        <d v="2000-11-07T00:00:00"/>
        <d v="1959-01-01T00:00:00"/>
        <d v="2005-09-20T00:00:00"/>
        <d v="2022-08-25T00:00:00"/>
        <d v="2021-08-13T00:00:00"/>
        <d v="2022-01-07T00:00:00"/>
        <d v="2022-01-05T00:00:00"/>
        <d v="2021-08-20T00:00:00"/>
        <d v="2021-11-19T00:00:00"/>
        <d v="2021-06-24T00:00:00"/>
        <d v="2017-06-23T00:00:00"/>
        <d v="2021-08-06T00:00:00"/>
        <d v="2021-05-14T00:00:00"/>
        <d v="2020-09-18T00:00:00"/>
        <d v="2019-07-26T00:00:00"/>
        <d v="2021-09-17T00:00:00"/>
        <d v="2021-11-05T00:00:00"/>
        <d v="2017-12-08T00:00:00"/>
        <d v="2020-09-21T00:00:00"/>
        <d v="2021-10-05T00:00:00"/>
        <d v="2021-09-10T00:00:00"/>
        <d v="2021-11-04T00:00:00"/>
        <d v="2021-10-22T00:00:00"/>
        <d v="2021-05-21T00:00:00"/>
        <d v="2021-01-08T00:00:00"/>
        <d v="2021-11-30T00:00:00"/>
        <d v="2021-11-12T00:00:00"/>
        <d v="2021-11-18T00:00:00"/>
        <d v="2021-10-27T00:00:00"/>
        <d v="2021-12-01T00:00:00"/>
        <d v="2018-03-09T00:00:00"/>
        <d v="2021-10-30T00:00:00"/>
        <d v="2021-08-03T00:00:00"/>
        <d v="2020-11-02T00:00:00"/>
        <d v="2020-03-13T00:00:00"/>
        <d v="2020-10-30T00:00:00"/>
        <d v="2021-12-29T00:00:00"/>
        <d v="2022-01-09T00:00:00"/>
        <d v="2021-09-08T00:00:00"/>
        <d v="2020-07-17T00:00:00"/>
        <d v="2021-09-16T00:00:00"/>
        <d v="2021-04-01T00:00:00"/>
        <d v="2020-08-21T00:00:00"/>
        <d v="2019-01-11T00:00:00"/>
        <d v="2021-10-21T00:00:00"/>
        <d v="2021-07-08T00:00:00"/>
        <d v="2021-03-05T00:00:00"/>
        <d v="2021-08-01T00:00:00"/>
        <d v="1970-01-01T00:00:00"/>
        <d v="2021-11-11T00:00:00"/>
        <d v="2015-05-10T00:00:00"/>
        <d v="2015-10-30T00:00:00"/>
        <d v="2021-11-17T00:00:00"/>
        <d v="2021-08-29T00:00:00"/>
        <d v="2019-11-01T00:00:00"/>
        <d v="2020-12-25T00:00:00"/>
        <d v="2010-11-29T00:00:00"/>
        <d v="2021-12-23T00:00:00"/>
        <d v="2021-05-07T00:00:00"/>
        <d v="2020-01-01T00:00:00"/>
        <d v="2020-10-23T00:00:00"/>
        <d v="2021-10-01T00:00:00"/>
        <d v="2020-02-21T00:00:00"/>
        <d v="2016-11-18T00:00:00"/>
        <d v="2016-04-20T00:00:00"/>
        <d v="2021-04-14T00:00:00"/>
        <d v="2017-03-30T00:00:00"/>
        <d v="2021-07-28T00:00:00"/>
        <d v="2019-01-01T00:00:00"/>
        <d v="2021-09-02T00:00:00"/>
        <d v="2021-08-10T00:00:00"/>
        <d v="2010-10-04T00:00:00"/>
        <d v="2020-04-17T00:00:00"/>
        <d v="2017-06-15T00:00:00"/>
        <d v="2021-01-28T00:00:00"/>
        <d v="2013-08-01T00:00:00"/>
        <d v="1991-09-10T00:00:00"/>
        <d v="2019-03-07T00:00:00"/>
        <d v="2022-01-10T00:00:00"/>
        <d v="2021-08-27T00:00:00"/>
        <d v="2003-09-23T00:00:00"/>
        <d v="2019-11-07T00:00:00"/>
        <d v="2018-09-27T00:00:00"/>
        <d v="2021-04-28T00:00:00"/>
        <d v="2021-01-15T00:00:00"/>
        <d v="2019-09-20T00:00:00"/>
        <d v="2021-08-12T00:00:00"/>
        <d v="2021-04-29T00:00:00"/>
        <d v="2022-02-10T00:00:00"/>
        <d v="2022-02-11T00:00:00"/>
        <d v="2022-01-19T00:00:00"/>
        <d v="2022-02-02T00:00:00"/>
        <d v="2022-02-04T00:00:00"/>
        <d v="2013-08-16T00:00:00"/>
        <d v="2019-08-04T00:00:00"/>
        <d v="2016-08-05T00:00:00"/>
        <d v="2019-06-21T00:00:00"/>
        <d v="2022-01-14T00:00:00"/>
        <d v="1995-12-28T00:00:00"/>
        <d v="2021-12-17T00:00:00"/>
        <d v="1999-11-21T00:00:00"/>
        <d v="2020-01-16T00:00:00"/>
        <d v="2017-10-04T00:00:00"/>
        <d v="2020-02-29T00:00:00"/>
        <d v="2022-01-28T00:00:00"/>
        <d v="2022-01-15T00:00:00"/>
        <d v="2015-07-24T00:00:00"/>
        <d v="2019-06-19T00:00:00"/>
        <d v="2019-05-16T00:00:00"/>
        <d v="2019-12-06T00:00:00"/>
        <d v="1991-09-24T00:00:00"/>
        <d v="2022-03-11T00:00:00"/>
        <d v="2022-03-04T00:00:00"/>
        <d v="2022-03-03T00:00:00"/>
        <d v="2022-02-01T00:00:00"/>
        <d v="2004-05-04T00:00:00"/>
        <d v="2021-04-30T00:00:00"/>
        <d v="2022-02-18T00:00:00"/>
        <d v="2022-02-15T00:00:00"/>
        <d v="2013-07-16T00:00:00"/>
        <d v="2022-02-25T00:00:00"/>
        <d v="1975-10-31T00:00:00"/>
        <d v="2018-03-16T00:00:00"/>
        <d v="2020-10-08T00:00:00"/>
        <d v="2017-02-22T00:00:00"/>
        <d v="2016-05-31T00:00:00"/>
        <d v="2022-02-22T00:00:00"/>
        <d v="2022-03-23T00:00:00"/>
        <d v="2022-02-17T00:00:00"/>
        <d v="2015-01-11T00:00:00"/>
        <d v="2022-04-05T00:00:00"/>
        <d v="2022-03-18T00:00:00"/>
        <d v="2022-04-06T00:00:00"/>
        <d v="2022-04-07T00:00:00"/>
        <d v="2022-01-30T00:00:00"/>
        <d v="2022-03-30T00:00:00"/>
        <d v="2022-03-17T00:00:00"/>
        <d v="2019-12-13T00:00:00"/>
        <d v="1996-11-24T00:00:00"/>
        <d v="2016-09-23T00:00:00"/>
        <d v="2014-06-20T00:00:00"/>
        <d v="2015-11-09T00:00:00"/>
        <d v="2022-04-14T00:00:00"/>
        <d v="2022-05-12T00:00:00"/>
        <d v="2022-02-14T00:00:00"/>
        <d v="2019-05-31T00:00:00"/>
        <d v="2016-01-15T00:00:00"/>
        <d v="2022-04-29T00:00:00"/>
        <d v="2022-03-10T00:00:00"/>
        <d v="2022-04-25T00:00:00"/>
        <d v="2022-02-06T00:00:00"/>
        <d v="2022-01-26T00:00:00"/>
        <d v="2022-04-13T00:00:00"/>
        <d v="2022-05-02T00:00:00"/>
        <d v="2022-04-24T00:00:00"/>
        <d v="1998-03-31T00:00:00"/>
        <d v="2022-05-08T00:00:00"/>
        <d v="2017-10-20T00:00:00"/>
        <d v="2021-08-09T00:00:00"/>
        <d v="2022-05-27T00:00:00"/>
        <d v="1982-01-01T00:00:00"/>
        <d v="2022-06-08T00:00:00"/>
        <d v="2022-06-09T00:00:00"/>
        <d v="2022-05-25T00:00:00"/>
        <d v="2022-05-03T00:00:00"/>
        <d v="2022-06-02T00:00:00"/>
        <d v="2016-11-10T00:00:00"/>
        <d v="2018-09-12T00:00:00"/>
        <d v="2021-05-15T00:00:00"/>
        <d v="1986-03-03T00:00:00"/>
        <d v="2022-06-21T00:00:00"/>
        <d v="2022-06-16T00:00:00"/>
        <d v="2022-03-24T00:00:00"/>
        <d v="2022-07-01T00:00:00"/>
        <d v="1987-01-01T00:00:00"/>
        <d v="2022-08-04T00:00:00"/>
        <d v="2020-12-18T00:00:00"/>
        <d v="2019-09-13T00:00:00"/>
        <d v="2022-07-12T00:00:00"/>
        <d v="2022-07-22T00:00:00"/>
        <d v="2022-08-15T00:00:00"/>
        <d v="2022-08-22T00:00:00"/>
        <d v="2022-06-15T00:00:00"/>
        <d v="2022-01-20T00:00:00"/>
        <d v="2022-09-13T00:00:00"/>
        <d v="2002-08-05T00:00:00"/>
        <d v="2000-07-10T00:00:00"/>
        <d v="2022-09-02T00:00:00"/>
        <d v="2016-06-23T00:00:00"/>
        <d v="2022-06-23T00:00:00"/>
        <d v="2022-10-07T00:00:00"/>
        <d v="2022-10-14T00:00:00"/>
        <d v="2022-08-18T00:00:00"/>
        <d v="1982-05-16T00:00:00"/>
        <d v="2018-11-21T00:00:00"/>
        <d v="2022-07-14T00:00:00"/>
      </sharedItems>
    </cacheField>
    <cacheField name="in_spotify_playlists" numFmtId="0">
      <sharedItems containsSemiMixedTypes="0" containsString="0" containsNumber="1" containsInteger="1" minValue="31" maxValue="52898"/>
    </cacheField>
    <cacheField name="in_spotify_charts" numFmtId="0">
      <sharedItems containsSemiMixedTypes="0" containsString="0" containsNumber="1" containsInteger="1" minValue="0" maxValue="147"/>
    </cacheField>
    <cacheField name="streams" numFmtId="0">
      <sharedItems containsMixedTypes="1" containsNumber="1" containsInteger="1" minValue="2762" maxValue="3703895074"/>
    </cacheField>
    <cacheField name="popular" numFmtId="0">
      <sharedItems/>
    </cacheField>
    <cacheField name="in_apple_playlists" numFmtId="0">
      <sharedItems containsSemiMixedTypes="0" containsString="0" containsNumber="1" containsInteger="1" minValue="0" maxValue="672"/>
    </cacheField>
    <cacheField name="in_apple_charts" numFmtId="0">
      <sharedItems containsSemiMixedTypes="0" containsString="0" containsNumber="1" containsInteger="1" minValue="0" maxValue="275"/>
    </cacheField>
    <cacheField name="in_deezer_playlists" numFmtId="0">
      <sharedItems containsSemiMixedTypes="0" containsString="0" containsNumber="1" containsInteger="1" minValue="0" maxValue="12367"/>
    </cacheField>
    <cacheField name="in_deezer_charts" numFmtId="0">
      <sharedItems containsSemiMixedTypes="0" containsString="0" containsNumber="1" containsInteger="1" minValue="0" maxValue="58"/>
    </cacheField>
    <cacheField name="in_shazam_charts" numFmtId="0">
      <sharedItems containsString="0" containsBlank="1" containsNumber="1" containsInteger="1" minValue="0" maxValue="1451"/>
    </cacheField>
    <cacheField name="bpm" numFmtId="0">
      <sharedItems containsSemiMixedTypes="0" containsString="0" containsNumber="1" containsInteger="1" minValue="65" maxValue="206"/>
    </cacheField>
    <cacheField name="key" numFmtId="0">
      <sharedItems containsBlank="1"/>
    </cacheField>
    <cacheField name="mode" numFmtId="0">
      <sharedItems/>
    </cacheField>
    <cacheField name="danceability_%" numFmtId="9">
      <sharedItems containsSemiMixedTypes="0" containsString="0" containsNumber="1" containsInteger="1" minValue="23" maxValue="96"/>
    </cacheField>
    <cacheField name="valence_%" numFmtId="9">
      <sharedItems containsSemiMixedTypes="0" containsString="0" containsNumber="1" containsInteger="1" minValue="4" maxValue="97"/>
    </cacheField>
    <cacheField name="energy_%" numFmtId="9">
      <sharedItems containsSemiMixedTypes="0" containsString="0" containsNumber="1" containsInteger="1" minValue="9" maxValue="97"/>
    </cacheField>
    <cacheField name="acousticness_%" numFmtId="9">
      <sharedItems containsSemiMixedTypes="0" containsString="0" containsNumber="1" containsInteger="1" minValue="0" maxValue="97"/>
    </cacheField>
    <cacheField name="instrumentalness_%" numFmtId="9">
      <sharedItems containsSemiMixedTypes="0" containsString="0" containsNumber="1" containsInteger="1" minValue="0" maxValue="91"/>
    </cacheField>
    <cacheField name="liveness_%" numFmtId="9">
      <sharedItems containsSemiMixedTypes="0" containsString="0" containsNumber="1" containsInteger="1" minValue="3" maxValue="97"/>
    </cacheField>
    <cacheField name="speechiness_%" numFmtId="9">
      <sharedItems containsSemiMixedTypes="0" containsString="0" containsNumber="1" containsInteger="1" minValue="2" maxValue="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3">
  <r>
    <x v="0"/>
    <s v="Seven (feat. Latto) (Explicit Ver.)"/>
    <n v="2"/>
    <x v="0"/>
    <n v="553"/>
    <n v="147"/>
    <n v="141381703"/>
    <s v="no"/>
    <n v="43"/>
    <n v="263"/>
    <n v="45"/>
    <n v="10"/>
    <n v="826"/>
    <n v="125"/>
    <s v="B"/>
    <s v="Major"/>
    <n v="80"/>
    <n v="89"/>
    <n v="83"/>
    <n v="31"/>
    <n v="0"/>
    <n v="8"/>
    <n v="4"/>
  </r>
  <r>
    <x v="0"/>
    <s v="LALA"/>
    <n v="1"/>
    <x v="1"/>
    <n v="1474"/>
    <n v="48"/>
    <n v="133716286"/>
    <s v="no"/>
    <n v="48"/>
    <n v="126"/>
    <n v="58"/>
    <n v="14"/>
    <n v="382"/>
    <n v="92"/>
    <s v="C#"/>
    <s v="Major"/>
    <n v="71"/>
    <n v="61"/>
    <n v="74"/>
    <n v="7"/>
    <n v="0"/>
    <n v="10"/>
    <n v="4"/>
  </r>
  <r>
    <x v="1"/>
    <s v="vampire"/>
    <n v="1"/>
    <x v="2"/>
    <n v="1397"/>
    <n v="113"/>
    <n v="140003974"/>
    <s v="no"/>
    <n v="94"/>
    <n v="207"/>
    <n v="91"/>
    <n v="14"/>
    <n v="949"/>
    <n v="138"/>
    <s v="F"/>
    <s v="Major"/>
    <n v="51"/>
    <n v="32"/>
    <n v="53"/>
    <n v="17"/>
    <n v="0"/>
    <n v="31"/>
    <n v="6"/>
  </r>
  <r>
    <x v="2"/>
    <s v="Cruel Summer"/>
    <n v="1"/>
    <x v="3"/>
    <n v="7858"/>
    <n v="100"/>
    <n v="800840817"/>
    <s v="yes"/>
    <n v="116"/>
    <n v="207"/>
    <n v="125"/>
    <n v="12"/>
    <n v="548"/>
    <n v="170"/>
    <s v="A"/>
    <s v="Major"/>
    <n v="55"/>
    <n v="58"/>
    <n v="72"/>
    <n v="11"/>
    <n v="0"/>
    <n v="11"/>
    <n v="15"/>
  </r>
  <r>
    <x v="3"/>
    <s v="WHERE SHE GOES"/>
    <n v="1"/>
    <x v="4"/>
    <n v="3133"/>
    <n v="50"/>
    <n v="303236322"/>
    <s v="yes"/>
    <n v="84"/>
    <n v="133"/>
    <n v="87"/>
    <n v="15"/>
    <n v="425"/>
    <n v="144"/>
    <s v="A"/>
    <s v="Minor"/>
    <n v="65"/>
    <n v="23"/>
    <n v="80"/>
    <n v="14"/>
    <n v="63"/>
    <n v="11"/>
    <n v="6"/>
  </r>
  <r>
    <x v="4"/>
    <s v="Sprinter"/>
    <n v="2"/>
    <x v="5"/>
    <n v="2186"/>
    <n v="91"/>
    <n v="183706234"/>
    <s v="no"/>
    <n v="67"/>
    <n v="213"/>
    <n v="88"/>
    <n v="17"/>
    <n v="946"/>
    <n v="141"/>
    <s v="C#"/>
    <s v="Major"/>
    <n v="92"/>
    <n v="66"/>
    <n v="58"/>
    <n v="19"/>
    <n v="0"/>
    <n v="8"/>
    <n v="24"/>
  </r>
  <r>
    <x v="5"/>
    <s v="Ella Baila Sola"/>
    <n v="2"/>
    <x v="6"/>
    <n v="3090"/>
    <n v="50"/>
    <n v="725980112"/>
    <s v="yes"/>
    <n v="34"/>
    <n v="222"/>
    <n v="43"/>
    <n v="13"/>
    <n v="418"/>
    <n v="148"/>
    <s v="F"/>
    <s v="Minor"/>
    <n v="67"/>
    <n v="83"/>
    <n v="76"/>
    <n v="48"/>
    <n v="0"/>
    <n v="8"/>
    <n v="3"/>
  </r>
  <r>
    <x v="6"/>
    <s v="Columbia"/>
    <n v="1"/>
    <x v="7"/>
    <n v="714"/>
    <n v="43"/>
    <n v="58149378"/>
    <s v="no"/>
    <n v="25"/>
    <n v="89"/>
    <n v="30"/>
    <n v="13"/>
    <n v="194"/>
    <n v="100"/>
    <s v="F"/>
    <s v="Major"/>
    <n v="67"/>
    <n v="26"/>
    <n v="71"/>
    <n v="37"/>
    <n v="0"/>
    <n v="11"/>
    <n v="4"/>
  </r>
  <r>
    <x v="7"/>
    <s v="fukumean"/>
    <n v="1"/>
    <x v="8"/>
    <n v="1096"/>
    <n v="83"/>
    <n v="95217315"/>
    <s v="no"/>
    <n v="60"/>
    <n v="210"/>
    <n v="48"/>
    <n v="11"/>
    <n v="953"/>
    <n v="130"/>
    <s v="C#"/>
    <s v="Minor"/>
    <n v="85"/>
    <n v="22"/>
    <n v="62"/>
    <n v="12"/>
    <n v="0"/>
    <n v="28"/>
    <n v="9"/>
  </r>
  <r>
    <x v="7"/>
    <s v="La Bebe - Remix"/>
    <n v="2"/>
    <x v="9"/>
    <n v="2953"/>
    <n v="44"/>
    <n v="553634067"/>
    <s v="yes"/>
    <n v="49"/>
    <n v="110"/>
    <n v="66"/>
    <n v="13"/>
    <n v="339"/>
    <n v="170"/>
    <s v="D"/>
    <s v="Minor"/>
    <n v="81"/>
    <n v="56"/>
    <n v="48"/>
    <n v="21"/>
    <n v="0"/>
    <n v="8"/>
    <n v="33"/>
  </r>
  <r>
    <x v="7"/>
    <s v="un x100to"/>
    <n v="2"/>
    <x v="10"/>
    <n v="2876"/>
    <n v="40"/>
    <n v="505671438"/>
    <s v="yes"/>
    <n v="41"/>
    <n v="205"/>
    <n v="54"/>
    <n v="12"/>
    <n v="251"/>
    <n v="83"/>
    <s v="F#"/>
    <s v="Minor"/>
    <n v="57"/>
    <n v="56"/>
    <n v="72"/>
    <n v="23"/>
    <n v="0"/>
    <n v="27"/>
    <n v="5"/>
  </r>
  <r>
    <x v="7"/>
    <s v="Super Shy"/>
    <n v="1"/>
    <x v="7"/>
    <n v="422"/>
    <n v="55"/>
    <n v="58255150"/>
    <s v="no"/>
    <n v="37"/>
    <n v="202"/>
    <n v="21"/>
    <n v="5"/>
    <n v="168"/>
    <n v="150"/>
    <s v="F"/>
    <s v="Minor"/>
    <n v="78"/>
    <n v="52"/>
    <n v="82"/>
    <n v="18"/>
    <n v="0"/>
    <n v="15"/>
    <n v="7"/>
  </r>
  <r>
    <x v="8"/>
    <s v="Flowers"/>
    <n v="1"/>
    <x v="11"/>
    <n v="12211"/>
    <n v="115"/>
    <n v="1316855716"/>
    <s v="yes"/>
    <n v="300"/>
    <n v="215"/>
    <n v="745"/>
    <n v="58"/>
    <n v="1021"/>
    <n v="118"/>
    <m/>
    <s v="Major"/>
    <n v="71"/>
    <n v="65"/>
    <n v="68"/>
    <n v="6"/>
    <n v="0"/>
    <n v="3"/>
    <n v="7"/>
  </r>
  <r>
    <x v="9"/>
    <s v="Daylight"/>
    <n v="1"/>
    <x v="12"/>
    <n v="3528"/>
    <n v="98"/>
    <n v="387570742"/>
    <s v="yes"/>
    <n v="80"/>
    <n v="156"/>
    <n v="182"/>
    <n v="24"/>
    <n v="1281"/>
    <n v="130"/>
    <s v="D"/>
    <s v="Minor"/>
    <n v="51"/>
    <n v="32"/>
    <n v="43"/>
    <n v="83"/>
    <n v="0"/>
    <n v="9"/>
    <n v="3"/>
  </r>
  <r>
    <x v="10"/>
    <s v="As It Was"/>
    <n v="1"/>
    <x v="13"/>
    <n v="23575"/>
    <n v="130"/>
    <n v="2513188493"/>
    <s v="yes"/>
    <n v="403"/>
    <n v="198"/>
    <n v="863"/>
    <n v="46"/>
    <m/>
    <n v="174"/>
    <s v="F#"/>
    <s v="Minor"/>
    <n v="52"/>
    <n v="66"/>
    <n v="73"/>
    <n v="34"/>
    <n v="0"/>
    <n v="31"/>
    <n v="6"/>
  </r>
  <r>
    <x v="11"/>
    <s v="Kill Bill"/>
    <n v="1"/>
    <x v="14"/>
    <n v="8109"/>
    <n v="77"/>
    <n v="1163093654"/>
    <s v="yes"/>
    <n v="183"/>
    <n v="162"/>
    <n v="161"/>
    <n v="12"/>
    <n v="187"/>
    <n v="89"/>
    <s v="G#"/>
    <s v="Major"/>
    <n v="64"/>
    <n v="43"/>
    <n v="73"/>
    <n v="5"/>
    <n v="17"/>
    <n v="16"/>
    <n v="4"/>
  </r>
  <r>
    <x v="12"/>
    <s v="Cupid - Twin Ver."/>
    <n v="1"/>
    <x v="15"/>
    <n v="2942"/>
    <n v="77"/>
    <n v="496795686"/>
    <s v="yes"/>
    <n v="91"/>
    <n v="212"/>
    <n v="78"/>
    <n v="6"/>
    <n v="0"/>
    <n v="120"/>
    <s v="B"/>
    <s v="Minor"/>
    <n v="78"/>
    <n v="76"/>
    <n v="59"/>
    <n v="43"/>
    <n v="0"/>
    <n v="34"/>
    <n v="3"/>
  </r>
  <r>
    <x v="13"/>
    <s v="What Was I Made For? [From The Motion Picture &quot;Barbie&quot;]"/>
    <n v="1"/>
    <x v="16"/>
    <n v="873"/>
    <n v="104"/>
    <n v="30546883"/>
    <s v="no"/>
    <n v="80"/>
    <n v="227"/>
    <n v="95"/>
    <n v="24"/>
    <n v="1173"/>
    <n v="78"/>
    <m/>
    <s v="Major"/>
    <n v="44"/>
    <n v="14"/>
    <n v="9"/>
    <n v="96"/>
    <n v="0"/>
    <n v="10"/>
    <n v="3"/>
  </r>
  <r>
    <x v="14"/>
    <s v="Classy 101"/>
    <n v="2"/>
    <x v="17"/>
    <n v="2610"/>
    <n v="40"/>
    <n v="335222234"/>
    <s v="yes"/>
    <n v="43"/>
    <n v="100"/>
    <n v="54"/>
    <n v="14"/>
    <n v="187"/>
    <n v="100"/>
    <s v="B"/>
    <s v="Major"/>
    <n v="86"/>
    <n v="67"/>
    <n v="66"/>
    <n v="14"/>
    <n v="0"/>
    <n v="12"/>
    <n v="16"/>
  </r>
  <r>
    <x v="15"/>
    <s v="Like Crazy"/>
    <n v="1"/>
    <x v="18"/>
    <n v="596"/>
    <n v="68"/>
    <n v="363369738"/>
    <s v="yes"/>
    <n v="8"/>
    <n v="104"/>
    <n v="23"/>
    <n v="2"/>
    <n v="29"/>
    <n v="120"/>
    <s v="G"/>
    <s v="Major"/>
    <n v="63"/>
    <n v="36"/>
    <n v="73"/>
    <n v="0"/>
    <n v="0"/>
    <n v="36"/>
    <n v="4"/>
  </r>
  <r>
    <x v="16"/>
    <s v="LADY GAGA"/>
    <n v="3"/>
    <x v="19"/>
    <n v="332"/>
    <n v="26"/>
    <n v="86444842"/>
    <s v="no"/>
    <n v="11"/>
    <n v="163"/>
    <n v="10"/>
    <n v="4"/>
    <n v="0"/>
    <n v="140"/>
    <s v="F"/>
    <s v="Minor"/>
    <n v="65"/>
    <n v="87"/>
    <n v="74"/>
    <n v="22"/>
    <n v="0"/>
    <n v="42"/>
    <n v="4"/>
  </r>
  <r>
    <x v="17"/>
    <s v="I Can See You (Taylorï¿½ï¿½ï¿½s Version) (From The "/>
    <n v="1"/>
    <x v="7"/>
    <n v="516"/>
    <n v="38"/>
    <n v="52135248"/>
    <s v="no"/>
    <n v="73"/>
    <n v="119"/>
    <n v="42"/>
    <n v="1"/>
    <n v="150"/>
    <n v="123"/>
    <s v="F#"/>
    <s v="Major"/>
    <n v="69"/>
    <n v="82"/>
    <n v="76"/>
    <n v="6"/>
    <n v="0"/>
    <n v="6"/>
    <n v="3"/>
  </r>
  <r>
    <x v="18"/>
    <s v="I Wanna Be Yours"/>
    <n v="1"/>
    <x v="20"/>
    <n v="12859"/>
    <n v="110"/>
    <n v="1297026226"/>
    <s v="yes"/>
    <n v="24"/>
    <n v="98"/>
    <n v="582"/>
    <n v="2"/>
    <n v="73"/>
    <n v="135"/>
    <m/>
    <s v="Minor"/>
    <n v="48"/>
    <n v="44"/>
    <n v="42"/>
    <n v="12"/>
    <n v="2"/>
    <n v="11"/>
    <n v="3"/>
  </r>
  <r>
    <x v="19"/>
    <s v="Peso Pluma: Bzrp Music Sessions, Vol. 55"/>
    <n v="2"/>
    <x v="21"/>
    <n v="1313"/>
    <n v="40"/>
    <n v="200647221"/>
    <s v="yes"/>
    <n v="17"/>
    <n v="152"/>
    <n v="32"/>
    <n v="11"/>
    <n v="139"/>
    <n v="133"/>
    <s v="F"/>
    <s v="Minor"/>
    <n v="85"/>
    <n v="81"/>
    <n v="67"/>
    <n v="26"/>
    <n v="0"/>
    <n v="12"/>
    <n v="5"/>
  </r>
  <r>
    <x v="20"/>
    <s v="Popular (with Playboi Carti &amp; Madonna) - The Idol Vol. 1 (Music from the HBO Original Series)"/>
    <n v="3"/>
    <x v="22"/>
    <n v="1945"/>
    <n v="87"/>
    <n v="115364561"/>
    <s v="no"/>
    <n v="74"/>
    <n v="182"/>
    <n v="87"/>
    <n v="14"/>
    <n v="1093"/>
    <n v="99"/>
    <s v="C#"/>
    <s v="Major"/>
    <n v="85"/>
    <n v="83"/>
    <n v="68"/>
    <n v="7"/>
    <n v="0"/>
    <n v="36"/>
    <n v="20"/>
  </r>
  <r>
    <x v="21"/>
    <s v="SABOR FRESA"/>
    <n v="1"/>
    <x v="19"/>
    <n v="250"/>
    <n v="26"/>
    <n v="78300654"/>
    <s v="no"/>
    <n v="16"/>
    <n v="149"/>
    <n v="10"/>
    <n v="5"/>
    <n v="168"/>
    <n v="130"/>
    <s v="G"/>
    <s v="Minor"/>
    <n v="79"/>
    <n v="96"/>
    <n v="86"/>
    <n v="9"/>
    <n v="0"/>
    <n v="9"/>
    <n v="9"/>
  </r>
  <r>
    <x v="22"/>
    <s v="Calm Down (with Selena Gomez)"/>
    <n v="2"/>
    <x v="23"/>
    <n v="7112"/>
    <n v="77"/>
    <n v="899183384"/>
    <s v="yes"/>
    <n v="202"/>
    <n v="119"/>
    <n v="318"/>
    <n v="38"/>
    <n v="96"/>
    <n v="107"/>
    <s v="B"/>
    <s v="Major"/>
    <n v="80"/>
    <n v="82"/>
    <n v="80"/>
    <n v="43"/>
    <n v="0"/>
    <n v="14"/>
    <n v="4"/>
  </r>
  <r>
    <x v="23"/>
    <s v="MOJABI GHOST"/>
    <n v="2"/>
    <x v="24"/>
    <n v="859"/>
    <n v="40"/>
    <n v="61245289"/>
    <s v="no"/>
    <n v="35"/>
    <n v="109"/>
    <n v="41"/>
    <n v="14"/>
    <n v="211"/>
    <n v="122"/>
    <s v="F#"/>
    <s v="Minor"/>
    <n v="81"/>
    <n v="74"/>
    <n v="71"/>
    <n v="14"/>
    <n v="0"/>
    <n v="56"/>
    <n v="4"/>
  </r>
  <r>
    <x v="24"/>
    <s v="Last Night"/>
    <n v="1"/>
    <x v="25"/>
    <n v="2420"/>
    <n v="19"/>
    <n v="429829812"/>
    <s v="yes"/>
    <n v="52"/>
    <n v="107"/>
    <n v="15"/>
    <n v="1"/>
    <n v="325"/>
    <n v="204"/>
    <s v="F#"/>
    <s v="Major"/>
    <n v="52"/>
    <n v="52"/>
    <n v="68"/>
    <n v="46"/>
    <n v="0"/>
    <n v="15"/>
    <n v="4"/>
  </r>
  <r>
    <x v="25"/>
    <s v="Dance The Night (From Barbie The Album)"/>
    <n v="1"/>
    <x v="26"/>
    <n v="2988"/>
    <n v="101"/>
    <n v="127408954"/>
    <s v="no"/>
    <n v="0"/>
    <n v="0"/>
    <n v="143"/>
    <n v="38"/>
    <n v="0"/>
    <n v="110"/>
    <s v="B"/>
    <s v="Minor"/>
    <n v="67"/>
    <n v="78"/>
    <n v="85"/>
    <n v="2"/>
    <n v="0"/>
    <n v="33"/>
    <n v="5"/>
  </r>
  <r>
    <x v="26"/>
    <s v="Rush"/>
    <n v="1"/>
    <x v="16"/>
    <n v="864"/>
    <n v="78"/>
    <n v="22581161"/>
    <s v="no"/>
    <n v="71"/>
    <n v="135"/>
    <n v="50"/>
    <n v="1"/>
    <n v="294"/>
    <n v="126"/>
    <s v="F"/>
    <s v="Minor"/>
    <n v="74"/>
    <n v="35"/>
    <n v="84"/>
    <n v="0"/>
    <n v="0"/>
    <n v="11"/>
    <n v="6"/>
  </r>
  <r>
    <x v="26"/>
    <s v="TULUM"/>
    <n v="2"/>
    <x v="27"/>
    <n v="266"/>
    <n v="34"/>
    <n v="52294266"/>
    <s v="no"/>
    <n v="20"/>
    <n v="185"/>
    <n v="13"/>
    <n v="8"/>
    <n v="197"/>
    <n v="168"/>
    <s v="F#"/>
    <s v="Major"/>
    <n v="56"/>
    <n v="63"/>
    <n v="87"/>
    <n v="39"/>
    <n v="0"/>
    <n v="11"/>
    <n v="5"/>
  </r>
  <r>
    <x v="26"/>
    <s v="Creepin'"/>
    <n v="3"/>
    <x v="28"/>
    <n v="6036"/>
    <n v="88"/>
    <n v="843957510"/>
    <s v="yes"/>
    <n v="113"/>
    <n v="149"/>
    <n v="245"/>
    <n v="23"/>
    <n v="27"/>
    <n v="98"/>
    <s v="C#"/>
    <s v="Minor"/>
    <n v="71"/>
    <n v="17"/>
    <n v="61"/>
    <n v="36"/>
    <n v="0"/>
    <n v="8"/>
    <n v="5"/>
  </r>
  <r>
    <x v="26"/>
    <s v="Anti-Hero"/>
    <n v="1"/>
    <x v="29"/>
    <n v="9082"/>
    <n v="56"/>
    <n v="999748277"/>
    <s v="yes"/>
    <n v="242"/>
    <n v="142"/>
    <n v="165"/>
    <n v="9"/>
    <n v="310"/>
    <n v="97"/>
    <s v="E"/>
    <s v="Major"/>
    <n v="64"/>
    <n v="51"/>
    <n v="63"/>
    <n v="12"/>
    <n v="0"/>
    <n v="19"/>
    <n v="5"/>
  </r>
  <r>
    <x v="27"/>
    <s v="TQG"/>
    <n v="2"/>
    <x v="30"/>
    <n v="4284"/>
    <n v="49"/>
    <n v="618990393"/>
    <s v="yes"/>
    <n v="115"/>
    <n v="123"/>
    <n v="184"/>
    <n v="18"/>
    <n v="354"/>
    <n v="180"/>
    <s v="E"/>
    <s v="Minor"/>
    <n v="72"/>
    <n v="61"/>
    <n v="63"/>
    <n v="67"/>
    <n v="0"/>
    <n v="9"/>
    <n v="28"/>
  </r>
  <r>
    <x v="27"/>
    <s v="Los del Espacio"/>
    <n v="8"/>
    <x v="5"/>
    <n v="1150"/>
    <n v="31"/>
    <n v="123122413"/>
    <s v="no"/>
    <n v="22"/>
    <n v="33"/>
    <n v="34"/>
    <n v="7"/>
    <n v="184"/>
    <n v="120"/>
    <m/>
    <s v="Major"/>
    <n v="81"/>
    <n v="63"/>
    <n v="68"/>
    <n v="11"/>
    <n v="0"/>
    <n v="11"/>
    <n v="4"/>
  </r>
  <r>
    <x v="28"/>
    <s v="Frï¿½ï¿½gil (feat. Grupo Front"/>
    <n v="2"/>
    <x v="31"/>
    <n v="672"/>
    <n v="34"/>
    <n v="188933502"/>
    <s v="no"/>
    <n v="19"/>
    <n v="108"/>
    <n v="24"/>
    <n v="9"/>
    <n v="212"/>
    <n v="150"/>
    <s v="F#"/>
    <s v="Major"/>
    <n v="61"/>
    <n v="39"/>
    <n v="73"/>
    <n v="37"/>
    <n v="0"/>
    <n v="11"/>
    <n v="3"/>
  </r>
  <r>
    <x v="28"/>
    <s v="Blank Space"/>
    <n v="1"/>
    <x v="32"/>
    <n v="11434"/>
    <n v="53"/>
    <n v="1355959075"/>
    <s v="yes"/>
    <n v="154"/>
    <n v="123"/>
    <n v="410"/>
    <n v="2"/>
    <n v="81"/>
    <n v="96"/>
    <s v="F"/>
    <s v="Major"/>
    <n v="75"/>
    <n v="57"/>
    <n v="68"/>
    <n v="9"/>
    <n v="0"/>
    <n v="13"/>
    <n v="6"/>
  </r>
  <r>
    <x v="29"/>
    <s v="Style"/>
    <n v="1"/>
    <x v="32"/>
    <n v="7830"/>
    <n v="42"/>
    <n v="786181836"/>
    <s v="yes"/>
    <n v="94"/>
    <n v="111"/>
    <n v="151"/>
    <n v="4"/>
    <n v="82"/>
    <n v="95"/>
    <s v="D"/>
    <s v="Major"/>
    <n v="60"/>
    <n v="48"/>
    <n v="79"/>
    <n v="0"/>
    <n v="0"/>
    <n v="12"/>
    <n v="4"/>
  </r>
  <r>
    <x v="30"/>
    <s v="TQM"/>
    <n v="1"/>
    <x v="33"/>
    <n v="584"/>
    <n v="28"/>
    <n v="176553476"/>
    <s v="no"/>
    <n v="16"/>
    <n v="159"/>
    <n v="15"/>
    <n v="6"/>
    <n v="100"/>
    <n v="125"/>
    <s v="F"/>
    <s v="Minor"/>
    <n v="79"/>
    <n v="96"/>
    <n v="85"/>
    <n v="27"/>
    <n v="0"/>
    <n v="11"/>
    <n v="6"/>
  </r>
  <r>
    <x v="31"/>
    <s v="El Azul"/>
    <n v="2"/>
    <x v="34"/>
    <n v="692"/>
    <n v="25"/>
    <n v="354495408"/>
    <s v="yes"/>
    <n v="10"/>
    <n v="107"/>
    <n v="6"/>
    <n v="3"/>
    <n v="62"/>
    <n v="144"/>
    <s v="A"/>
    <s v="Minor"/>
    <n v="56"/>
    <n v="84"/>
    <n v="65"/>
    <n v="23"/>
    <n v="0"/>
    <n v="10"/>
    <n v="6"/>
  </r>
  <r>
    <x v="32"/>
    <s v="Sunflower - Spider-Man: Into the Spider-Verse"/>
    <n v="2"/>
    <x v="35"/>
    <n v="24094"/>
    <n v="78"/>
    <n v="2808096550"/>
    <s v="yes"/>
    <n v="372"/>
    <n v="117"/>
    <n v="843"/>
    <n v="4"/>
    <n v="69"/>
    <n v="90"/>
    <s v="D"/>
    <s v="Major"/>
    <n v="76"/>
    <n v="91"/>
    <n v="50"/>
    <n v="54"/>
    <n v="0"/>
    <n v="7"/>
    <n v="5"/>
  </r>
  <r>
    <x v="33"/>
    <s v="I'm Good (Blue)"/>
    <n v="2"/>
    <x v="36"/>
    <n v="12482"/>
    <n v="80"/>
    <n v="1109433169"/>
    <s v="yes"/>
    <n v="291"/>
    <n v="184"/>
    <n v="537"/>
    <n v="45"/>
    <n v="727"/>
    <n v="128"/>
    <s v="G"/>
    <s v="Minor"/>
    <n v="56"/>
    <n v="38"/>
    <n v="97"/>
    <n v="4"/>
    <n v="0"/>
    <n v="35"/>
    <n v="4"/>
  </r>
  <r>
    <x v="34"/>
    <s v="See You Again"/>
    <n v="3"/>
    <x v="37"/>
    <n v="13387"/>
    <n v="64"/>
    <n v="1047101291"/>
    <s v="yes"/>
    <n v="77"/>
    <n v="58"/>
    <n v="247"/>
    <n v="1"/>
    <n v="311"/>
    <n v="79"/>
    <s v="F#"/>
    <s v="Major"/>
    <n v="56"/>
    <n v="58"/>
    <n v="56"/>
    <n v="37"/>
    <n v="0"/>
    <n v="11"/>
    <n v="10"/>
  </r>
  <r>
    <x v="34"/>
    <s v="Barbie World (with Aqua) [From Barbie The Album]"/>
    <n v="3"/>
    <x v="38"/>
    <n v="1117"/>
    <n v="80"/>
    <n v="65156199"/>
    <s v="no"/>
    <n v="82"/>
    <n v="145"/>
    <n v="65"/>
    <n v="16"/>
    <n v="1133"/>
    <n v="144"/>
    <m/>
    <s v="Major"/>
    <n v="77"/>
    <n v="75"/>
    <n v="58"/>
    <n v="52"/>
    <n v="0"/>
    <n v="23"/>
    <n v="25"/>
  </r>
  <r>
    <x v="35"/>
    <s v="Angels Like You"/>
    <n v="1"/>
    <x v="39"/>
    <n v="3372"/>
    <n v="19"/>
    <n v="570515054"/>
    <s v="yes"/>
    <n v="65"/>
    <n v="48"/>
    <n v="138"/>
    <n v="1"/>
    <n v="102"/>
    <n v="122"/>
    <s v="F"/>
    <s v="Major"/>
    <n v="67"/>
    <n v="49"/>
    <n v="64"/>
    <n v="10"/>
    <n v="0"/>
    <n v="10"/>
    <n v="3"/>
  </r>
  <r>
    <x v="36"/>
    <s v="I Ain't Worried"/>
    <n v="1"/>
    <x v="40"/>
    <n v="8431"/>
    <n v="76"/>
    <n v="1085685420"/>
    <s v="yes"/>
    <n v="241"/>
    <n v="127"/>
    <n v="458"/>
    <n v="37"/>
    <n v="332"/>
    <n v="140"/>
    <m/>
    <s v="Major"/>
    <n v="71"/>
    <n v="82"/>
    <n v="81"/>
    <n v="11"/>
    <n v="0"/>
    <n v="6"/>
    <n v="5"/>
  </r>
  <r>
    <x v="37"/>
    <s v="Die For You"/>
    <n v="1"/>
    <x v="41"/>
    <n v="2483"/>
    <n v="59"/>
    <n v="1647990401"/>
    <s v="yes"/>
    <n v="68"/>
    <n v="21"/>
    <n v="24"/>
    <n v="0"/>
    <n v="259"/>
    <n v="134"/>
    <s v="C#"/>
    <s v="Minor"/>
    <n v="59"/>
    <n v="51"/>
    <n v="52"/>
    <n v="9"/>
    <n v="0"/>
    <n v="15"/>
    <n v="7"/>
  </r>
  <r>
    <x v="38"/>
    <s v="Starboy"/>
    <n v="2"/>
    <x v="42"/>
    <n v="29536"/>
    <n v="79"/>
    <n v="2565529693"/>
    <s v="yes"/>
    <n v="281"/>
    <n v="137"/>
    <n v="2445"/>
    <n v="1"/>
    <n v="140"/>
    <n v="186"/>
    <s v="G"/>
    <s v="Major"/>
    <n v="68"/>
    <n v="49"/>
    <n v="59"/>
    <n v="16"/>
    <n v="0"/>
    <n v="13"/>
    <n v="28"/>
  </r>
  <r>
    <x v="38"/>
    <s v="Die For You - Remix"/>
    <n v="2"/>
    <x v="15"/>
    <n v="3408"/>
    <n v="47"/>
    <n v="518745108"/>
    <s v="yes"/>
    <n v="87"/>
    <n v="86"/>
    <n v="74"/>
    <n v="1"/>
    <n v="16"/>
    <n v="67"/>
    <s v="C#"/>
    <s v="Minor"/>
    <n v="53"/>
    <n v="50"/>
    <n v="53"/>
    <n v="23"/>
    <n v="0"/>
    <n v="44"/>
    <n v="7"/>
  </r>
  <r>
    <x v="38"/>
    <s v="El Cielo"/>
    <n v="3"/>
    <x v="22"/>
    <n v="1298"/>
    <n v="38"/>
    <n v="107753850"/>
    <s v="no"/>
    <n v="44"/>
    <n v="64"/>
    <n v="57"/>
    <n v="10"/>
    <n v="110"/>
    <n v="106"/>
    <s v="A#"/>
    <s v="Minor"/>
    <n v="72"/>
    <n v="17"/>
    <n v="64"/>
    <n v="7"/>
    <n v="0"/>
    <n v="10"/>
    <n v="5"/>
  </r>
  <r>
    <x v="38"/>
    <s v="Baby Don't Hurt Me"/>
    <n v="3"/>
    <x v="43"/>
    <n v="4277"/>
    <n v="66"/>
    <n v="177740666"/>
    <s v="no"/>
    <n v="145"/>
    <n v="111"/>
    <n v="213"/>
    <n v="11"/>
    <n v="810"/>
    <n v="128"/>
    <s v="G"/>
    <s v="Major"/>
    <n v="60"/>
    <n v="23"/>
    <n v="91"/>
    <n v="0"/>
    <n v="0"/>
    <n v="12"/>
    <n v="3"/>
  </r>
  <r>
    <x v="38"/>
    <s v="AMARGURA"/>
    <n v="1"/>
    <x v="15"/>
    <n v="1133"/>
    <n v="39"/>
    <n v="153372011"/>
    <s v="no"/>
    <n v="14"/>
    <n v="71"/>
    <n v="23"/>
    <n v="10"/>
    <n v="176"/>
    <n v="107"/>
    <s v="F#"/>
    <s v="Minor"/>
    <n v="92"/>
    <n v="55"/>
    <n v="70"/>
    <n v="18"/>
    <n v="0"/>
    <n v="15"/>
    <n v="7"/>
  </r>
  <r>
    <x v="38"/>
    <s v="(It Goes Like) Nanana - Edit"/>
    <n v="1"/>
    <x v="44"/>
    <n v="2259"/>
    <n v="59"/>
    <n v="57876440"/>
    <s v="no"/>
    <n v="0"/>
    <n v="0"/>
    <n v="109"/>
    <n v="17"/>
    <n v="0"/>
    <n v="130"/>
    <s v="G"/>
    <s v="Minor"/>
    <n v="67"/>
    <n v="96"/>
    <n v="88"/>
    <n v="12"/>
    <n v="19"/>
    <n v="8"/>
    <n v="4"/>
  </r>
  <r>
    <x v="38"/>
    <s v="Another Love"/>
    <n v="1"/>
    <x v="45"/>
    <n v="18371"/>
    <n v="83"/>
    <n v="1813673666"/>
    <s v="yes"/>
    <n v="250"/>
    <n v="122"/>
    <n v="3394"/>
    <n v="19"/>
    <m/>
    <n v="123"/>
    <s v="E"/>
    <s v="Minor"/>
    <n v="45"/>
    <n v="13"/>
    <n v="54"/>
    <n v="70"/>
    <n v="0"/>
    <n v="9"/>
    <n v="4"/>
  </r>
  <r>
    <x v="38"/>
    <s v="Blinding Lights"/>
    <n v="1"/>
    <x v="46"/>
    <n v="43899"/>
    <n v="69"/>
    <n v="3703895074"/>
    <s v="yes"/>
    <n v="672"/>
    <n v="199"/>
    <n v="3421"/>
    <n v="20"/>
    <m/>
    <n v="171"/>
    <s v="C#"/>
    <s v="Major"/>
    <n v="50"/>
    <n v="38"/>
    <n v="80"/>
    <n v="0"/>
    <n v="0"/>
    <n v="9"/>
    <n v="7"/>
  </r>
  <r>
    <x v="38"/>
    <s v="Moonlight"/>
    <n v="1"/>
    <x v="15"/>
    <n v="2649"/>
    <n v="42"/>
    <n v="256483385"/>
    <s v="yes"/>
    <n v="67"/>
    <n v="79"/>
    <n v="57"/>
    <n v="1"/>
    <n v="615"/>
    <n v="137"/>
    <s v="G"/>
    <s v="Minor"/>
    <n v="64"/>
    <n v="88"/>
    <n v="72"/>
    <n v="51"/>
    <n v="0"/>
    <n v="17"/>
    <n v="5"/>
  </r>
  <r>
    <x v="38"/>
    <s v="La Bachata"/>
    <n v="1"/>
    <x v="47"/>
    <n v="6804"/>
    <n v="45"/>
    <n v="1214083358"/>
    <s v="yes"/>
    <n v="139"/>
    <n v="111"/>
    <n v="161"/>
    <n v="15"/>
    <n v="210"/>
    <n v="125"/>
    <s v="G"/>
    <s v="Minor"/>
    <n v="84"/>
    <n v="85"/>
    <n v="68"/>
    <n v="58"/>
    <n v="0"/>
    <n v="22"/>
    <n v="4"/>
  </r>
  <r>
    <x v="38"/>
    <s v="S91"/>
    <n v="1"/>
    <x v="0"/>
    <n v="525"/>
    <n v="41"/>
    <n v="16011326"/>
    <s v="no"/>
    <n v="34"/>
    <n v="115"/>
    <n v="39"/>
    <n v="6"/>
    <n v="216"/>
    <n v="128"/>
    <m/>
    <s v="Minor"/>
    <n v="86"/>
    <n v="42"/>
    <n v="72"/>
    <n v="59"/>
    <n v="0"/>
    <n v="9"/>
    <n v="19"/>
  </r>
  <r>
    <x v="38"/>
    <s v="cardigan"/>
    <n v="1"/>
    <x v="48"/>
    <n v="7923"/>
    <n v="29"/>
    <n v="812019557"/>
    <s v="yes"/>
    <n v="106"/>
    <n v="112"/>
    <n v="142"/>
    <n v="4"/>
    <n v="215"/>
    <n v="130"/>
    <m/>
    <s v="Minor"/>
    <n v="61"/>
    <n v="53"/>
    <n v="58"/>
    <n v="55"/>
    <n v="0"/>
    <n v="27"/>
    <n v="4"/>
  </r>
  <r>
    <x v="38"/>
    <s v="Tï¿½ï¿"/>
    <n v="2"/>
    <x v="49"/>
    <n v="731"/>
    <n v="15"/>
    <n v="111947664"/>
    <s v="no"/>
    <n v="27"/>
    <n v="17"/>
    <n v="73"/>
    <n v="4"/>
    <n v="167"/>
    <n v="130"/>
    <s v="B"/>
    <s v="Major"/>
    <n v="86"/>
    <n v="59"/>
    <n v="96"/>
    <n v="50"/>
    <n v="1"/>
    <n v="9"/>
    <n v="5"/>
  </r>
  <r>
    <x v="38"/>
    <s v="Boy's a liar Pt. 2"/>
    <n v="2"/>
    <x v="50"/>
    <n v="5184"/>
    <n v="41"/>
    <n v="156338624"/>
    <s v="no"/>
    <n v="154"/>
    <n v="84"/>
    <n v="102"/>
    <n v="14"/>
    <n v="37"/>
    <n v="133"/>
    <s v="F"/>
    <s v="Major"/>
    <n v="70"/>
    <n v="86"/>
    <n v="81"/>
    <n v="25"/>
    <n v="0"/>
    <n v="25"/>
    <n v="5"/>
  </r>
  <r>
    <x v="38"/>
    <s v="Left and Right (Feat. Jung Kook of BTS)"/>
    <n v="3"/>
    <x v="51"/>
    <n v="3107"/>
    <n v="39"/>
    <n v="720434240"/>
    <s v="yes"/>
    <n v="38"/>
    <n v="0"/>
    <n v="4"/>
    <n v="0"/>
    <n v="0"/>
    <n v="101"/>
    <s v="D"/>
    <s v="Major"/>
    <n v="88"/>
    <n v="72"/>
    <n v="59"/>
    <n v="62"/>
    <n v="0"/>
    <n v="9"/>
    <n v="3"/>
  </r>
  <r>
    <x v="38"/>
    <s v="BESO"/>
    <n v="2"/>
    <x v="18"/>
    <n v="4053"/>
    <n v="50"/>
    <n v="357925728"/>
    <s v="yes"/>
    <n v="82"/>
    <n v="121"/>
    <n v="182"/>
    <n v="12"/>
    <n v="171"/>
    <n v="95"/>
    <s v="F"/>
    <s v="Minor"/>
    <n v="77"/>
    <n v="53"/>
    <n v="64"/>
    <n v="74"/>
    <n v="0"/>
    <n v="17"/>
    <n v="14"/>
  </r>
  <r>
    <x v="38"/>
    <s v="Hey Mor"/>
    <n v="2"/>
    <x v="52"/>
    <n v="4637"/>
    <n v="38"/>
    <n v="674072710"/>
    <s v="yes"/>
    <n v="63"/>
    <n v="79"/>
    <n v="89"/>
    <n v="11"/>
    <n v="16"/>
    <n v="98"/>
    <s v="C#"/>
    <s v="Minor"/>
    <n v="90"/>
    <n v="40"/>
    <n v="59"/>
    <n v="0"/>
    <n v="0"/>
    <n v="10"/>
    <n v="29"/>
  </r>
  <r>
    <x v="38"/>
    <s v="Yellow"/>
    <n v="1"/>
    <x v="53"/>
    <n v="31358"/>
    <n v="43"/>
    <n v="1755214421"/>
    <s v="yes"/>
    <n v="196"/>
    <n v="2"/>
    <n v="4053"/>
    <n v="5"/>
    <n v="0"/>
    <n v="173"/>
    <s v="B"/>
    <s v="Major"/>
    <n v="43"/>
    <n v="28"/>
    <n v="66"/>
    <n v="0"/>
    <n v="0"/>
    <n v="23"/>
    <n v="3"/>
  </r>
  <r>
    <x v="38"/>
    <s v="Karma"/>
    <n v="1"/>
    <x v="29"/>
    <n v="3818"/>
    <n v="23"/>
    <n v="404562836"/>
    <s v="yes"/>
    <n v="37"/>
    <n v="55"/>
    <n v="32"/>
    <n v="0"/>
    <n v="272"/>
    <n v="90"/>
    <s v="G#"/>
    <s v="Major"/>
    <n v="64"/>
    <n v="10"/>
    <n v="62"/>
    <n v="7"/>
    <n v="0"/>
    <n v="48"/>
    <n v="7"/>
  </r>
  <r>
    <x v="39"/>
    <s v="People"/>
    <n v="1"/>
    <x v="28"/>
    <n v="3506"/>
    <n v="56"/>
    <n v="373199958"/>
    <s v="yes"/>
    <n v="105"/>
    <n v="64"/>
    <n v="169"/>
    <n v="8"/>
    <n v="529"/>
    <n v="198"/>
    <s v="A#"/>
    <s v="Minor"/>
    <n v="59"/>
    <n v="71"/>
    <n v="42"/>
    <n v="55"/>
    <n v="0"/>
    <n v="10"/>
    <n v="7"/>
  </r>
  <r>
    <x v="40"/>
    <s v="Overdrive"/>
    <n v="1"/>
    <x v="0"/>
    <n v="410"/>
    <n v="36"/>
    <n v="14780425"/>
    <s v="no"/>
    <n v="36"/>
    <n v="32"/>
    <n v="31"/>
    <n v="1"/>
    <n v="26"/>
    <n v="140"/>
    <s v="C#"/>
    <s v="Major"/>
    <n v="56"/>
    <n v="48"/>
    <n v="73"/>
    <n v="0"/>
    <n v="0"/>
    <n v="35"/>
    <n v="4"/>
  </r>
  <r>
    <x v="41"/>
    <s v="Enchanted (Taylor's Version)"/>
    <n v="1"/>
    <x v="7"/>
    <n v="148"/>
    <n v="24"/>
    <n v="39578178"/>
    <s v="no"/>
    <n v="32"/>
    <n v="93"/>
    <n v="8"/>
    <n v="2"/>
    <n v="5"/>
    <n v="82"/>
    <s v="G#"/>
    <s v="Major"/>
    <n v="51"/>
    <n v="22"/>
    <n v="53"/>
    <n v="1"/>
    <n v="0"/>
    <n v="15"/>
    <n v="3"/>
  </r>
  <r>
    <x v="41"/>
    <s v="BABY HELLO"/>
    <n v="2"/>
    <x v="38"/>
    <n v="1004"/>
    <n v="35"/>
    <n v="54266102"/>
    <s v="no"/>
    <n v="42"/>
    <n v="80"/>
    <n v="58"/>
    <n v="3"/>
    <n v="169"/>
    <n v="130"/>
    <s v="C#"/>
    <s v="Minor"/>
    <n v="77"/>
    <n v="84"/>
    <n v="89"/>
    <n v="17"/>
    <n v="0"/>
    <n v="43"/>
    <n v="5"/>
  </r>
  <r>
    <x v="42"/>
    <s v="Heat Waves"/>
    <n v="1"/>
    <x v="54"/>
    <n v="22543"/>
    <n v="63"/>
    <n v="2557975762"/>
    <s v="yes"/>
    <n v="386"/>
    <n v="144"/>
    <n v="707"/>
    <n v="28"/>
    <m/>
    <n v="81"/>
    <s v="B"/>
    <s v="Major"/>
    <n v="76"/>
    <n v="53"/>
    <n v="53"/>
    <n v="44"/>
    <n v="0"/>
    <n v="9"/>
    <n v="9"/>
  </r>
  <r>
    <x v="43"/>
    <s v="golden hour"/>
    <n v="1"/>
    <x v="55"/>
    <n v="4511"/>
    <n v="36"/>
    <n v="751134527"/>
    <s v="yes"/>
    <n v="70"/>
    <n v="58"/>
    <n v="109"/>
    <n v="18"/>
    <n v="230"/>
    <n v="94"/>
    <s v="C#"/>
    <s v="Minor"/>
    <n v="51"/>
    <n v="14"/>
    <n v="59"/>
    <n v="65"/>
    <n v="18"/>
    <n v="25"/>
    <n v="3"/>
  </r>
  <r>
    <x v="44"/>
    <s v="Sweater Weather"/>
    <n v="1"/>
    <x v="56"/>
    <n v="16413"/>
    <n v="61"/>
    <n v="2282771485"/>
    <s v="yes"/>
    <n v="166"/>
    <n v="87"/>
    <n v="1056"/>
    <n v="1"/>
    <m/>
    <n v="124"/>
    <s v="A#"/>
    <s v="Major"/>
    <n v="61"/>
    <n v="41"/>
    <n v="81"/>
    <n v="5"/>
    <n v="2"/>
    <n v="10"/>
    <n v="3"/>
  </r>
  <r>
    <x v="45"/>
    <s v="Quevedo: Bzrp Music Sessions, Vol. 52"/>
    <n v="2"/>
    <x v="57"/>
    <n v="8506"/>
    <n v="45"/>
    <n v="1356565093"/>
    <s v="yes"/>
    <n v="94"/>
    <n v="65"/>
    <n v="164"/>
    <n v="14"/>
    <n v="176"/>
    <n v="128"/>
    <s v="D"/>
    <s v="Major"/>
    <n v="62"/>
    <n v="55"/>
    <n v="78"/>
    <n v="1"/>
    <n v="3"/>
    <n v="23"/>
    <n v="4"/>
  </r>
  <r>
    <x v="46"/>
    <s v="Viva La Vida"/>
    <n v="1"/>
    <x v="58"/>
    <n v="33898"/>
    <n v="62"/>
    <n v="1592909789"/>
    <s v="yes"/>
    <n v="233"/>
    <n v="0"/>
    <n v="4095"/>
    <n v="9"/>
    <n v="0"/>
    <n v="138"/>
    <s v="F"/>
    <s v="Minor"/>
    <n v="49"/>
    <n v="42"/>
    <n v="62"/>
    <n v="9"/>
    <n v="0"/>
    <n v="11"/>
    <n v="3"/>
  </r>
  <r>
    <x v="47"/>
    <s v="Here With Me"/>
    <n v="1"/>
    <x v="59"/>
    <n v="3246"/>
    <n v="23"/>
    <n v="635412045"/>
    <s v="yes"/>
    <n v="94"/>
    <n v="85"/>
    <n v="68"/>
    <n v="1"/>
    <n v="84"/>
    <n v="132"/>
    <s v="E"/>
    <s v="Major"/>
    <n v="58"/>
    <n v="27"/>
    <n v="48"/>
    <n v="50"/>
    <n v="0"/>
    <n v="12"/>
    <n v="3"/>
  </r>
  <r>
    <x v="48"/>
    <s v="Unholy (feat. Kim Petras)"/>
    <n v="2"/>
    <x v="60"/>
    <n v="8576"/>
    <n v="42"/>
    <n v="1230675890"/>
    <s v="yes"/>
    <n v="216"/>
    <n v="108"/>
    <n v="331"/>
    <n v="26"/>
    <n v="154"/>
    <n v="131"/>
    <s v="D"/>
    <s v="Major"/>
    <n v="71"/>
    <n v="24"/>
    <n v="47"/>
    <n v="1"/>
    <n v="0"/>
    <n v="27"/>
    <n v="9"/>
  </r>
  <r>
    <x v="49"/>
    <s v="Yandel 150"/>
    <n v="2"/>
    <x v="61"/>
    <n v="3618"/>
    <n v="38"/>
    <n v="585695368"/>
    <s v="yes"/>
    <n v="47"/>
    <n v="74"/>
    <n v="80"/>
    <n v="14"/>
    <n v="194"/>
    <n v="168"/>
    <s v="F#"/>
    <s v="Minor"/>
    <n v="78"/>
    <n v="58"/>
    <n v="73"/>
    <n v="5"/>
    <n v="0"/>
    <n v="10"/>
    <n v="7"/>
  </r>
  <r>
    <x v="50"/>
    <s v="CORAZï¿½ï¿½N VA"/>
    <n v="1"/>
    <x v="19"/>
    <n v="370"/>
    <n v="20"/>
    <n v="43857627"/>
    <s v="no"/>
    <n v="12"/>
    <n v="16"/>
    <n v="18"/>
    <n v="4"/>
    <n v="93"/>
    <n v="98"/>
    <s v="C#"/>
    <s v="Major"/>
    <n v="68"/>
    <n v="40"/>
    <n v="79"/>
    <n v="33"/>
    <n v="0"/>
    <n v="30"/>
    <n v="6"/>
  </r>
  <r>
    <x v="51"/>
    <s v="Riptide"/>
    <n v="1"/>
    <x v="62"/>
    <n v="31123"/>
    <n v="55"/>
    <n v="2009094673"/>
    <s v="yes"/>
    <n v="300"/>
    <n v="65"/>
    <n v="1003"/>
    <n v="1"/>
    <n v="0"/>
    <n v="102"/>
    <s v="C#"/>
    <s v="Major"/>
    <n v="48"/>
    <n v="50"/>
    <n v="73"/>
    <n v="43"/>
    <n v="0"/>
    <n v="15"/>
    <n v="4"/>
  </r>
  <r>
    <x v="52"/>
    <s v="Until I Found You (with Em Beihold) - Em Beihold Version"/>
    <n v="2"/>
    <x v="63"/>
    <n v="2790"/>
    <n v="30"/>
    <n v="600976848"/>
    <s v="yes"/>
    <n v="60"/>
    <n v="96"/>
    <n v="71"/>
    <n v="0"/>
    <n v="115"/>
    <n v="101"/>
    <s v="A#"/>
    <s v="Major"/>
    <n v="34"/>
    <n v="32"/>
    <n v="57"/>
    <n v="78"/>
    <n v="0"/>
    <n v="20"/>
    <n v="3"/>
  </r>
  <r>
    <x v="52"/>
    <s v="Novidade na ï¿½ï¿"/>
    <n v="2"/>
    <x v="38"/>
    <n v="267"/>
    <n v="9"/>
    <n v="39709092"/>
    <s v="no"/>
    <n v="9"/>
    <n v="6"/>
    <n v="25"/>
    <n v="2"/>
    <n v="72"/>
    <n v="130"/>
    <s v="F"/>
    <s v="Major"/>
    <n v="63"/>
    <n v="36"/>
    <n v="34"/>
    <n v="76"/>
    <n v="0"/>
    <n v="35"/>
    <n v="9"/>
  </r>
  <r>
    <x v="52"/>
    <s v="Back To December (Taylor's Version)"/>
    <n v="1"/>
    <x v="7"/>
    <n v="139"/>
    <n v="17"/>
    <n v="39228929"/>
    <s v="no"/>
    <n v="16"/>
    <n v="72"/>
    <n v="5"/>
    <n v="0"/>
    <n v="8"/>
    <n v="142"/>
    <s v="D"/>
    <s v="Major"/>
    <n v="50"/>
    <n v="20"/>
    <n v="64"/>
    <n v="1"/>
    <n v="0"/>
    <n v="12"/>
    <n v="3"/>
  </r>
  <r>
    <x v="53"/>
    <s v="STAY (with Justin Bieber)"/>
    <n v="2"/>
    <x v="64"/>
    <n v="17050"/>
    <n v="36"/>
    <n v="2665343922"/>
    <s v="yes"/>
    <n v="492"/>
    <n v="99"/>
    <n v="798"/>
    <n v="31"/>
    <n v="0"/>
    <n v="170"/>
    <s v="C#"/>
    <s v="Major"/>
    <n v="59"/>
    <n v="48"/>
    <n v="76"/>
    <n v="4"/>
    <n v="0"/>
    <n v="10"/>
    <n v="5"/>
  </r>
  <r>
    <x v="54"/>
    <s v="El Merengue"/>
    <n v="2"/>
    <x v="65"/>
    <n v="2114"/>
    <n v="44"/>
    <n v="223633238"/>
    <s v="yes"/>
    <n v="80"/>
    <n v="75"/>
    <n v="110"/>
    <n v="11"/>
    <n v="323"/>
    <n v="124"/>
    <s v="G#"/>
    <s v="Minor"/>
    <n v="78"/>
    <n v="70"/>
    <n v="68"/>
    <n v="3"/>
    <n v="1"/>
    <n v="11"/>
    <n v="4"/>
  </r>
  <r>
    <x v="55"/>
    <s v="Someone You Loved"/>
    <n v="1"/>
    <x v="66"/>
    <n v="17836"/>
    <n v="53"/>
    <n v="2887241814"/>
    <s v="yes"/>
    <n v="440"/>
    <n v="125"/>
    <n v="1800"/>
    <n v="0"/>
    <m/>
    <n v="110"/>
    <s v="C#"/>
    <s v="Major"/>
    <n v="50"/>
    <n v="45"/>
    <n v="41"/>
    <n v="75"/>
    <n v="0"/>
    <n v="11"/>
    <n v="3"/>
  </r>
  <r>
    <x v="56"/>
    <s v="Me Porto Bonito"/>
    <n v="2"/>
    <x v="67"/>
    <n v="8870"/>
    <n v="43"/>
    <n v="1440757818"/>
    <s v="yes"/>
    <n v="104"/>
    <n v="120"/>
    <n v="141"/>
    <n v="26"/>
    <n v="49"/>
    <n v="92"/>
    <s v="C#"/>
    <s v="Minor"/>
    <n v="91"/>
    <n v="43"/>
    <n v="71"/>
    <n v="9"/>
    <n v="0"/>
    <n v="9"/>
    <n v="8"/>
  </r>
  <r>
    <x v="56"/>
    <s v="Makeba"/>
    <n v="1"/>
    <x v="68"/>
    <n v="6060"/>
    <n v="53"/>
    <n v="165484133"/>
    <s v="no"/>
    <n v="150"/>
    <n v="148"/>
    <n v="2703"/>
    <n v="22"/>
    <n v="1451"/>
    <n v="116"/>
    <s v="D"/>
    <s v="Major"/>
    <n v="82"/>
    <n v="40"/>
    <n v="66"/>
    <n v="39"/>
    <n v="51"/>
    <n v="25"/>
    <n v="7"/>
  </r>
  <r>
    <x v="56"/>
    <s v="MONTAGEM - FR PUNK"/>
    <n v="2"/>
    <x v="69"/>
    <n v="641"/>
    <n v="50"/>
    <n v="58054811"/>
    <s v="no"/>
    <n v="1"/>
    <n v="52"/>
    <n v="8"/>
    <n v="0"/>
    <n v="1170"/>
    <n v="129"/>
    <s v="A"/>
    <s v="Major"/>
    <n v="63"/>
    <n v="84"/>
    <n v="82"/>
    <n v="70"/>
    <n v="8"/>
    <n v="9"/>
    <n v="7"/>
  </r>
  <r>
    <x v="56"/>
    <s v="Fast Car"/>
    <n v="1"/>
    <x v="18"/>
    <n v="1446"/>
    <n v="12"/>
    <n v="157058870"/>
    <s v="no"/>
    <n v="57"/>
    <n v="97"/>
    <n v="35"/>
    <n v="0"/>
    <n v="429"/>
    <n v="98"/>
    <s v="G#"/>
    <s v="Major"/>
    <n v="71"/>
    <n v="67"/>
    <n v="60"/>
    <n v="19"/>
    <n v="0"/>
    <n v="12"/>
    <n v="3"/>
  </r>
  <r>
    <x v="56"/>
    <s v="What It Is (Solo Version)"/>
    <n v="1"/>
    <x v="9"/>
    <n v="804"/>
    <n v="25"/>
    <n v="95131998"/>
    <s v="no"/>
    <n v="29"/>
    <n v="76"/>
    <n v="24"/>
    <n v="0"/>
    <n v="162"/>
    <n v="172"/>
    <s v="C#"/>
    <s v="Minor"/>
    <n v="74"/>
    <n v="76"/>
    <n v="76"/>
    <n v="6"/>
    <n v="0"/>
    <n v="10"/>
    <n v="9"/>
  </r>
  <r>
    <x v="57"/>
    <s v="Coco Chanel"/>
    <n v="2"/>
    <x v="9"/>
    <n v="1962"/>
    <n v="38"/>
    <n v="250305248"/>
    <s v="yes"/>
    <n v="28"/>
    <n v="89"/>
    <n v="29"/>
    <n v="5"/>
    <n v="82"/>
    <n v="150"/>
    <s v="D"/>
    <s v="Major"/>
    <n v="68"/>
    <n v="14"/>
    <n v="76"/>
    <n v="4"/>
    <n v="0"/>
    <n v="10"/>
    <n v="4"/>
  </r>
  <r>
    <x v="58"/>
    <s v="Donï¿½ï¿½ï¿½t Bl"/>
    <n v="1"/>
    <x v="70"/>
    <n v="4875"/>
    <n v="23"/>
    <n v="685032533"/>
    <s v="yes"/>
    <n v="19"/>
    <n v="45"/>
    <n v="0"/>
    <n v="0"/>
    <n v="10"/>
    <n v="136"/>
    <s v="A"/>
    <s v="Minor"/>
    <n v="62"/>
    <n v="19"/>
    <n v="53"/>
    <n v="11"/>
    <n v="0"/>
    <n v="6"/>
    <n v="4"/>
  </r>
  <r>
    <x v="59"/>
    <s v="Still With You"/>
    <n v="1"/>
    <x v="71"/>
    <n v="31"/>
    <n v="39"/>
    <n v="38411956"/>
    <s v="no"/>
    <n v="2"/>
    <n v="107"/>
    <n v="8"/>
    <n v="0"/>
    <n v="0"/>
    <n v="88"/>
    <s v="C#"/>
    <s v="Minor"/>
    <n v="53"/>
    <n v="34"/>
    <n v="47"/>
    <n v="9"/>
    <n v="0"/>
    <n v="83"/>
    <n v="4"/>
  </r>
  <r>
    <x v="60"/>
    <s v="All My Life (feat. J. Cole)"/>
    <n v="2"/>
    <x v="72"/>
    <n v="2175"/>
    <n v="23"/>
    <n v="144565150"/>
    <s v="no"/>
    <n v="69"/>
    <n v="145"/>
    <n v="69"/>
    <n v="2"/>
    <n v="478"/>
    <n v="143"/>
    <s v="D#"/>
    <s v="Major"/>
    <n v="83"/>
    <n v="69"/>
    <n v="44"/>
    <n v="15"/>
    <n v="0"/>
    <n v="10"/>
    <n v="33"/>
  </r>
  <r>
    <x v="61"/>
    <s v="Say Yes To Heaven"/>
    <n v="1"/>
    <x v="9"/>
    <n v="2000"/>
    <n v="46"/>
    <n v="127567540"/>
    <s v="no"/>
    <n v="49"/>
    <n v="105"/>
    <n v="63"/>
    <n v="1"/>
    <n v="0"/>
    <n v="100"/>
    <s v="F#"/>
    <s v="Minor"/>
    <n v="49"/>
    <n v="17"/>
    <n v="35"/>
    <n v="71"/>
    <n v="9"/>
    <n v="11"/>
    <n v="3"/>
  </r>
  <r>
    <x v="62"/>
    <s v="Snooze"/>
    <n v="1"/>
    <x v="73"/>
    <n v="2839"/>
    <n v="25"/>
    <n v="399686758"/>
    <s v="yes"/>
    <n v="58"/>
    <n v="156"/>
    <n v="42"/>
    <n v="1"/>
    <n v="236"/>
    <n v="143"/>
    <s v="F"/>
    <s v="Major"/>
    <n v="56"/>
    <n v="39"/>
    <n v="55"/>
    <n v="14"/>
    <n v="0"/>
    <n v="11"/>
    <n v="13"/>
  </r>
  <r>
    <x v="63"/>
    <s v="Summertime Sadness"/>
    <n v="1"/>
    <x v="74"/>
    <n v="20333"/>
    <n v="52"/>
    <n v="983637508"/>
    <s v="yes"/>
    <n v="89"/>
    <n v="143"/>
    <n v="1632"/>
    <n v="3"/>
    <n v="200"/>
    <n v="112"/>
    <s v="C#"/>
    <s v="Minor"/>
    <n v="56"/>
    <n v="24"/>
    <n v="66"/>
    <n v="7"/>
    <n v="0"/>
    <n v="12"/>
    <n v="3"/>
  </r>
  <r>
    <x v="64"/>
    <s v="Take Two"/>
    <n v="1"/>
    <x v="75"/>
    <n v="674"/>
    <n v="47"/>
    <n v="118482347"/>
    <s v="no"/>
    <n v="20"/>
    <n v="106"/>
    <n v="25"/>
    <n v="4"/>
    <n v="78"/>
    <n v="93"/>
    <s v="G"/>
    <s v="Major"/>
    <n v="62"/>
    <n v="57"/>
    <n v="59"/>
    <n v="3"/>
    <n v="0"/>
    <n v="38"/>
    <n v="3"/>
  </r>
  <r>
    <x v="65"/>
    <s v="Lover"/>
    <n v="1"/>
    <x v="76"/>
    <n v="8448"/>
    <n v="23"/>
    <n v="882831184"/>
    <s v="yes"/>
    <n v="160"/>
    <n v="110"/>
    <n v="163"/>
    <n v="0"/>
    <n v="5"/>
    <n v="206"/>
    <s v="G"/>
    <s v="Major"/>
    <n v="43"/>
    <n v="50"/>
    <n v="55"/>
    <n v="50"/>
    <n v="0"/>
    <n v="15"/>
    <n v="10"/>
  </r>
  <r>
    <x v="65"/>
    <s v="Too Many Nights (feat. Don Toliver &amp; with Future)"/>
    <n v="3"/>
    <x v="28"/>
    <n v="2110"/>
    <n v="58"/>
    <n v="286400165"/>
    <s v="yes"/>
    <n v="17"/>
    <n v="119"/>
    <n v="19"/>
    <n v="2"/>
    <n v="266"/>
    <n v="88"/>
    <s v="G"/>
    <s v="Minor"/>
    <n v="68"/>
    <n v="17"/>
    <n v="71"/>
    <n v="15"/>
    <n v="0"/>
    <n v="11"/>
    <n v="5"/>
  </r>
  <r>
    <x v="65"/>
    <s v="Chemical"/>
    <n v="1"/>
    <x v="12"/>
    <n v="2528"/>
    <n v="39"/>
    <n v="172825906"/>
    <s v="no"/>
    <n v="56"/>
    <n v="91"/>
    <n v="59"/>
    <n v="3"/>
    <n v="486"/>
    <n v="170"/>
    <s v="D"/>
    <s v="Major"/>
    <n v="50"/>
    <n v="37"/>
    <n v="90"/>
    <n v="0"/>
    <n v="0"/>
    <n v="12"/>
    <n v="5"/>
  </r>
  <r>
    <x v="66"/>
    <s v="Mockingbird"/>
    <n v="1"/>
    <x v="77"/>
    <n v="12985"/>
    <n v="61"/>
    <n v="1241559043"/>
    <s v="yes"/>
    <n v="49"/>
    <n v="98"/>
    <n v="2394"/>
    <n v="5"/>
    <n v="204"/>
    <n v="84"/>
    <s v="E"/>
    <s v="Minor"/>
    <n v="62"/>
    <n v="24"/>
    <n v="67"/>
    <n v="21"/>
    <n v="0"/>
    <n v="13"/>
    <n v="28"/>
  </r>
  <r>
    <x v="67"/>
    <s v="New Jeans"/>
    <n v="1"/>
    <x v="7"/>
    <n v="77"/>
    <n v="35"/>
    <n v="29562220"/>
    <s v="no"/>
    <n v="8"/>
    <n v="166"/>
    <n v="4"/>
    <n v="4"/>
    <n v="34"/>
    <n v="134"/>
    <s v="E"/>
    <s v="Minor"/>
    <n v="81"/>
    <n v="53"/>
    <n v="72"/>
    <n v="51"/>
    <n v="0"/>
    <n v="12"/>
    <n v="5"/>
  </r>
  <r>
    <x v="68"/>
    <s v="Primera Cita"/>
    <n v="1"/>
    <x v="78"/>
    <n v="266"/>
    <n v="27"/>
    <n v="77309611"/>
    <s v="no"/>
    <n v="6"/>
    <n v="40"/>
    <n v="6"/>
    <n v="6"/>
    <n v="202"/>
    <n v="158"/>
    <s v="A#"/>
    <s v="Major"/>
    <n v="54"/>
    <n v="50"/>
    <n v="40"/>
    <n v="61"/>
    <n v="0"/>
    <n v="10"/>
    <n v="6"/>
  </r>
  <r>
    <x v="69"/>
    <s v="Cold Heart - PNAU Remix"/>
    <n v="3"/>
    <x v="79"/>
    <n v="21097"/>
    <n v="52"/>
    <n v="1605224506"/>
    <s v="yes"/>
    <n v="384"/>
    <n v="135"/>
    <n v="1034"/>
    <n v="37"/>
    <n v="312"/>
    <n v="116"/>
    <s v="C#"/>
    <s v="Major"/>
    <n v="80"/>
    <n v="92"/>
    <n v="80"/>
    <n v="4"/>
    <n v="0"/>
    <n v="10"/>
    <n v="3"/>
  </r>
  <r>
    <x v="70"/>
    <s v="Dandelions"/>
    <n v="1"/>
    <x v="80"/>
    <n v="3423"/>
    <n v="21"/>
    <n v="1116995633"/>
    <s v="yes"/>
    <n v="41"/>
    <n v="100"/>
    <n v="59"/>
    <n v="1"/>
    <n v="32"/>
    <n v="117"/>
    <s v="C#"/>
    <s v="Major"/>
    <n v="61"/>
    <n v="45"/>
    <n v="69"/>
    <n v="2"/>
    <n v="0"/>
    <n v="9"/>
    <n v="3"/>
  </r>
  <r>
    <x v="71"/>
    <s v="Bones"/>
    <n v="1"/>
    <x v="81"/>
    <n v="4198"/>
    <n v="44"/>
    <n v="838079900"/>
    <s v="yes"/>
    <n v="98"/>
    <n v="108"/>
    <n v="327"/>
    <n v="17"/>
    <n v="153"/>
    <n v="114"/>
    <s v="F"/>
    <s v="Minor"/>
    <n v="77"/>
    <n v="65"/>
    <n v="72"/>
    <n v="2"/>
    <n v="0"/>
    <n v="7"/>
    <n v="5"/>
  </r>
  <r>
    <x v="72"/>
    <s v="Set Fire to the Rain"/>
    <n v="1"/>
    <x v="74"/>
    <n v="14739"/>
    <n v="43"/>
    <n v="1163620694"/>
    <s v="yes"/>
    <n v="88"/>
    <n v="112"/>
    <n v="2163"/>
    <n v="5"/>
    <n v="519"/>
    <n v="108"/>
    <s v="D"/>
    <s v="Minor"/>
    <n v="61"/>
    <n v="47"/>
    <n v="68"/>
    <n v="0"/>
    <n v="0"/>
    <n v="13"/>
    <n v="3"/>
  </r>
  <r>
    <x v="73"/>
    <s v="Money Trees"/>
    <n v="2"/>
    <x v="76"/>
    <n v="26792"/>
    <n v="32"/>
    <n v="1093605526"/>
    <s v="yes"/>
    <n v="69"/>
    <n v="113"/>
    <n v="695"/>
    <n v="0"/>
    <n v="458"/>
    <n v="144"/>
    <s v="E"/>
    <s v="Minor"/>
    <n v="74"/>
    <n v="37"/>
    <n v="53"/>
    <n v="7"/>
    <n v="0"/>
    <n v="21"/>
    <n v="10"/>
  </r>
  <r>
    <x v="73"/>
    <s v="Tak Segampang Itu"/>
    <n v="1"/>
    <x v="28"/>
    <n v="213"/>
    <n v="6"/>
    <n v="179659294"/>
    <s v="no"/>
    <n v="7"/>
    <n v="6"/>
    <n v="0"/>
    <n v="0"/>
    <n v="48"/>
    <n v="130"/>
    <s v="F"/>
    <s v="Major"/>
    <n v="51"/>
    <n v="18"/>
    <n v="44"/>
    <n v="76"/>
    <n v="0"/>
    <n v="11"/>
    <n v="3"/>
  </r>
  <r>
    <x v="73"/>
    <s v="LAGUNAS"/>
    <n v="2"/>
    <x v="19"/>
    <n v="58"/>
    <n v="18"/>
    <n v="39058561"/>
    <s v="no"/>
    <n v="2"/>
    <n v="106"/>
    <n v="4"/>
    <n v="2"/>
    <n v="184"/>
    <n v="116"/>
    <s v="B"/>
    <s v="Major"/>
    <n v="77"/>
    <n v="79"/>
    <n v="62"/>
    <n v="33"/>
    <n v="1"/>
    <n v="15"/>
    <n v="3"/>
  </r>
  <r>
    <x v="73"/>
    <s v="Mine (Taylor's Version)"/>
    <n v="1"/>
    <x v="7"/>
    <n v="99"/>
    <n v="15"/>
    <n v="36912123"/>
    <s v="no"/>
    <n v="21"/>
    <n v="52"/>
    <n v="6"/>
    <n v="1"/>
    <n v="0"/>
    <n v="121"/>
    <s v="G"/>
    <s v="Major"/>
    <n v="65"/>
    <n v="49"/>
    <n v="78"/>
    <n v="0"/>
    <n v="0"/>
    <n v="17"/>
    <n v="4"/>
  </r>
  <r>
    <x v="74"/>
    <s v="Everybody Wants To Rule The World"/>
    <n v="1"/>
    <x v="82"/>
    <n v="41751"/>
    <n v="25"/>
    <n v="1205951614"/>
    <s v="yes"/>
    <n v="101"/>
    <n v="32"/>
    <n v="2655"/>
    <n v="0"/>
    <n v="666"/>
    <n v="112"/>
    <s v="G"/>
    <s v="Major"/>
    <n v="64"/>
    <n v="54"/>
    <n v="81"/>
    <n v="36"/>
    <n v="0"/>
    <n v="11"/>
    <n v="6"/>
  </r>
  <r>
    <x v="74"/>
    <s v="No Role Modelz"/>
    <n v="1"/>
    <x v="83"/>
    <n v="21164"/>
    <n v="36"/>
    <n v="1791000570"/>
    <s v="yes"/>
    <n v="80"/>
    <n v="65"/>
    <n v="476"/>
    <n v="0"/>
    <n v="14"/>
    <n v="100"/>
    <s v="A#"/>
    <s v="Minor"/>
    <n v="70"/>
    <n v="47"/>
    <n v="52"/>
    <n v="30"/>
    <n v="0"/>
    <n v="6"/>
    <n v="33"/>
  </r>
  <r>
    <x v="75"/>
    <s v="Tattoo"/>
    <n v="1"/>
    <x v="84"/>
    <n v="2988"/>
    <n v="59"/>
    <n v="201660859"/>
    <s v="yes"/>
    <n v="74"/>
    <n v="102"/>
    <n v="145"/>
    <n v="18"/>
    <n v="925"/>
    <n v="150"/>
    <s v="D#"/>
    <s v="Minor"/>
    <n v="55"/>
    <n v="30"/>
    <n v="78"/>
    <n v="24"/>
    <n v="0"/>
    <n v="12"/>
    <n v="8"/>
  </r>
  <r>
    <x v="75"/>
    <s v="Rara Vez"/>
    <n v="2"/>
    <x v="85"/>
    <n v="893"/>
    <n v="38"/>
    <n v="248088961"/>
    <s v="yes"/>
    <n v="19"/>
    <n v="23"/>
    <n v="24"/>
    <n v="3"/>
    <n v="88"/>
    <n v="120"/>
    <s v="F"/>
    <s v="Minor"/>
    <n v="84"/>
    <n v="96"/>
    <n v="71"/>
    <n v="18"/>
    <n v="0"/>
    <n v="34"/>
    <n v="17"/>
  </r>
  <r>
    <x v="75"/>
    <s v="VAGABUNDO"/>
    <n v="3"/>
    <x v="72"/>
    <n v="1094"/>
    <n v="34"/>
    <n v="90839753"/>
    <s v="no"/>
    <n v="40"/>
    <n v="58"/>
    <n v="47"/>
    <n v="8"/>
    <n v="203"/>
    <n v="127"/>
    <s v="B"/>
    <s v="Minor"/>
    <n v="82"/>
    <n v="89"/>
    <n v="85"/>
    <n v="4"/>
    <n v="0"/>
    <n v="23"/>
    <n v="6"/>
  </r>
  <r>
    <x v="75"/>
    <s v="august"/>
    <n v="1"/>
    <x v="48"/>
    <n v="7324"/>
    <n v="22"/>
    <n v="607123776"/>
    <s v="yes"/>
    <n v="25"/>
    <n v="81"/>
    <n v="61"/>
    <n v="1"/>
    <n v="44"/>
    <n v="90"/>
    <s v="F"/>
    <s v="Major"/>
    <n v="51"/>
    <n v="42"/>
    <n v="61"/>
    <n v="53"/>
    <n v="0"/>
    <n v="9"/>
    <n v="3"/>
  </r>
  <r>
    <x v="75"/>
    <s v="LUNA"/>
    <n v="2"/>
    <x v="19"/>
    <n v="201"/>
    <n v="11"/>
    <n v="55842345"/>
    <s v="no"/>
    <n v="19"/>
    <n v="117"/>
    <n v="8"/>
    <n v="1"/>
    <n v="74"/>
    <n v="128"/>
    <s v="A"/>
    <s v="Minor"/>
    <n v="75"/>
    <n v="79"/>
    <n v="63"/>
    <n v="33"/>
    <n v="0"/>
    <n v="15"/>
    <n v="4"/>
  </r>
  <r>
    <x v="75"/>
    <s v="Miracle (with Ellie Goulding)"/>
    <n v="2"/>
    <x v="86"/>
    <n v="5120"/>
    <n v="48"/>
    <n v="211050784"/>
    <s v="yes"/>
    <n v="161"/>
    <n v="115"/>
    <n v="246"/>
    <n v="9"/>
    <n v="638"/>
    <n v="143"/>
    <s v="A"/>
    <s v="Major"/>
    <n v="64"/>
    <n v="31"/>
    <n v="87"/>
    <n v="4"/>
    <n v="4"/>
    <n v="8"/>
    <n v="4"/>
  </r>
  <r>
    <x v="75"/>
    <s v="Nonsense"/>
    <n v="1"/>
    <x v="55"/>
    <n v="2346"/>
    <n v="27"/>
    <n v="342897938"/>
    <s v="yes"/>
    <n v="69"/>
    <n v="12"/>
    <n v="38"/>
    <n v="8"/>
    <n v="64"/>
    <n v="139"/>
    <s v="G#"/>
    <s v="Major"/>
    <n v="74"/>
    <n v="68"/>
    <n v="68"/>
    <n v="3"/>
    <n v="0"/>
    <n v="26"/>
    <n v="4"/>
  </r>
  <r>
    <x v="75"/>
    <s v="Que Vuelvas"/>
    <n v="2"/>
    <x v="73"/>
    <n v="763"/>
    <n v="26"/>
    <n v="2762"/>
    <s v="no"/>
    <n v="21"/>
    <n v="110"/>
    <n v="21"/>
    <n v="9"/>
    <n v="71"/>
    <n v="162"/>
    <s v="A#"/>
    <s v="Major"/>
    <n v="49"/>
    <n v="78"/>
    <n v="64"/>
    <n v="19"/>
    <n v="0"/>
    <n v="11"/>
    <n v="4"/>
  </r>
  <r>
    <x v="76"/>
    <s v="Por las Noches"/>
    <n v="1"/>
    <x v="87"/>
    <n v="457"/>
    <n v="24"/>
    <n v="330346424"/>
    <s v="yes"/>
    <n v="8"/>
    <n v="116"/>
    <n v="4"/>
    <n v="3"/>
    <n v="2"/>
    <n v="92"/>
    <m/>
    <s v="Major"/>
    <n v="81"/>
    <n v="39"/>
    <n v="60"/>
    <n v="31"/>
    <n v="0"/>
    <n v="7"/>
    <n v="3"/>
  </r>
  <r>
    <x v="77"/>
    <s v="Feliz Cumpleaï¿½ï¿½os Fe"/>
    <n v="1"/>
    <x v="88"/>
    <n v="3430"/>
    <n v="38"/>
    <n v="601863821"/>
    <s v="yes"/>
    <n v="45"/>
    <n v="69"/>
    <n v="52"/>
    <n v="4"/>
    <n v="3"/>
    <n v="95"/>
    <s v="F"/>
    <s v="Major"/>
    <n v="87"/>
    <n v="57"/>
    <n v="55"/>
    <n v="10"/>
    <n v="0"/>
    <n v="29"/>
    <n v="7"/>
  </r>
  <r>
    <x v="78"/>
    <s v="Can't Hold Us (feat. Ray Dalton)"/>
    <n v="3"/>
    <x v="89"/>
    <n v="6074"/>
    <n v="52"/>
    <n v="1953533826"/>
    <s v="yes"/>
    <n v="201"/>
    <n v="44"/>
    <n v="6551"/>
    <n v="2"/>
    <n v="0"/>
    <n v="146"/>
    <s v="D"/>
    <s v="Major"/>
    <n v="63"/>
    <n v="88"/>
    <n v="93"/>
    <n v="3"/>
    <n v="0"/>
    <n v="10"/>
    <n v="8"/>
  </r>
  <r>
    <x v="78"/>
    <s v="Watermelon Sugar"/>
    <n v="1"/>
    <x v="90"/>
    <n v="21915"/>
    <n v="34"/>
    <n v="2322580122"/>
    <s v="yes"/>
    <n v="437"/>
    <n v="115"/>
    <n v="1212"/>
    <n v="12"/>
    <m/>
    <n v="95"/>
    <m/>
    <s v="Major"/>
    <n v="55"/>
    <n v="56"/>
    <n v="82"/>
    <n v="12"/>
    <n v="0"/>
    <n v="34"/>
    <n v="5"/>
  </r>
  <r>
    <x v="79"/>
    <s v="lovely - Bonus Track"/>
    <n v="2"/>
    <x v="91"/>
    <n v="15032"/>
    <n v="30"/>
    <n v="2355719893"/>
    <s v="yes"/>
    <n v="221"/>
    <n v="96"/>
    <n v="1078"/>
    <n v="2"/>
    <n v="136"/>
    <n v="115"/>
    <s v="E"/>
    <s v="Minor"/>
    <n v="35"/>
    <n v="12"/>
    <n v="30"/>
    <n v="93"/>
    <n v="0"/>
    <n v="10"/>
    <n v="3"/>
  </r>
  <r>
    <x v="80"/>
    <s v="Rauw Alejandro: Bzrp Music Sessions, Vol. 56"/>
    <n v="2"/>
    <x v="92"/>
    <n v="871"/>
    <n v="32"/>
    <n v="66902503"/>
    <s v="no"/>
    <n v="25"/>
    <n v="59"/>
    <n v="32"/>
    <n v="5"/>
    <n v="88"/>
    <n v="128"/>
    <s v="B"/>
    <s v="Major"/>
    <n v="78"/>
    <n v="59"/>
    <n v="65"/>
    <n v="10"/>
    <n v="0"/>
    <n v="26"/>
    <n v="5"/>
  </r>
  <r>
    <x v="81"/>
    <s v="Queencard"/>
    <n v="1"/>
    <x v="8"/>
    <n v="451"/>
    <n v="33"/>
    <n v="96273746"/>
    <s v="no"/>
    <n v="10"/>
    <n v="126"/>
    <n v="7"/>
    <n v="0"/>
    <n v="148"/>
    <n v="130"/>
    <s v="E"/>
    <s v="Minor"/>
    <n v="82"/>
    <n v="69"/>
    <n v="83"/>
    <n v="3"/>
    <n v="0"/>
    <n v="27"/>
    <n v="5"/>
  </r>
  <r>
    <x v="82"/>
    <s v="OMG"/>
    <n v="1"/>
    <x v="93"/>
    <n v="1783"/>
    <n v="27"/>
    <n v="430977451"/>
    <s v="yes"/>
    <n v="26"/>
    <n v="124"/>
    <n v="15"/>
    <n v="1"/>
    <n v="22"/>
    <n v="127"/>
    <s v="A"/>
    <s v="Minor"/>
    <n v="80"/>
    <n v="74"/>
    <n v="77"/>
    <n v="36"/>
    <n v="0"/>
    <n v="11"/>
    <n v="4"/>
  </r>
  <r>
    <x v="83"/>
    <s v="Radio"/>
    <n v="1"/>
    <x v="74"/>
    <n v="9389"/>
    <n v="46"/>
    <n v="284819874"/>
    <s v="yes"/>
    <n v="24"/>
    <n v="122"/>
    <n v="282"/>
    <n v="3"/>
    <n v="368"/>
    <n v="150"/>
    <s v="D"/>
    <s v="Major"/>
    <n v="42"/>
    <n v="20"/>
    <n v="86"/>
    <n v="21"/>
    <n v="0"/>
    <n v="9"/>
    <n v="9"/>
  </r>
  <r>
    <x v="84"/>
    <s v="Shakira: Bzrp Music Sessions, Vol. 53"/>
    <n v="2"/>
    <x v="94"/>
    <n v="5724"/>
    <n v="44"/>
    <n v="721975598"/>
    <s v="yes"/>
    <n v="119"/>
    <n v="108"/>
    <n v="254"/>
    <n v="29"/>
    <n v="22"/>
    <n v="122"/>
    <s v="D"/>
    <s v="Minor"/>
    <n v="78"/>
    <n v="50"/>
    <n v="63"/>
    <n v="27"/>
    <n v="0"/>
    <n v="9"/>
    <n v="5"/>
  </r>
  <r>
    <x v="85"/>
    <n v="505"/>
    <n v="1"/>
    <x v="95"/>
    <n v="13985"/>
    <n v="25"/>
    <n v="1217120710"/>
    <s v="yes"/>
    <n v="30"/>
    <n v="80"/>
    <n v="588"/>
    <n v="1"/>
    <n v="1"/>
    <n v="140"/>
    <m/>
    <s v="Major"/>
    <n v="52"/>
    <n v="20"/>
    <n v="85"/>
    <n v="0"/>
    <n v="0"/>
    <n v="7"/>
    <n v="5"/>
  </r>
  <r>
    <x v="86"/>
    <s v="Calling (Spider-Man: Across the Spider-Verse) (Metro Boomin &amp; Swae Lee, NAV, feat. A Boogie Wit da Hoodie)"/>
    <n v="4"/>
    <x v="22"/>
    <n v="1051"/>
    <n v="16"/>
    <n v="109276132"/>
    <s v="no"/>
    <n v="31"/>
    <n v="37"/>
    <n v="31"/>
    <n v="0"/>
    <n v="189"/>
    <n v="140"/>
    <m/>
    <s v="Major"/>
    <n v="63"/>
    <n v="22"/>
    <n v="54"/>
    <n v="46"/>
    <n v="0"/>
    <n v="12"/>
    <n v="8"/>
  </r>
  <r>
    <x v="87"/>
    <s v="Trance (with Travis Scott &amp; Young Thug)"/>
    <n v="3"/>
    <x v="28"/>
    <n v="1682"/>
    <n v="46"/>
    <n v="276259178"/>
    <s v="yes"/>
    <n v="24"/>
    <n v="90"/>
    <n v="30"/>
    <n v="1"/>
    <n v="176"/>
    <n v="119"/>
    <s v="C#"/>
    <s v="Minor"/>
    <n v="75"/>
    <n v="48"/>
    <n v="53"/>
    <n v="18"/>
    <n v="0"/>
    <n v="18"/>
    <n v="34"/>
  </r>
  <r>
    <x v="88"/>
    <s v="Tere Vaaste (From &quot;Zara Hatke Zara Bachke&quot;)"/>
    <n v="5"/>
    <x v="96"/>
    <n v="182"/>
    <n v="8"/>
    <n v="54225632"/>
    <s v="no"/>
    <n v="3"/>
    <n v="88"/>
    <n v="1"/>
    <n v="0"/>
    <n v="52"/>
    <n v="110"/>
    <s v="G"/>
    <s v="Minor"/>
    <n v="76"/>
    <n v="96"/>
    <n v="72"/>
    <n v="32"/>
    <n v="0"/>
    <n v="9"/>
    <n v="4"/>
  </r>
  <r>
    <x v="89"/>
    <s v="Perfect"/>
    <n v="1"/>
    <x v="97"/>
    <n v="16596"/>
    <n v="13"/>
    <n v="2559529074"/>
    <s v="yes"/>
    <n v="7"/>
    <n v="0"/>
    <n v="2094"/>
    <n v="0"/>
    <n v="0"/>
    <n v="95"/>
    <s v="G#"/>
    <s v="Major"/>
    <n v="60"/>
    <n v="17"/>
    <n v="45"/>
    <n v="16"/>
    <n v="0"/>
    <n v="11"/>
    <n v="2"/>
  </r>
  <r>
    <x v="90"/>
    <s v="Romantic Homicide"/>
    <n v="1"/>
    <x v="98"/>
    <n v="2335"/>
    <n v="23"/>
    <n v="681583126"/>
    <s v="yes"/>
    <n v="82"/>
    <n v="55"/>
    <n v="50"/>
    <n v="0"/>
    <n v="9"/>
    <n v="132"/>
    <s v="F#"/>
    <s v="Major"/>
    <n v="56"/>
    <n v="20"/>
    <n v="55"/>
    <n v="45"/>
    <n v="1"/>
    <n v="32"/>
    <n v="3"/>
  </r>
  <r>
    <x v="91"/>
    <s v="Believer"/>
    <n v="1"/>
    <x v="99"/>
    <n v="18986"/>
    <n v="23"/>
    <n v="2594040133"/>
    <s v="yes"/>
    <n v="250"/>
    <n v="121"/>
    <n v="2969"/>
    <n v="10"/>
    <n v="31"/>
    <n v="125"/>
    <s v="A#"/>
    <s v="Minor"/>
    <n v="77"/>
    <n v="74"/>
    <n v="78"/>
    <n v="4"/>
    <n v="0"/>
    <n v="23"/>
    <n v="11"/>
  </r>
  <r>
    <x v="91"/>
    <s v="Novo Balanï¿½"/>
    <n v="4"/>
    <x v="33"/>
    <n v="283"/>
    <n v="7"/>
    <n v="81102253"/>
    <s v="no"/>
    <n v="6"/>
    <n v="9"/>
    <n v="26"/>
    <n v="1"/>
    <n v="66"/>
    <n v="124"/>
    <s v="D#"/>
    <s v="Minor"/>
    <n v="84"/>
    <n v="65"/>
    <n v="50"/>
    <n v="67"/>
    <n v="0"/>
    <n v="13"/>
    <n v="6"/>
  </r>
  <r>
    <x v="92"/>
    <s v="Gol Bolinha, Gol Quadrado 2"/>
    <n v="2"/>
    <x v="5"/>
    <n v="293"/>
    <n v="8"/>
    <n v="11956641"/>
    <s v="no"/>
    <n v="5"/>
    <n v="2"/>
    <n v="30"/>
    <n v="2"/>
    <n v="66"/>
    <n v="133"/>
    <s v="B"/>
    <s v="Minor"/>
    <n v="93"/>
    <n v="68"/>
    <n v="65"/>
    <n v="42"/>
    <n v="0"/>
    <n v="12"/>
    <n v="25"/>
  </r>
  <r>
    <x v="93"/>
    <s v="Without Me"/>
    <n v="1"/>
    <x v="100"/>
    <n v="21081"/>
    <n v="43"/>
    <n v="1687664027"/>
    <s v="yes"/>
    <n v="98"/>
    <n v="76"/>
    <n v="3889"/>
    <n v="5"/>
    <n v="0"/>
    <n v="112"/>
    <s v="G"/>
    <s v="Major"/>
    <n v="92"/>
    <n v="67"/>
    <n v="66"/>
    <n v="0"/>
    <n v="0"/>
    <n v="36"/>
    <n v="9"/>
  </r>
  <r>
    <x v="94"/>
    <s v="QUEMA"/>
    <n v="3"/>
    <x v="16"/>
    <n v="437"/>
    <n v="31"/>
    <n v="11599388"/>
    <s v="no"/>
    <n v="17"/>
    <n v="29"/>
    <n v="26"/>
    <n v="3"/>
    <n v="208"/>
    <n v="97"/>
    <m/>
    <s v="Major"/>
    <n v="79"/>
    <n v="92"/>
    <n v="89"/>
    <n v="5"/>
    <n v="0"/>
    <n v="6"/>
    <n v="5"/>
  </r>
  <r>
    <x v="94"/>
    <s v="Stargirl Interlude"/>
    <n v="2"/>
    <x v="41"/>
    <n v="1275"/>
    <n v="32"/>
    <n v="611700552"/>
    <s v="yes"/>
    <n v="13"/>
    <n v="8"/>
    <n v="5"/>
    <n v="0"/>
    <n v="1"/>
    <n v="90"/>
    <s v="F"/>
    <s v="Minor"/>
    <n v="59"/>
    <n v="52"/>
    <n v="48"/>
    <n v="38"/>
    <n v="5"/>
    <n v="10"/>
    <n v="11"/>
  </r>
  <r>
    <x v="95"/>
    <s v="Ojitos Lindos"/>
    <n v="2"/>
    <x v="67"/>
    <n v="6135"/>
    <n v="38"/>
    <n v="1133865788"/>
    <s v="yes"/>
    <n v="71"/>
    <n v="113"/>
    <n v="99"/>
    <n v="13"/>
    <n v="28"/>
    <n v="80"/>
    <s v="D#"/>
    <s v="Minor"/>
    <n v="65"/>
    <n v="27"/>
    <n v="69"/>
    <n v="8"/>
    <n v="0"/>
    <n v="53"/>
    <n v="4"/>
  </r>
  <r>
    <x v="96"/>
    <s v="Somewhere Only We Know"/>
    <n v="1"/>
    <x v="77"/>
    <n v="20015"/>
    <n v="16"/>
    <n v="1089402494"/>
    <s v="yes"/>
    <n v="107"/>
    <n v="69"/>
    <n v="5239"/>
    <n v="0"/>
    <n v="558"/>
    <n v="172"/>
    <s v="A"/>
    <s v="Major"/>
    <n v="45"/>
    <n v="33"/>
    <n v="59"/>
    <n v="6"/>
    <n v="0"/>
    <n v="8"/>
    <n v="3"/>
  </r>
  <r>
    <x v="97"/>
    <s v="Those Eyes"/>
    <n v="1"/>
    <x v="101"/>
    <n v="1507"/>
    <n v="14"/>
    <n v="411747614"/>
    <s v="yes"/>
    <n v="24"/>
    <n v="71"/>
    <n v="44"/>
    <n v="1"/>
    <n v="195"/>
    <n v="120"/>
    <s v="E"/>
    <s v="Major"/>
    <n v="60"/>
    <n v="24"/>
    <n v="35"/>
    <n v="73"/>
    <n v="0"/>
    <n v="31"/>
    <n v="3"/>
  </r>
  <r>
    <x v="98"/>
    <s v="El Gordo Trae El Mando"/>
    <n v="1"/>
    <x v="102"/>
    <n v="539"/>
    <n v="21"/>
    <n v="255932395"/>
    <s v="yes"/>
    <n v="7"/>
    <n v="71"/>
    <n v="4"/>
    <n v="2"/>
    <n v="13"/>
    <n v="140"/>
    <s v="G"/>
    <s v="Minor"/>
    <n v="74"/>
    <n v="96"/>
    <n v="80"/>
    <n v="18"/>
    <n v="0"/>
    <n v="5"/>
    <n v="5"/>
  </r>
  <r>
    <x v="99"/>
    <s v="Mi Bello Angel"/>
    <n v="1"/>
    <x v="2"/>
    <n v="86"/>
    <n v="8"/>
    <n v="31873544"/>
    <s v="no"/>
    <n v="7"/>
    <n v="76"/>
    <n v="3"/>
    <n v="1"/>
    <n v="93"/>
    <n v="128"/>
    <s v="A"/>
    <s v="Minor"/>
    <n v="81"/>
    <n v="90"/>
    <n v="77"/>
    <n v="1"/>
    <n v="0"/>
    <n v="9"/>
    <n v="5"/>
  </r>
  <r>
    <x v="100"/>
    <s v="Bye"/>
    <n v="1"/>
    <x v="103"/>
    <n v="324"/>
    <n v="14"/>
    <n v="95053634"/>
    <s v="no"/>
    <n v="13"/>
    <n v="110"/>
    <n v="8"/>
    <n v="2"/>
    <n v="60"/>
    <n v="122"/>
    <m/>
    <s v="Major"/>
    <n v="78"/>
    <n v="70"/>
    <n v="81"/>
    <n v="57"/>
    <n v="0"/>
    <n v="10"/>
    <n v="5"/>
  </r>
  <r>
    <x v="101"/>
    <s v="Danza Kuduro"/>
    <n v="2"/>
    <x v="104"/>
    <n v="17138"/>
    <n v="37"/>
    <n v="1279434863"/>
    <s v="yes"/>
    <n v="119"/>
    <n v="81"/>
    <n v="974"/>
    <n v="1"/>
    <n v="503"/>
    <n v="130"/>
    <m/>
    <s v="Major"/>
    <n v="47"/>
    <n v="86"/>
    <n v="92"/>
    <n v="8"/>
    <n v="0"/>
    <n v="5"/>
    <n v="24"/>
  </r>
  <r>
    <x v="102"/>
    <s v="Nosso Quadro"/>
    <n v="2"/>
    <x v="105"/>
    <n v="894"/>
    <n v="9"/>
    <n v="233801632"/>
    <s v="yes"/>
    <n v="14"/>
    <n v="88"/>
    <n v="66"/>
    <n v="3"/>
    <n v="72"/>
    <n v="160"/>
    <s v="A"/>
    <s v="Major"/>
    <n v="69"/>
    <n v="61"/>
    <n v="71"/>
    <n v="33"/>
    <n v="0"/>
    <n v="31"/>
    <n v="20"/>
  </r>
  <r>
    <x v="103"/>
    <s v="Locked Out Of Heaven"/>
    <n v="1"/>
    <x v="106"/>
    <n v="1622"/>
    <n v="9"/>
    <n v="1481349984"/>
    <s v="yes"/>
    <n v="0"/>
    <n v="0"/>
    <n v="356"/>
    <n v="0"/>
    <n v="0"/>
    <n v="144"/>
    <s v="F"/>
    <s v="Major"/>
    <n v="73"/>
    <n v="87"/>
    <n v="70"/>
    <n v="6"/>
    <n v="0"/>
    <n v="28"/>
    <n v="5"/>
  </r>
  <r>
    <x v="104"/>
    <s v="Un Finde | CROSSOVER #2"/>
    <n v="3"/>
    <x v="107"/>
    <n v="561"/>
    <n v="14"/>
    <n v="142095275"/>
    <s v="no"/>
    <n v="4"/>
    <n v="14"/>
    <n v="12"/>
    <n v="5"/>
    <n v="56"/>
    <n v="192"/>
    <s v="B"/>
    <s v="Major"/>
    <n v="50"/>
    <n v="85"/>
    <n v="52"/>
    <n v="11"/>
    <n v="0"/>
    <n v="28"/>
    <n v="6"/>
  </r>
  <r>
    <x v="105"/>
    <s v="Jimmy Cooks (feat. 21 Savage)"/>
    <n v="2"/>
    <x v="108"/>
    <n v="5871"/>
    <n v="27"/>
    <n v="618885532"/>
    <s v="yes"/>
    <n v="81"/>
    <n v="121"/>
    <n v="58"/>
    <n v="1"/>
    <n v="34"/>
    <n v="163"/>
    <m/>
    <s v="Major"/>
    <n v="54"/>
    <n v="40"/>
    <n v="67"/>
    <n v="0"/>
    <n v="0"/>
    <n v="9"/>
    <n v="17"/>
  </r>
  <r>
    <x v="106"/>
    <s v="Counting Stars"/>
    <n v="1"/>
    <x v="20"/>
    <n v="29215"/>
    <n v="43"/>
    <n v="2011464183"/>
    <s v="yes"/>
    <n v="179"/>
    <n v="97"/>
    <n v="3394"/>
    <n v="11"/>
    <n v="153"/>
    <n v="122"/>
    <s v="C#"/>
    <s v="Minor"/>
    <n v="66"/>
    <n v="48"/>
    <n v="71"/>
    <n v="6"/>
    <n v="0"/>
    <n v="12"/>
    <n v="4"/>
  </r>
  <r>
    <x v="107"/>
    <s v="Ghost"/>
    <n v="1"/>
    <x v="109"/>
    <n v="5866"/>
    <n v="24"/>
    <n v="1167330737"/>
    <s v="yes"/>
    <n v="107"/>
    <n v="38"/>
    <n v="95"/>
    <n v="0"/>
    <m/>
    <n v="154"/>
    <s v="D"/>
    <s v="Major"/>
    <n v="61"/>
    <n v="41"/>
    <n v="74"/>
    <n v="21"/>
    <n v="0"/>
    <n v="40"/>
    <n v="6"/>
  </r>
  <r>
    <x v="108"/>
    <s v="Under The Influence"/>
    <n v="1"/>
    <x v="110"/>
    <n v="3859"/>
    <n v="26"/>
    <n v="929964809"/>
    <s v="yes"/>
    <n v="133"/>
    <n v="181"/>
    <n v="3"/>
    <n v="0"/>
    <m/>
    <n v="117"/>
    <s v="A"/>
    <s v="Minor"/>
    <n v="73"/>
    <n v="31"/>
    <n v="69"/>
    <n v="6"/>
    <n v="0"/>
    <n v="11"/>
    <n v="4"/>
  </r>
  <r>
    <x v="109"/>
    <s v="PRC"/>
    <n v="2"/>
    <x v="111"/>
    <n v="961"/>
    <n v="26"/>
    <n v="436027885"/>
    <s v="yes"/>
    <n v="19"/>
    <n v="143"/>
    <n v="10"/>
    <n v="6"/>
    <n v="15"/>
    <n v="138"/>
    <s v="G"/>
    <s v="Minor"/>
    <n v="78"/>
    <n v="89"/>
    <n v="83"/>
    <n v="10"/>
    <n v="0"/>
    <n v="12"/>
    <n v="5"/>
  </r>
  <r>
    <x v="110"/>
    <s v="Gasolina"/>
    <n v="1"/>
    <x v="112"/>
    <n v="6457"/>
    <n v="18"/>
    <n v="657723613"/>
    <s v="yes"/>
    <n v="98"/>
    <n v="95"/>
    <n v="453"/>
    <n v="0"/>
    <n v="454"/>
    <n v="96"/>
    <m/>
    <s v="Major"/>
    <n v="86"/>
    <n v="74"/>
    <n v="80"/>
    <n v="33"/>
    <n v="0"/>
    <n v="8"/>
    <n v="6"/>
  </r>
  <r>
    <x v="111"/>
    <s v="One Dance"/>
    <n v="3"/>
    <x v="113"/>
    <n v="43257"/>
    <n v="24"/>
    <n v="2713922350"/>
    <s v="yes"/>
    <n v="433"/>
    <n v="107"/>
    <n v="3631"/>
    <n v="0"/>
    <n v="26"/>
    <n v="104"/>
    <s v="C#"/>
    <s v="Major"/>
    <n v="77"/>
    <n v="36"/>
    <n v="63"/>
    <n v="1"/>
    <n v="0"/>
    <n v="36"/>
    <n v="5"/>
  </r>
  <r>
    <x v="112"/>
    <s v="Enchanted"/>
    <n v="1"/>
    <x v="104"/>
    <n v="4564"/>
    <n v="16"/>
    <n v="621660989"/>
    <s v="yes"/>
    <n v="24"/>
    <n v="101"/>
    <n v="113"/>
    <n v="0"/>
    <n v="40"/>
    <n v="164"/>
    <s v="G#"/>
    <s v="Major"/>
    <n v="45"/>
    <n v="24"/>
    <n v="62"/>
    <n v="8"/>
    <n v="0"/>
    <n v="16"/>
    <n v="3"/>
  </r>
  <r>
    <x v="112"/>
    <s v="Save Your Tears"/>
    <n v="1"/>
    <x v="114"/>
    <n v="12688"/>
    <n v="13"/>
    <n v="1591223784"/>
    <s v="yes"/>
    <n v="197"/>
    <n v="115"/>
    <n v="112"/>
    <n v="0"/>
    <n v="200"/>
    <n v="118"/>
    <m/>
    <s v="Major"/>
    <n v="68"/>
    <n v="61"/>
    <n v="82"/>
    <n v="2"/>
    <n v="0"/>
    <n v="50"/>
    <n v="3"/>
  </r>
  <r>
    <x v="112"/>
    <s v="Sure Thing"/>
    <n v="1"/>
    <x v="115"/>
    <n v="13801"/>
    <n v="19"/>
    <n v="950906471"/>
    <s v="yes"/>
    <n v="137"/>
    <n v="125"/>
    <n v="435"/>
    <n v="6"/>
    <n v="285"/>
    <n v="81"/>
    <s v="B"/>
    <s v="Minor"/>
    <n v="68"/>
    <n v="51"/>
    <n v="60"/>
    <n v="3"/>
    <n v="0"/>
    <n v="19"/>
    <n v="10"/>
  </r>
  <r>
    <x v="113"/>
    <s v="Every Breath You Take - Remastered 2003"/>
    <n v="1"/>
    <x v="116"/>
    <n v="22439"/>
    <n v="19"/>
    <n v="1593270737"/>
    <s v="yes"/>
    <n v="211"/>
    <n v="74"/>
    <n v="929"/>
    <n v="0"/>
    <n v="129"/>
    <n v="117"/>
    <s v="C#"/>
    <s v="Major"/>
    <n v="82"/>
    <n v="73"/>
    <n v="45"/>
    <n v="54"/>
    <n v="0"/>
    <n v="7"/>
    <n v="3"/>
  </r>
  <r>
    <x v="114"/>
    <s v="The Night We Met"/>
    <n v="1"/>
    <x v="117"/>
    <n v="18515"/>
    <n v="35"/>
    <n v="1410088830"/>
    <s v="yes"/>
    <n v="70"/>
    <n v="82"/>
    <n v="939"/>
    <n v="1"/>
    <n v="162"/>
    <n v="174"/>
    <s v="D"/>
    <s v="Major"/>
    <n v="45"/>
    <n v="10"/>
    <n v="37"/>
    <n v="97"/>
    <n v="25"/>
    <n v="64"/>
    <n v="4"/>
  </r>
  <r>
    <x v="115"/>
    <s v="We Found Love"/>
    <n v="2"/>
    <x v="74"/>
    <n v="36843"/>
    <n v="21"/>
    <n v="1235005533"/>
    <s v="yes"/>
    <n v="321"/>
    <n v="91"/>
    <n v="4607"/>
    <n v="1"/>
    <n v="58"/>
    <n v="128"/>
    <s v="C#"/>
    <s v="Major"/>
    <n v="73"/>
    <n v="60"/>
    <n v="77"/>
    <n v="3"/>
    <n v="0"/>
    <n v="11"/>
    <n v="4"/>
  </r>
  <r>
    <x v="116"/>
    <s v="When I Was Your Man"/>
    <n v="1"/>
    <x v="106"/>
    <n v="2420"/>
    <n v="11"/>
    <n v="1661187319"/>
    <s v="yes"/>
    <n v="0"/>
    <n v="0"/>
    <n v="806"/>
    <n v="0"/>
    <n v="0"/>
    <n v="145"/>
    <m/>
    <s v="Major"/>
    <n v="60"/>
    <n v="43"/>
    <n v="27"/>
    <n v="94"/>
    <n v="0"/>
    <n v="14"/>
    <n v="4"/>
  </r>
  <r>
    <x v="117"/>
    <s v="Let Me Down Slowly"/>
    <n v="1"/>
    <x v="118"/>
    <n v="5897"/>
    <n v="19"/>
    <n v="1374581173"/>
    <s v="yes"/>
    <n v="0"/>
    <n v="0"/>
    <n v="885"/>
    <n v="0"/>
    <n v="0"/>
    <n v="150"/>
    <s v="C#"/>
    <s v="Minor"/>
    <n v="65"/>
    <n v="51"/>
    <n v="55"/>
    <n v="73"/>
    <n v="0"/>
    <n v="14"/>
    <n v="3"/>
  </r>
  <r>
    <x v="118"/>
    <s v="Am I Dreaming (Metro Boomin &amp; A$AP Rocky, Roisee)"/>
    <n v="3"/>
    <x v="22"/>
    <n v="727"/>
    <n v="16"/>
    <n v="94186466"/>
    <s v="no"/>
    <n v="17"/>
    <n v="60"/>
    <n v="28"/>
    <n v="1"/>
    <n v="44"/>
    <n v="90"/>
    <s v="A"/>
    <s v="Minor"/>
    <n v="60"/>
    <n v="13"/>
    <n v="53"/>
    <n v="4"/>
    <n v="0"/>
    <n v="21"/>
    <n v="4"/>
  </r>
  <r>
    <x v="118"/>
    <s v="Do I Wanna Know?"/>
    <n v="1"/>
    <x v="20"/>
    <n v="33783"/>
    <n v="26"/>
    <n v="1788326445"/>
    <s v="yes"/>
    <n v="133"/>
    <n v="92"/>
    <n v="2733"/>
    <n v="1"/>
    <n v="26"/>
    <n v="85"/>
    <s v="F"/>
    <s v="Major"/>
    <n v="55"/>
    <n v="42"/>
    <n v="53"/>
    <n v="17"/>
    <n v="0"/>
    <n v="22"/>
    <n v="3"/>
  </r>
  <r>
    <x v="119"/>
    <s v="Demons"/>
    <n v="1"/>
    <x v="76"/>
    <n v="26694"/>
    <n v="13"/>
    <n v="1840364617"/>
    <s v="yes"/>
    <n v="65"/>
    <n v="82"/>
    <n v="3425"/>
    <n v="4"/>
    <n v="13"/>
    <n v="180"/>
    <s v="D#"/>
    <s v="Major"/>
    <n v="33"/>
    <n v="38"/>
    <n v="71"/>
    <n v="20"/>
    <n v="0"/>
    <n v="28"/>
    <n v="5"/>
  </r>
  <r>
    <x v="119"/>
    <s v="ýýýýýýýýýýýý"/>
    <n v="1"/>
    <x v="119"/>
    <n v="356"/>
    <n v="16"/>
    <n v="143573775"/>
    <s v="no"/>
    <n v="35"/>
    <n v="102"/>
    <n v="8"/>
    <n v="1"/>
    <n v="117"/>
    <n v="166"/>
    <s v="C#"/>
    <s v="Major"/>
    <n v="57"/>
    <n v="84"/>
    <n v="94"/>
    <n v="11"/>
    <n v="0"/>
    <n v="37"/>
    <n v="9"/>
  </r>
  <r>
    <x v="120"/>
    <s v="Reminder"/>
    <n v="1"/>
    <x v="120"/>
    <n v="6518"/>
    <n v="17"/>
    <n v="684675814"/>
    <s v="yes"/>
    <n v="45"/>
    <n v="85"/>
    <n v="238"/>
    <n v="1"/>
    <n v="47"/>
    <n v="160"/>
    <s v="G#"/>
    <s v="Major"/>
    <n v="71"/>
    <n v="40"/>
    <n v="50"/>
    <n v="16"/>
    <n v="0"/>
    <n v="16"/>
    <n v="22"/>
  </r>
  <r>
    <x v="120"/>
    <s v="Shake It Off"/>
    <n v="1"/>
    <x v="32"/>
    <n v="21335"/>
    <n v="13"/>
    <n v="1113838873"/>
    <s v="yes"/>
    <n v="328"/>
    <n v="70"/>
    <n v="1378"/>
    <n v="9"/>
    <n v="20"/>
    <n v="160"/>
    <s v="G"/>
    <s v="Major"/>
    <n v="65"/>
    <n v="95"/>
    <n v="80"/>
    <n v="5"/>
    <n v="0"/>
    <n v="41"/>
    <n v="16"/>
  </r>
  <r>
    <x v="121"/>
    <s v="Why'd You Only Call Me When You're High?"/>
    <n v="1"/>
    <x v="20"/>
    <n v="23389"/>
    <n v="29"/>
    <n v="1267333350"/>
    <s v="yes"/>
    <n v="54"/>
    <n v="70"/>
    <n v="1089"/>
    <n v="2"/>
    <n v="1"/>
    <n v="92"/>
    <s v="D"/>
    <s v="Major"/>
    <n v="70"/>
    <n v="81"/>
    <n v="63"/>
    <n v="4"/>
    <n v="0"/>
    <n v="8"/>
    <n v="4"/>
  </r>
  <r>
    <x v="122"/>
    <s v="SNAP"/>
    <n v="1"/>
    <x v="121"/>
    <n v="3202"/>
    <n v="18"/>
    <n v="726307468"/>
    <s v="yes"/>
    <n v="148"/>
    <n v="80"/>
    <n v="226"/>
    <n v="24"/>
    <n v="0"/>
    <n v="170"/>
    <m/>
    <s v="Major"/>
    <n v="56"/>
    <n v="53"/>
    <n v="64"/>
    <n v="11"/>
    <n v="0"/>
    <n v="45"/>
    <n v="6"/>
  </r>
  <r>
    <x v="123"/>
    <s v="Shape of You"/>
    <n v="1"/>
    <x v="122"/>
    <n v="32181"/>
    <n v="10"/>
    <n v="3562543890"/>
    <s v="yes"/>
    <n v="33"/>
    <n v="0"/>
    <n v="6808"/>
    <n v="7"/>
    <n v="0"/>
    <n v="96"/>
    <s v="C#"/>
    <s v="Minor"/>
    <n v="83"/>
    <n v="93"/>
    <n v="65"/>
    <n v="58"/>
    <n v="0"/>
    <n v="9"/>
    <n v="8"/>
  </r>
  <r>
    <x v="124"/>
    <s v="Night Changes"/>
    <n v="1"/>
    <x v="123"/>
    <n v="7124"/>
    <n v="18"/>
    <n v="1131090940"/>
    <s v="yes"/>
    <n v="60"/>
    <n v="20"/>
    <n v="2"/>
    <n v="0"/>
    <m/>
    <n v="120"/>
    <s v="G#"/>
    <s v="Major"/>
    <n v="67"/>
    <n v="40"/>
    <n v="52"/>
    <n v="86"/>
    <n v="0"/>
    <n v="12"/>
    <n v="4"/>
  </r>
  <r>
    <x v="125"/>
    <s v="Fin de Semana"/>
    <n v="2"/>
    <x v="124"/>
    <n v="592"/>
    <n v="14"/>
    <n v="307370144"/>
    <s v="yes"/>
    <n v="11"/>
    <n v="84"/>
    <n v="6"/>
    <n v="1"/>
    <n v="30"/>
    <n v="98"/>
    <m/>
    <s v="Major"/>
    <n v="70"/>
    <n v="37"/>
    <n v="54"/>
    <n v="6"/>
    <n v="0"/>
    <n v="9"/>
    <n v="8"/>
  </r>
  <r>
    <x v="126"/>
    <s v="Creep"/>
    <n v="1"/>
    <x v="125"/>
    <n v="36724"/>
    <n v="7"/>
    <n v="1271293243"/>
    <s v="yes"/>
    <n v="146"/>
    <n v="72"/>
    <n v="6807"/>
    <n v="5"/>
    <n v="80"/>
    <n v="92"/>
    <s v="G"/>
    <s v="Major"/>
    <n v="53"/>
    <n v="12"/>
    <n v="34"/>
    <n v="1"/>
    <n v="0"/>
    <n v="12"/>
    <n v="4"/>
  </r>
  <r>
    <x v="127"/>
    <s v="Car's Outside"/>
    <n v="1"/>
    <x v="126"/>
    <n v="794"/>
    <n v="10"/>
    <n v="265882712"/>
    <s v="yes"/>
    <n v="38"/>
    <n v="25"/>
    <n v="61"/>
    <n v="0"/>
    <n v="263"/>
    <n v="150"/>
    <s v="A"/>
    <s v="Major"/>
    <n v="34"/>
    <n v="24"/>
    <n v="56"/>
    <n v="4"/>
    <n v="0"/>
    <n v="11"/>
    <n v="3"/>
  </r>
  <r>
    <x v="128"/>
    <s v="Apocalypse"/>
    <n v="1"/>
    <x v="127"/>
    <n v="13091"/>
    <n v="17"/>
    <n v="841749534"/>
    <s v="yes"/>
    <n v="61"/>
    <n v="96"/>
    <n v="790"/>
    <n v="2"/>
    <n v="116"/>
    <n v="94"/>
    <s v="F"/>
    <s v="Major"/>
    <n v="37"/>
    <n v="17"/>
    <n v="47"/>
    <n v="2"/>
    <n v="46"/>
    <n v="11"/>
    <n v="3"/>
  </r>
  <r>
    <x v="128"/>
    <s v="Cheques"/>
    <n v="1"/>
    <x v="33"/>
    <n v="67"/>
    <n v="8"/>
    <n v="47956378"/>
    <s v="no"/>
    <n v="7"/>
    <n v="10"/>
    <n v="0"/>
    <n v="0"/>
    <n v="57"/>
    <n v="90"/>
    <s v="E"/>
    <s v="Minor"/>
    <n v="74"/>
    <n v="36"/>
    <n v="63"/>
    <n v="26"/>
    <n v="0"/>
    <n v="27"/>
    <n v="5"/>
  </r>
  <r>
    <x v="129"/>
    <s v="Pink + White"/>
    <n v="1"/>
    <x v="128"/>
    <n v="21574"/>
    <n v="30"/>
    <n v="806397070"/>
    <s v="yes"/>
    <n v="112"/>
    <n v="68"/>
    <n v="266"/>
    <n v="1"/>
    <n v="39"/>
    <n v="160"/>
    <s v="A"/>
    <s v="Major"/>
    <n v="54"/>
    <n v="54"/>
    <n v="55"/>
    <n v="67"/>
    <n v="0"/>
    <n v="42"/>
    <n v="11"/>
  </r>
  <r>
    <x v="130"/>
    <s v="Circles"/>
    <n v="1"/>
    <x v="129"/>
    <n v="19664"/>
    <n v="16"/>
    <n v="2132335812"/>
    <s v="yes"/>
    <n v="391"/>
    <n v="73"/>
    <n v="633"/>
    <n v="3"/>
    <n v="37"/>
    <n v="120"/>
    <m/>
    <s v="Major"/>
    <n v="70"/>
    <n v="59"/>
    <n v="75"/>
    <n v="24"/>
    <n v="0"/>
    <n v="9"/>
    <n v="4"/>
  </r>
  <r>
    <x v="131"/>
    <s v="Just The Way You Are"/>
    <n v="1"/>
    <x v="104"/>
    <n v="21106"/>
    <n v="13"/>
    <n v="1641426668"/>
    <s v="yes"/>
    <n v="82"/>
    <n v="0"/>
    <n v="2946"/>
    <n v="0"/>
    <n v="0"/>
    <n v="109"/>
    <s v="F"/>
    <s v="Major"/>
    <n v="63"/>
    <n v="46"/>
    <n v="85"/>
    <n v="1"/>
    <n v="0"/>
    <n v="9"/>
    <n v="5"/>
  </r>
  <r>
    <x v="132"/>
    <s v="Take Me To Church"/>
    <n v="1"/>
    <x v="130"/>
    <n v="23804"/>
    <n v="31"/>
    <n v="2135158446"/>
    <s v="yes"/>
    <n v="187"/>
    <n v="99"/>
    <n v="4623"/>
    <n v="1"/>
    <n v="0"/>
    <n v="129"/>
    <s v="E"/>
    <s v="Minor"/>
    <n v="57"/>
    <n v="41"/>
    <n v="66"/>
    <n v="63"/>
    <n v="0"/>
    <n v="12"/>
    <n v="5"/>
  </r>
  <r>
    <x v="133"/>
    <s v="Bebe Dame"/>
    <n v="2"/>
    <x v="131"/>
    <n v="849"/>
    <n v="22"/>
    <n v="367316268"/>
    <s v="yes"/>
    <n v="27"/>
    <n v="129"/>
    <n v="21"/>
    <n v="7"/>
    <n v="111"/>
    <n v="157"/>
    <s v="G"/>
    <s v="Major"/>
    <n v="54"/>
    <n v="75"/>
    <n v="60"/>
    <n v="30"/>
    <n v="0"/>
    <n v="7"/>
    <n v="5"/>
  </r>
  <r>
    <x v="134"/>
    <s v="You Belong With Me (Taylorï¿½ï¿½ï¿½s Ve"/>
    <n v="1"/>
    <x v="132"/>
    <n v="2619"/>
    <n v="12"/>
    <n v="350381515"/>
    <s v="yes"/>
    <n v="47"/>
    <n v="90"/>
    <n v="1"/>
    <n v="0"/>
    <n v="7"/>
    <n v="130"/>
    <s v="F#"/>
    <s v="Major"/>
    <n v="63"/>
    <n v="49"/>
    <n v="73"/>
    <n v="5"/>
    <n v="0"/>
    <n v="9"/>
    <n v="3"/>
  </r>
  <r>
    <x v="135"/>
    <s v="Titi Me Preguntï¿"/>
    <n v="1"/>
    <x v="67"/>
    <n v="9037"/>
    <n v="42"/>
    <n v="1264310836"/>
    <s v="yes"/>
    <n v="124"/>
    <n v="133"/>
    <n v="139"/>
    <n v="14"/>
    <n v="166"/>
    <n v="107"/>
    <s v="F"/>
    <s v="Minor"/>
    <n v="65"/>
    <n v="19"/>
    <n v="72"/>
    <n v="10"/>
    <n v="0"/>
    <n v="13"/>
    <n v="25"/>
  </r>
  <r>
    <x v="136"/>
    <s v="Better Than Revenge (Taylor's Version)"/>
    <n v="1"/>
    <x v="7"/>
    <n v="86"/>
    <n v="11"/>
    <n v="30343206"/>
    <s v="no"/>
    <n v="3"/>
    <n v="33"/>
    <n v="3"/>
    <n v="0"/>
    <n v="1"/>
    <n v="146"/>
    <s v="B"/>
    <s v="Minor"/>
    <n v="50"/>
    <n v="67"/>
    <n v="89"/>
    <n v="0"/>
    <n v="0"/>
    <n v="19"/>
    <n v="8"/>
  </r>
  <r>
    <x v="137"/>
    <s v="Shut up My Moms Calling"/>
    <n v="1"/>
    <x v="133"/>
    <n v="1788"/>
    <n v="14"/>
    <n v="405136812"/>
    <s v="yes"/>
    <n v="1"/>
    <n v="50"/>
    <n v="19"/>
    <n v="0"/>
    <n v="19"/>
    <n v="139"/>
    <s v="A"/>
    <s v="Minor"/>
    <n v="48"/>
    <n v="37"/>
    <n v="41"/>
    <n v="32"/>
    <n v="0"/>
    <n v="10"/>
    <n v="10"/>
  </r>
  <r>
    <x v="138"/>
    <s v="Have You Ever Seen The Rain?"/>
    <n v="1"/>
    <x v="134"/>
    <n v="15890"/>
    <n v="14"/>
    <n v="1145727611"/>
    <s v="yes"/>
    <n v="71"/>
    <n v="37"/>
    <n v="653"/>
    <n v="0"/>
    <n v="167"/>
    <n v="116"/>
    <m/>
    <s v="Major"/>
    <n v="74"/>
    <n v="76"/>
    <n v="70"/>
    <n v="7"/>
    <n v="0"/>
    <n v="13"/>
    <n v="3"/>
  </r>
  <r>
    <x v="138"/>
    <s v="Es un Secreto"/>
    <n v="1"/>
    <x v="135"/>
    <n v="492"/>
    <n v="36"/>
    <n v="540654286"/>
    <s v="yes"/>
    <n v="4"/>
    <n v="3"/>
    <n v="19"/>
    <n v="0"/>
    <n v="0"/>
    <n v="95"/>
    <s v="F#"/>
    <s v="Minor"/>
    <n v="84"/>
    <n v="52"/>
    <n v="77"/>
    <n v="12"/>
    <n v="0"/>
    <n v="7"/>
    <n v="4"/>
  </r>
  <r>
    <x v="138"/>
    <s v="POLARIS - Remix"/>
    <n v="4"/>
    <x v="136"/>
    <n v="773"/>
    <n v="33"/>
    <n v="57312735"/>
    <s v="no"/>
    <n v="20"/>
    <n v="46"/>
    <n v="21"/>
    <n v="8"/>
    <n v="99"/>
    <n v="170"/>
    <s v="G#"/>
    <s v="Minor"/>
    <n v="62"/>
    <n v="55"/>
    <n v="80"/>
    <n v="15"/>
    <n v="0"/>
    <n v="37"/>
    <n v="7"/>
  </r>
  <r>
    <x v="138"/>
    <s v="Ditto"/>
    <n v="1"/>
    <x v="137"/>
    <n v="1154"/>
    <n v="22"/>
    <n v="397582059"/>
    <s v="yes"/>
    <n v="28"/>
    <n v="125"/>
    <n v="11"/>
    <n v="1"/>
    <n v="51"/>
    <n v="134"/>
    <s v="F#"/>
    <s v="Minor"/>
    <n v="81"/>
    <n v="18"/>
    <n v="64"/>
    <n v="3"/>
    <n v="0"/>
    <n v="10"/>
    <n v="11"/>
  </r>
  <r>
    <x v="138"/>
    <s v="Take On Me"/>
    <n v="1"/>
    <x v="138"/>
    <n v="44927"/>
    <n v="17"/>
    <n v="1479115056"/>
    <s v="yes"/>
    <n v="34"/>
    <n v="0"/>
    <n v="5108"/>
    <n v="6"/>
    <n v="0"/>
    <n v="84"/>
    <s v="F#"/>
    <s v="Minor"/>
    <n v="57"/>
    <n v="86"/>
    <n v="90"/>
    <n v="2"/>
    <n v="0"/>
    <n v="9"/>
    <n v="5"/>
  </r>
  <r>
    <x v="138"/>
    <s v="Annihilate (Spider-Man: Across the Spider-Verse) (Metro Boomin &amp; Swae Lee, Lil Wayne, Offset)"/>
    <n v="4"/>
    <x v="22"/>
    <n v="551"/>
    <n v="4"/>
    <n v="86773632"/>
    <s v="no"/>
    <n v="13"/>
    <n v="46"/>
    <n v="20"/>
    <n v="1"/>
    <n v="10"/>
    <n v="146"/>
    <s v="B"/>
    <s v="Minor"/>
    <n v="61"/>
    <n v="20"/>
    <n v="48"/>
    <n v="21"/>
    <n v="0"/>
    <n v="12"/>
    <n v="6"/>
  </r>
  <r>
    <x v="139"/>
    <s v="Angel Pt 1 (feat. Jimin of BTS, JVKE &amp; Muni Long)"/>
    <n v="5"/>
    <x v="139"/>
    <n v="577"/>
    <n v="14"/>
    <n v="133753727"/>
    <s v="no"/>
    <n v="22"/>
    <n v="18"/>
    <n v="15"/>
    <n v="1"/>
    <n v="0"/>
    <n v="74"/>
    <s v="A#"/>
    <s v="Minor"/>
    <n v="53"/>
    <n v="24"/>
    <n v="67"/>
    <n v="11"/>
    <n v="0"/>
    <n v="10"/>
    <n v="28"/>
  </r>
  <r>
    <x v="140"/>
    <s v="Acrï¿½ï¿½s"/>
    <n v="1"/>
    <x v="140"/>
    <n v="955"/>
    <n v="29"/>
    <n v="123124076"/>
    <s v="no"/>
    <n v="37"/>
    <n v="50"/>
    <n v="79"/>
    <n v="11"/>
    <n v="31"/>
    <n v="144"/>
    <s v="B"/>
    <s v="Major"/>
    <n v="75"/>
    <n v="35"/>
    <n v="48"/>
    <n v="84"/>
    <n v="0"/>
    <n v="10"/>
    <n v="12"/>
  </r>
  <r>
    <x v="141"/>
    <s v="AMG"/>
    <n v="3"/>
    <x v="141"/>
    <n v="995"/>
    <n v="19"/>
    <n v="463564958"/>
    <s v="yes"/>
    <n v="12"/>
    <n v="117"/>
    <n v="9"/>
    <n v="5"/>
    <n v="3"/>
    <n v="136"/>
    <s v="B"/>
    <s v="Minor"/>
    <n v="77"/>
    <n v="79"/>
    <n v="73"/>
    <n v="15"/>
    <n v="0"/>
    <n v="27"/>
    <n v="10"/>
  </r>
  <r>
    <x v="142"/>
    <s v="Phir Aur Kya Chahiye (From &quot;Zara Hatke Zara Bachke&quot;)"/>
    <n v="3"/>
    <x v="8"/>
    <n v="178"/>
    <n v="6"/>
    <n v="64533040"/>
    <s v="no"/>
    <n v="6"/>
    <n v="71"/>
    <n v="1"/>
    <n v="0"/>
    <n v="31"/>
    <n v="100"/>
    <s v="E"/>
    <s v="Major"/>
    <n v="56"/>
    <n v="53"/>
    <n v="55"/>
    <n v="53"/>
    <n v="0"/>
    <n v="12"/>
    <n v="4"/>
  </r>
  <r>
    <x v="143"/>
    <s v="S-Class"/>
    <n v="1"/>
    <x v="22"/>
    <n v="290"/>
    <n v="19"/>
    <n v="65496046"/>
    <s v="no"/>
    <n v="9"/>
    <n v="101"/>
    <n v="5"/>
    <n v="0"/>
    <n v="73"/>
    <n v="105"/>
    <s v="F"/>
    <s v="Minor"/>
    <n v="89"/>
    <n v="67"/>
    <n v="78"/>
    <n v="9"/>
    <n v="0"/>
    <n v="7"/>
    <n v="33"/>
  </r>
  <r>
    <x v="144"/>
    <s v="Hits Different"/>
    <n v="1"/>
    <x v="103"/>
    <n v="547"/>
    <n v="0"/>
    <n v="68616963"/>
    <s v="no"/>
    <n v="15"/>
    <n v="15"/>
    <n v="6"/>
    <n v="0"/>
    <n v="0"/>
    <n v="106"/>
    <s v="F"/>
    <s v="Major"/>
    <n v="67"/>
    <n v="24"/>
    <n v="78"/>
    <n v="15"/>
    <n v="0"/>
    <n v="30"/>
    <n v="4"/>
  </r>
  <r>
    <x v="144"/>
    <s v="Chanel"/>
    <n v="2"/>
    <x v="142"/>
    <n v="681"/>
    <n v="10"/>
    <n v="161460990"/>
    <s v="no"/>
    <n v="15"/>
    <n v="92"/>
    <n v="21"/>
    <n v="2"/>
    <n v="26"/>
    <n v="132"/>
    <s v="D"/>
    <s v="Major"/>
    <n v="85"/>
    <n v="53"/>
    <n v="68"/>
    <n v="40"/>
    <n v="0"/>
    <n v="9"/>
    <n v="4"/>
  </r>
  <r>
    <x v="145"/>
    <s v="Self Love (Spider-Man: Across the Spider-Verse) (Metro Boomin &amp; Coi Leray)"/>
    <n v="2"/>
    <x v="22"/>
    <n v="332"/>
    <n v="5"/>
    <n v="70106975"/>
    <s v="no"/>
    <n v="18"/>
    <n v="41"/>
    <n v="5"/>
    <n v="0"/>
    <n v="19"/>
    <n v="120"/>
    <s v="A"/>
    <s v="Major"/>
    <n v="78"/>
    <n v="5"/>
    <n v="30"/>
    <n v="21"/>
    <n v="0"/>
    <n v="13"/>
    <n v="5"/>
  </r>
  <r>
    <x v="145"/>
    <s v="Area Codes"/>
    <n v="2"/>
    <x v="9"/>
    <n v="1197"/>
    <n v="13"/>
    <n v="113509496"/>
    <s v="no"/>
    <n v="44"/>
    <n v="34"/>
    <n v="25"/>
    <n v="1"/>
    <n v="171"/>
    <n v="155"/>
    <s v="C#"/>
    <s v="Major"/>
    <n v="82"/>
    <n v="51"/>
    <n v="39"/>
    <n v="2"/>
    <n v="0"/>
    <n v="9"/>
    <n v="49"/>
  </r>
  <r>
    <x v="145"/>
    <s v="Abcdario"/>
    <n v="2"/>
    <x v="143"/>
    <n v="262"/>
    <n v="5"/>
    <n v="89933133"/>
    <s v="no"/>
    <n v="8"/>
    <n v="60"/>
    <n v="4"/>
    <n v="1"/>
    <n v="109"/>
    <n v="129"/>
    <s v="G#"/>
    <s v="Major"/>
    <n v="70"/>
    <n v="42"/>
    <n v="43"/>
    <n v="78"/>
    <n v="0"/>
    <n v="11"/>
    <n v="3"/>
  </r>
  <r>
    <x v="145"/>
    <s v="Obsessed"/>
    <n v="2"/>
    <x v="144"/>
    <n v="161"/>
    <n v="6"/>
    <n v="71007139"/>
    <s v="no"/>
    <n v="10"/>
    <n v="79"/>
    <n v="2"/>
    <n v="0"/>
    <n v="42"/>
    <n v="135"/>
    <s v="F"/>
    <s v="Minor"/>
    <n v="80"/>
    <n v="85"/>
    <n v="74"/>
    <n v="62"/>
    <n v="0"/>
    <n v="8"/>
    <n v="9"/>
  </r>
  <r>
    <x v="146"/>
    <s v="Piï¿½ï¿½man Deï¿"/>
    <n v="2"/>
    <x v="22"/>
    <n v="185"/>
    <n v="3"/>
    <n v="43522589"/>
    <s v="no"/>
    <n v="5"/>
    <n v="6"/>
    <n v="4"/>
    <n v="1"/>
    <n v="33"/>
    <n v="98"/>
    <s v="A#"/>
    <s v="Minor"/>
    <n v="73"/>
    <n v="45"/>
    <n v="62"/>
    <n v="28"/>
    <n v="0"/>
    <n v="13"/>
    <n v="13"/>
  </r>
  <r>
    <x v="146"/>
    <s v="FLOWER"/>
    <n v="1"/>
    <x v="17"/>
    <n v="839"/>
    <n v="18"/>
    <n v="232896922"/>
    <s v="yes"/>
    <n v="20"/>
    <n v="110"/>
    <n v="20"/>
    <n v="0"/>
    <n v="69"/>
    <n v="124"/>
    <s v="A"/>
    <s v="Minor"/>
    <n v="84"/>
    <n v="64"/>
    <n v="39"/>
    <n v="3"/>
    <n v="0"/>
    <n v="11"/>
    <n v="4"/>
  </r>
  <r>
    <x v="146"/>
    <s v="All The Way Live (Spider-Man: Across the Spider-Verse) (Metro Boomin &amp; Future, Lil Uzi Vert)"/>
    <n v="3"/>
    <x v="22"/>
    <n v="259"/>
    <n v="0"/>
    <n v="37126685"/>
    <s v="no"/>
    <n v="5"/>
    <n v="17"/>
    <n v="5"/>
    <n v="0"/>
    <n v="0"/>
    <n v="135"/>
    <s v="A"/>
    <s v="Minor"/>
    <n v="77"/>
    <n v="28"/>
    <n v="55"/>
    <n v="18"/>
    <n v="0"/>
    <n v="22"/>
    <n v="15"/>
  </r>
  <r>
    <x v="146"/>
    <s v="Eyes Closed"/>
    <n v="1"/>
    <x v="1"/>
    <n v="2915"/>
    <n v="30"/>
    <n v="195576623"/>
    <s v="no"/>
    <n v="116"/>
    <n v="69"/>
    <n v="107"/>
    <n v="3"/>
    <n v="675"/>
    <n v="107"/>
    <s v="D"/>
    <s v="Major"/>
    <n v="78"/>
    <n v="39"/>
    <n v="53"/>
    <n v="30"/>
    <n v="0"/>
    <n v="11"/>
    <n v="6"/>
  </r>
  <r>
    <x v="146"/>
    <s v="Escapism."/>
    <n v="2"/>
    <x v="145"/>
    <n v="5129"/>
    <n v="25"/>
    <n v="532336353"/>
    <s v="yes"/>
    <n v="116"/>
    <n v="84"/>
    <n v="114"/>
    <n v="18"/>
    <n v="348"/>
    <n v="96"/>
    <s v="D"/>
    <s v="Major"/>
    <n v="54"/>
    <n v="25"/>
    <n v="74"/>
    <n v="14"/>
    <n v="0"/>
    <n v="9"/>
    <n v="11"/>
  </r>
  <r>
    <x v="146"/>
    <s v="La Jumpa"/>
    <n v="2"/>
    <x v="146"/>
    <n v="3794"/>
    <n v="34"/>
    <n v="538115192"/>
    <s v="yes"/>
    <n v="47"/>
    <n v="77"/>
    <n v="53"/>
    <n v="10"/>
    <n v="8"/>
    <n v="123"/>
    <s v="G#"/>
    <s v="Major"/>
    <n v="71"/>
    <n v="58"/>
    <n v="70"/>
    <n v="30"/>
    <n v="0"/>
    <n v="32"/>
    <n v="19"/>
  </r>
  <r>
    <x v="146"/>
    <s v="Karma (feat. Ice Spice)"/>
    <n v="2"/>
    <x v="103"/>
    <n v="588"/>
    <n v="0"/>
    <n v="46142772"/>
    <s v="no"/>
    <n v="23"/>
    <n v="21"/>
    <n v="31"/>
    <n v="0"/>
    <n v="0"/>
    <n v="90"/>
    <s v="G#"/>
    <s v="Major"/>
    <n v="62"/>
    <n v="7"/>
    <n v="62"/>
    <n v="6"/>
    <n v="0"/>
    <n v="58"/>
    <n v="6"/>
  </r>
  <r>
    <x v="146"/>
    <s v="Superhero (Heroes &amp; Villains) [with Future &amp; Chris Brown]"/>
    <n v="3"/>
    <x v="28"/>
    <n v="2959"/>
    <n v="16"/>
    <n v="401036314"/>
    <s v="yes"/>
    <n v="41"/>
    <n v="69"/>
    <n v="38"/>
    <n v="0"/>
    <n v="36"/>
    <n v="117"/>
    <s v="F"/>
    <s v="Minor"/>
    <n v="72"/>
    <n v="45"/>
    <n v="59"/>
    <n v="14"/>
    <n v="0"/>
    <n v="20"/>
    <n v="21"/>
  </r>
  <r>
    <x v="147"/>
    <s v="Las Morras"/>
    <n v="2"/>
    <x v="107"/>
    <n v="291"/>
    <n v="8"/>
    <n v="127026613"/>
    <s v="no"/>
    <n v="8"/>
    <n v="78"/>
    <n v="4"/>
    <n v="1"/>
    <n v="1"/>
    <n v="133"/>
    <s v="A"/>
    <s v="Minor"/>
    <n v="78"/>
    <n v="90"/>
    <n v="84"/>
    <n v="31"/>
    <n v="0"/>
    <n v="7"/>
    <n v="4"/>
  </r>
  <r>
    <x v="148"/>
    <s v="CHORRITO PA LAS ANIMAS"/>
    <n v="1"/>
    <x v="28"/>
    <n v="2321"/>
    <n v="36"/>
    <n v="345031710"/>
    <s v="yes"/>
    <n v="29"/>
    <n v="65"/>
    <n v="34"/>
    <n v="5"/>
    <n v="3"/>
    <n v="96"/>
    <s v="G#"/>
    <s v="Minor"/>
    <n v="74"/>
    <n v="61"/>
    <n v="83"/>
    <n v="11"/>
    <n v="0"/>
    <n v="35"/>
    <n v="6"/>
  </r>
  <r>
    <x v="149"/>
    <s v="Ch y la Pizza"/>
    <n v="2"/>
    <x v="147"/>
    <n v="536"/>
    <n v="10"/>
    <n v="288101651"/>
    <s v="yes"/>
    <n v="10"/>
    <n v="72"/>
    <n v="8"/>
    <n v="3"/>
    <n v="14"/>
    <n v="149"/>
    <s v="G#"/>
    <s v="Major"/>
    <n v="66"/>
    <n v="85"/>
    <n v="60"/>
    <n v="40"/>
    <n v="0"/>
    <n v="14"/>
    <n v="13"/>
  </r>
  <r>
    <x v="150"/>
    <s v="Snow On The Beach (feat. More Lana Del Rey)"/>
    <n v="2"/>
    <x v="103"/>
    <n v="359"/>
    <n v="2"/>
    <n v="60350538"/>
    <s v="no"/>
    <n v="1"/>
    <n v="0"/>
    <n v="9"/>
    <n v="0"/>
    <n v="0"/>
    <n v="110"/>
    <s v="F#"/>
    <s v="Minor"/>
    <n v="66"/>
    <n v="32"/>
    <n v="40"/>
    <n v="81"/>
    <n v="0"/>
    <n v="11"/>
    <n v="3"/>
  </r>
  <r>
    <x v="151"/>
    <s v="Players"/>
    <n v="1"/>
    <x v="146"/>
    <n v="4096"/>
    <n v="6"/>
    <n v="335074782"/>
    <s v="yes"/>
    <n v="118"/>
    <n v="48"/>
    <n v="143"/>
    <n v="0"/>
    <n v="240"/>
    <n v="105"/>
    <s v="F#"/>
    <s v="Major"/>
    <n v="95"/>
    <n v="62"/>
    <n v="52"/>
    <n v="3"/>
    <n v="0"/>
    <n v="5"/>
    <n v="16"/>
  </r>
  <r>
    <x v="152"/>
    <s v="Bite Me"/>
    <n v="1"/>
    <x v="96"/>
    <n v="349"/>
    <n v="69"/>
    <n v="76767396"/>
    <s v="no"/>
    <n v="8"/>
    <n v="96"/>
    <n v="5"/>
    <n v="0"/>
    <n v="56"/>
    <n v="105"/>
    <s v="C#"/>
    <s v="Major"/>
    <n v="80"/>
    <n v="69"/>
    <n v="78"/>
    <n v="28"/>
    <n v="0"/>
    <n v="11"/>
    <n v="14"/>
  </r>
  <r>
    <x v="153"/>
    <s v="Stand By Me (feat. Morgan Wallen)"/>
    <n v="2"/>
    <x v="103"/>
    <n v="381"/>
    <n v="5"/>
    <n v="46065667"/>
    <s v="no"/>
    <n v="23"/>
    <n v="82"/>
    <n v="6"/>
    <n v="0"/>
    <n v="113"/>
    <n v="134"/>
    <s v="B"/>
    <s v="Major"/>
    <n v="76"/>
    <n v="61"/>
    <n v="58"/>
    <n v="6"/>
    <n v="0"/>
    <n v="16"/>
    <n v="3"/>
  </r>
  <r>
    <x v="154"/>
    <s v="Normal"/>
    <n v="1"/>
    <x v="148"/>
    <n v="2461"/>
    <n v="36"/>
    <n v="459276435"/>
    <s v="yes"/>
    <n v="47"/>
    <n v="66"/>
    <n v="45"/>
    <n v="5"/>
    <n v="6"/>
    <n v="170"/>
    <s v="E"/>
    <s v="Minor"/>
    <n v="71"/>
    <n v="59"/>
    <n v="56"/>
    <n v="4"/>
    <n v="0"/>
    <n v="27"/>
    <n v="12"/>
  </r>
  <r>
    <x v="154"/>
    <s v="Hummingbird (Metro Boomin &amp; James Blake)"/>
    <n v="2"/>
    <x v="22"/>
    <n v="277"/>
    <n v="1"/>
    <n v="39666245"/>
    <s v="no"/>
    <n v="1"/>
    <n v="20"/>
    <n v="5"/>
    <n v="0"/>
    <n v="1"/>
    <n v="81"/>
    <s v="F#"/>
    <s v="Major"/>
    <n v="59"/>
    <n v="26"/>
    <n v="60"/>
    <n v="46"/>
    <n v="1"/>
    <n v="25"/>
    <n v="13"/>
  </r>
  <r>
    <x v="154"/>
    <s v="Seu Brilho Sumiu - Ao Vivo"/>
    <n v="2"/>
    <x v="149"/>
    <n v="967"/>
    <n v="5"/>
    <n v="138517666"/>
    <s v="no"/>
    <n v="7"/>
    <n v="29"/>
    <n v="51"/>
    <n v="1"/>
    <n v="29"/>
    <n v="154"/>
    <s v="F#"/>
    <s v="Major"/>
    <n v="63"/>
    <n v="75"/>
    <n v="92"/>
    <n v="31"/>
    <n v="0"/>
    <n v="91"/>
    <n v="5"/>
  </r>
  <r>
    <x v="155"/>
    <s v="Bad Habit"/>
    <n v="1"/>
    <x v="150"/>
    <n v="8186"/>
    <n v="12"/>
    <n v="822633917"/>
    <s v="yes"/>
    <n v="155"/>
    <n v="72"/>
    <n v="131"/>
    <n v="16"/>
    <n v="29"/>
    <n v="169"/>
    <s v="C#"/>
    <s v="Major"/>
    <n v="69"/>
    <n v="69"/>
    <n v="51"/>
    <n v="63"/>
    <n v="0"/>
    <n v="38"/>
    <n v="4"/>
  </r>
  <r>
    <x v="156"/>
    <s v="CUFF IT"/>
    <n v="1"/>
    <x v="151"/>
    <n v="7842"/>
    <n v="10"/>
    <n v="595900742"/>
    <s v="yes"/>
    <n v="215"/>
    <n v="88"/>
    <n v="330"/>
    <n v="26"/>
    <n v="23"/>
    <n v="115"/>
    <s v="G"/>
    <s v="Major"/>
    <n v="78"/>
    <n v="64"/>
    <n v="69"/>
    <n v="4"/>
    <n v="0"/>
    <n v="7"/>
    <n v="14"/>
  </r>
  <r>
    <x v="157"/>
    <s v="Lilith (feat. SUGA of BTS) (Diablo IV Anthem)"/>
    <n v="2"/>
    <x v="152"/>
    <n v="215"/>
    <n v="6"/>
    <n v="51985779"/>
    <s v="no"/>
    <n v="6"/>
    <n v="14"/>
    <n v="8"/>
    <n v="2"/>
    <n v="4"/>
    <n v="84"/>
    <s v="A"/>
    <s v="Minor"/>
    <n v="43"/>
    <n v="14"/>
    <n v="74"/>
    <n v="1"/>
    <n v="0"/>
    <n v="19"/>
    <n v="8"/>
  </r>
  <r>
    <x v="158"/>
    <n v="69"/>
    <n v="2"/>
    <x v="4"/>
    <n v="1134"/>
    <n v="22"/>
    <n v="57945987"/>
    <s v="no"/>
    <n v="39"/>
    <n v="14"/>
    <n v="48"/>
    <n v="2"/>
    <n v="3"/>
    <n v="93"/>
    <s v="G#"/>
    <s v="Major"/>
    <n v="79"/>
    <n v="58"/>
    <n v="62"/>
    <n v="11"/>
    <n v="0"/>
    <n v="11"/>
    <n v="23"/>
  </r>
  <r>
    <x v="158"/>
    <s v="Niï¿½ï¿½a Bo"/>
    <n v="2"/>
    <x v="153"/>
    <n v="1305"/>
    <n v="34"/>
    <n v="115010040"/>
    <s v="no"/>
    <n v="29"/>
    <n v="26"/>
    <n v="43"/>
    <n v="5"/>
    <n v="44"/>
    <n v="91"/>
    <s v="G"/>
    <s v="Major"/>
    <n v="82"/>
    <n v="47"/>
    <n v="62"/>
    <n v="10"/>
    <n v="0"/>
    <n v="10"/>
    <n v="15"/>
  </r>
  <r>
    <x v="159"/>
    <s v="Search &amp; Rescue"/>
    <n v="1"/>
    <x v="31"/>
    <n v="2066"/>
    <n v="6"/>
    <n v="175097833"/>
    <s v="no"/>
    <n v="58"/>
    <n v="70"/>
    <n v="43"/>
    <n v="0"/>
    <n v="182"/>
    <n v="142"/>
    <s v="A#"/>
    <s v="Minor"/>
    <n v="82"/>
    <n v="54"/>
    <n v="44"/>
    <n v="6"/>
    <n v="0"/>
    <n v="33"/>
    <n v="7"/>
  </r>
  <r>
    <x v="160"/>
    <s v="AMERICA HAS A PROBLEM (feat. Kendrick Lamar)"/>
    <n v="2"/>
    <x v="33"/>
    <n v="896"/>
    <n v="0"/>
    <n v="57089066"/>
    <s v="no"/>
    <n v="34"/>
    <n v="2"/>
    <n v="33"/>
    <n v="0"/>
    <n v="1"/>
    <n v="126"/>
    <s v="C#"/>
    <s v="Major"/>
    <n v="78"/>
    <n v="20"/>
    <n v="70"/>
    <n v="1"/>
    <n v="0"/>
    <n v="16"/>
    <n v="4"/>
  </r>
  <r>
    <x v="161"/>
    <s v="Lavender Haze"/>
    <n v="1"/>
    <x v="29"/>
    <n v="3763"/>
    <n v="8"/>
    <n v="488386797"/>
    <s v="yes"/>
    <n v="51"/>
    <n v="43"/>
    <n v="38"/>
    <n v="10"/>
    <n v="1"/>
    <n v="97"/>
    <s v="A#"/>
    <s v="Major"/>
    <n v="73"/>
    <n v="10"/>
    <n v="44"/>
    <n v="26"/>
    <n v="0"/>
    <n v="16"/>
    <n v="8"/>
  </r>
  <r>
    <x v="161"/>
    <s v="Link Up (Metro Boomin &amp; Don Toliver, Wizkid feat. BEAM &amp; Toian) - Spider-Verse Remix (Spider-Man: Across the Spider-Verse )"/>
    <n v="5"/>
    <x v="22"/>
    <n v="197"/>
    <n v="0"/>
    <n v="32761689"/>
    <s v="no"/>
    <n v="3"/>
    <n v="10"/>
    <n v="3"/>
    <n v="0"/>
    <n v="0"/>
    <n v="101"/>
    <s v="F"/>
    <s v="Major"/>
    <n v="92"/>
    <n v="59"/>
    <n v="51"/>
    <n v="41"/>
    <n v="51"/>
    <n v="26"/>
    <n v="8"/>
  </r>
  <r>
    <x v="161"/>
    <s v="Efecto"/>
    <n v="1"/>
    <x v="67"/>
    <n v="4004"/>
    <n v="33"/>
    <n v="1047480053"/>
    <s v="yes"/>
    <n v="34"/>
    <n v="65"/>
    <n v="43"/>
    <n v="6"/>
    <n v="2"/>
    <n v="98"/>
    <s v="G"/>
    <s v="Minor"/>
    <n v="80"/>
    <n v="23"/>
    <n v="48"/>
    <n v="14"/>
    <n v="0"/>
    <n v="6"/>
    <n v="5"/>
  </r>
  <r>
    <x v="161"/>
    <s v="Erro Gostoso - Ao Vivo"/>
    <n v="1"/>
    <x v="102"/>
    <n v="984"/>
    <n v="5"/>
    <n v="153454328"/>
    <s v="no"/>
    <n v="8"/>
    <n v="57"/>
    <n v="76"/>
    <n v="2"/>
    <n v="49"/>
    <n v="154"/>
    <s v="F#"/>
    <s v="Major"/>
    <n v="59"/>
    <n v="63"/>
    <n v="89"/>
    <n v="18"/>
    <n v="0"/>
    <n v="80"/>
    <n v="9"/>
  </r>
  <r>
    <x v="161"/>
    <s v="Cupido"/>
    <n v="1"/>
    <x v="154"/>
    <n v="1240"/>
    <n v="24"/>
    <n v="217672943"/>
    <s v="yes"/>
    <n v="51"/>
    <n v="29"/>
    <n v="63"/>
    <n v="4"/>
    <n v="54"/>
    <n v="120"/>
    <s v="A"/>
    <s v="Major"/>
    <n v="91"/>
    <n v="63"/>
    <n v="58"/>
    <n v="52"/>
    <n v="0"/>
    <n v="31"/>
    <n v="22"/>
  </r>
  <r>
    <x v="161"/>
    <s v="Just Wanna Rock"/>
    <n v="1"/>
    <x v="155"/>
    <n v="3995"/>
    <n v="13"/>
    <n v="457184829"/>
    <s v="yes"/>
    <n v="72"/>
    <n v="27"/>
    <n v="47"/>
    <n v="0"/>
    <n v="0"/>
    <n v="150"/>
    <s v="B"/>
    <s v="Major"/>
    <n v="49"/>
    <n v="4"/>
    <n v="55"/>
    <n v="7"/>
    <n v="0"/>
    <n v="6"/>
    <n v="3"/>
  </r>
  <r>
    <x v="161"/>
    <s v="Unstoppable"/>
    <n v="1"/>
    <x v="156"/>
    <n v="7681"/>
    <n v="13"/>
    <n v="939844851"/>
    <s v="yes"/>
    <n v="119"/>
    <n v="66"/>
    <n v="1145"/>
    <n v="2"/>
    <m/>
    <n v="174"/>
    <s v="A"/>
    <s v="Major"/>
    <n v="47"/>
    <n v="27"/>
    <n v="78"/>
    <n v="11"/>
    <n v="0"/>
    <n v="10"/>
    <n v="8"/>
  </r>
  <r>
    <x v="161"/>
    <s v="Until I Found You"/>
    <n v="1"/>
    <x v="157"/>
    <n v="4427"/>
    <n v="4"/>
    <n v="726434358"/>
    <s v="yes"/>
    <n v="69"/>
    <n v="100"/>
    <n v="154"/>
    <n v="20"/>
    <n v="438"/>
    <n v="202"/>
    <s v="A#"/>
    <s v="Major"/>
    <n v="34"/>
    <n v="25"/>
    <n v="51"/>
    <n v="69"/>
    <n v="0"/>
    <n v="18"/>
    <n v="4"/>
  </r>
  <r>
    <x v="161"/>
    <s v="Rich Flex"/>
    <n v="2"/>
    <x v="158"/>
    <n v="4657"/>
    <n v="18"/>
    <n v="573633020"/>
    <s v="yes"/>
    <n v="84"/>
    <n v="84"/>
    <n v="42"/>
    <n v="0"/>
    <n v="23"/>
    <n v="153"/>
    <s v="B"/>
    <s v="Minor"/>
    <n v="56"/>
    <n v="42"/>
    <n v="52"/>
    <n v="5"/>
    <n v="0"/>
    <n v="36"/>
    <n v="24"/>
  </r>
  <r>
    <x v="162"/>
    <s v="Easy On Me"/>
    <n v="1"/>
    <x v="159"/>
    <n v="10195"/>
    <n v="20"/>
    <n v="1406111294"/>
    <s v="yes"/>
    <n v="258"/>
    <n v="87"/>
    <n v="657"/>
    <n v="22"/>
    <n v="9"/>
    <n v="142"/>
    <s v="F"/>
    <s v="Major"/>
    <n v="60"/>
    <n v="13"/>
    <n v="37"/>
    <n v="58"/>
    <n v="0"/>
    <n v="13"/>
    <n v="3"/>
  </r>
  <r>
    <x v="163"/>
    <s v="Cartï¿½ï¿½o B"/>
    <n v="2"/>
    <x v="140"/>
    <n v="269"/>
    <n v="4"/>
    <n v="71573339"/>
    <s v="no"/>
    <n v="7"/>
    <n v="2"/>
    <n v="30"/>
    <n v="1"/>
    <n v="11"/>
    <n v="108"/>
    <s v="A"/>
    <s v="Minor"/>
    <n v="84"/>
    <n v="55"/>
    <n v="47"/>
    <n v="26"/>
    <n v="0"/>
    <n v="20"/>
    <n v="64"/>
  </r>
  <r>
    <x v="164"/>
    <s v="Danger (Spider) (Offset &amp; JID)"/>
    <n v="2"/>
    <x v="22"/>
    <n v="214"/>
    <n v="0"/>
    <n v="24975653"/>
    <s v="no"/>
    <n v="3"/>
    <n v="3"/>
    <n v="6"/>
    <n v="0"/>
    <n v="0"/>
    <n v="143"/>
    <s v="B"/>
    <s v="Major"/>
    <n v="83"/>
    <n v="25"/>
    <n v="69"/>
    <n v="4"/>
    <n v="0"/>
    <n v="23"/>
    <n v="12"/>
  </r>
  <r>
    <x v="165"/>
    <s v="Oi Balde - Ao Vivo"/>
    <n v="1"/>
    <x v="154"/>
    <n v="845"/>
    <n v="2"/>
    <n v="145458418"/>
    <s v="no"/>
    <n v="12"/>
    <n v="57"/>
    <n v="47"/>
    <n v="1"/>
    <n v="33"/>
    <n v="108"/>
    <s v="D"/>
    <s v="Major"/>
    <n v="67"/>
    <n v="55"/>
    <n v="67"/>
    <n v="60"/>
    <n v="0"/>
    <n v="80"/>
    <n v="5"/>
  </r>
  <r>
    <x v="166"/>
    <s v="The Real Slim Shady"/>
    <n v="1"/>
    <x v="160"/>
    <n v="20763"/>
    <n v="27"/>
    <n v="1424589568"/>
    <s v="yes"/>
    <n v="81"/>
    <n v="53"/>
    <n v="3271"/>
    <n v="1"/>
    <n v="17"/>
    <n v="104"/>
    <s v="F"/>
    <s v="Minor"/>
    <n v="95"/>
    <n v="78"/>
    <n v="66"/>
    <n v="3"/>
    <n v="0"/>
    <n v="4"/>
    <n v="6"/>
  </r>
  <r>
    <x v="167"/>
    <s v="MERCHO"/>
    <n v="3"/>
    <x v="131"/>
    <n v="1267"/>
    <n v="20"/>
    <n v="231332117"/>
    <s v="yes"/>
    <n v="41"/>
    <n v="22"/>
    <n v="56"/>
    <n v="4"/>
    <n v="84"/>
    <n v="93"/>
    <s v="F#"/>
    <s v="Minor"/>
    <n v="84"/>
    <n v="96"/>
    <n v="79"/>
    <n v="43"/>
    <n v="0"/>
    <n v="18"/>
    <n v="11"/>
  </r>
  <r>
    <x v="168"/>
    <s v="The Color Violet"/>
    <n v="1"/>
    <x v="161"/>
    <n v="2585"/>
    <n v="32"/>
    <n v="415932686"/>
    <s v="yes"/>
    <n v="3"/>
    <n v="79"/>
    <n v="21"/>
    <n v="1"/>
    <n v="54"/>
    <n v="105"/>
    <s v="F#"/>
    <s v="Minor"/>
    <n v="65"/>
    <n v="46"/>
    <n v="53"/>
    <n v="16"/>
    <n v="0"/>
    <n v="9"/>
    <n v="5"/>
  </r>
  <r>
    <x v="169"/>
    <s v="Glimpse of Us"/>
    <n v="1"/>
    <x v="162"/>
    <n v="6330"/>
    <n v="6"/>
    <n v="988515741"/>
    <s v="yes"/>
    <n v="109"/>
    <n v="42"/>
    <n v="158"/>
    <n v="3"/>
    <n v="31"/>
    <n v="170"/>
    <s v="G#"/>
    <s v="Major"/>
    <n v="44"/>
    <n v="27"/>
    <n v="32"/>
    <n v="89"/>
    <n v="0"/>
    <n v="14"/>
    <n v="5"/>
  </r>
  <r>
    <x v="170"/>
    <s v="Mejor Que Yo"/>
    <n v="3"/>
    <x v="49"/>
    <n v="675"/>
    <n v="1"/>
    <n v="50847624"/>
    <s v="no"/>
    <n v="9"/>
    <n v="13"/>
    <n v="11"/>
    <n v="0"/>
    <n v="1"/>
    <n v="178"/>
    <s v="C#"/>
    <s v="Minor"/>
    <n v="62"/>
    <n v="56"/>
    <n v="66"/>
    <n v="18"/>
    <n v="0"/>
    <n v="12"/>
    <n v="5"/>
  </r>
  <r>
    <x v="171"/>
    <s v="Curtains"/>
    <n v="1"/>
    <x v="163"/>
    <n v="715"/>
    <n v="0"/>
    <n v="39893489"/>
    <s v="no"/>
    <n v="37"/>
    <n v="3"/>
    <n v="27"/>
    <n v="0"/>
    <n v="50"/>
    <n v="176"/>
    <s v="F#"/>
    <s v="Minor"/>
    <n v="50"/>
    <n v="44"/>
    <n v="76"/>
    <n v="10"/>
    <n v="0"/>
    <n v="32"/>
    <n v="5"/>
  </r>
  <r>
    <x v="172"/>
    <s v="UNFORGIVEN (feat. Nile Rodgers)"/>
    <n v="2"/>
    <x v="139"/>
    <n v="327"/>
    <n v="13"/>
    <n v="92035115"/>
    <s v="no"/>
    <n v="14"/>
    <n v="110"/>
    <n v="9"/>
    <n v="0"/>
    <n v="49"/>
    <n v="104"/>
    <s v="E"/>
    <s v="Minor"/>
    <n v="80"/>
    <n v="38"/>
    <n v="88"/>
    <n v="11"/>
    <n v="0"/>
    <n v="11"/>
    <n v="5"/>
  </r>
  <r>
    <x v="173"/>
    <s v="Haegeum"/>
    <n v="1"/>
    <x v="153"/>
    <n v="244"/>
    <n v="12"/>
    <n v="118810253"/>
    <s v="no"/>
    <n v="6"/>
    <n v="84"/>
    <n v="10"/>
    <n v="2"/>
    <n v="9"/>
    <n v="85"/>
    <s v="G"/>
    <s v="Major"/>
    <n v="70"/>
    <n v="83"/>
    <n v="84"/>
    <n v="31"/>
    <n v="0"/>
    <n v="47"/>
    <n v="30"/>
  </r>
  <r>
    <x v="173"/>
    <s v="Conexï¿½ï¿½es de Mï¿½ï¿½fia (feat. Rich "/>
    <n v="2"/>
    <x v="164"/>
    <n v="385"/>
    <n v="4"/>
    <n v="77233241"/>
    <s v="no"/>
    <n v="17"/>
    <n v="7"/>
    <n v="41"/>
    <n v="1"/>
    <n v="29"/>
    <n v="117"/>
    <s v="F#"/>
    <s v="Minor"/>
    <n v="77"/>
    <n v="69"/>
    <n v="58"/>
    <n v="39"/>
    <n v="0"/>
    <n v="26"/>
    <n v="5"/>
  </r>
  <r>
    <x v="173"/>
    <s v="MIENTRAS ME CURO DEL CORA"/>
    <n v="1"/>
    <x v="15"/>
    <n v="1020"/>
    <n v="35"/>
    <n v="206399629"/>
    <s v="yes"/>
    <n v="15"/>
    <n v="26"/>
    <n v="30"/>
    <n v="6"/>
    <n v="0"/>
    <n v="80"/>
    <m/>
    <s v="Major"/>
    <n v="52"/>
    <n v="57"/>
    <n v="48"/>
    <n v="86"/>
    <n v="0"/>
    <n v="15"/>
    <n v="39"/>
  </r>
  <r>
    <x v="173"/>
    <s v="Never Felt So Alone"/>
    <n v="1"/>
    <x v="31"/>
    <n v="1730"/>
    <n v="3"/>
    <n v="117747907"/>
    <s v="no"/>
    <n v="46"/>
    <n v="5"/>
    <n v="51"/>
    <n v="0"/>
    <n v="20"/>
    <n v="98"/>
    <s v="F"/>
    <s v="Major"/>
    <n v="44"/>
    <n v="36"/>
    <n v="41"/>
    <n v="50"/>
    <n v="0"/>
    <n v="38"/>
    <n v="5"/>
  </r>
  <r>
    <x v="174"/>
    <s v="X SI VOLVEMOS"/>
    <n v="2"/>
    <x v="105"/>
    <n v="2127"/>
    <n v="33"/>
    <n v="266624541"/>
    <s v="yes"/>
    <n v="45"/>
    <n v="80"/>
    <n v="53"/>
    <n v="8"/>
    <n v="4"/>
    <n v="178"/>
    <s v="C#"/>
    <s v="Minor"/>
    <n v="79"/>
    <n v="58"/>
    <n v="78"/>
    <n v="34"/>
    <n v="0"/>
    <n v="11"/>
    <n v="25"/>
  </r>
  <r>
    <x v="175"/>
    <s v="ceilings"/>
    <n v="1"/>
    <x v="165"/>
    <n v="3242"/>
    <n v="9"/>
    <n v="293186992"/>
    <s v="yes"/>
    <n v="67"/>
    <n v="55"/>
    <n v="48"/>
    <n v="0"/>
    <n v="6"/>
    <n v="148"/>
    <s v="A"/>
    <s v="Major"/>
    <n v="51"/>
    <n v="27"/>
    <n v="33"/>
    <n v="48"/>
    <n v="0"/>
    <n v="22"/>
    <n v="3"/>
  </r>
  <r>
    <x v="176"/>
    <s v="Cupid"/>
    <n v="1"/>
    <x v="15"/>
    <n v="526"/>
    <n v="10"/>
    <n v="139681964"/>
    <s v="no"/>
    <n v="15"/>
    <n v="93"/>
    <n v="30"/>
    <n v="0"/>
    <n v="320"/>
    <n v="120"/>
    <s v="D"/>
    <s v="Major"/>
    <n v="77"/>
    <n v="94"/>
    <n v="66"/>
    <n v="65"/>
    <n v="0"/>
    <n v="38"/>
    <n v="3"/>
  </r>
  <r>
    <x v="176"/>
    <s v="I AM"/>
    <n v="1"/>
    <x v="166"/>
    <n v="366"/>
    <n v="15"/>
    <n v="123132751"/>
    <s v="no"/>
    <n v="16"/>
    <n v="102"/>
    <n v="7"/>
    <n v="0"/>
    <n v="55"/>
    <n v="122"/>
    <s v="E"/>
    <s v="Minor"/>
    <n v="68"/>
    <n v="38"/>
    <n v="88"/>
    <n v="1"/>
    <n v="0"/>
    <n v="8"/>
    <n v="5"/>
  </r>
  <r>
    <x v="177"/>
    <s v="Cupid ï¿½ï¿½ï¿½ Twin Ver. (FIFTY FIFTY) ï¿½ï¿½ï¿½ Spe"/>
    <n v="1"/>
    <x v="167"/>
    <n v="472"/>
    <n v="2"/>
    <n v="103762518"/>
    <s v="no"/>
    <n v="0"/>
    <n v="0"/>
    <n v="6"/>
    <n v="0"/>
    <n v="0"/>
    <n v="144"/>
    <s v="F"/>
    <s v="Major"/>
    <n v="74"/>
    <n v="75"/>
    <n v="73"/>
    <n v="42"/>
    <n v="0"/>
    <n v="9"/>
    <n v="4"/>
  </r>
  <r>
    <x v="178"/>
    <s v="Shorty Party"/>
    <n v="2"/>
    <x v="168"/>
    <n v="432"/>
    <n v="12"/>
    <n v="162887075"/>
    <s v="no"/>
    <n v="8"/>
    <n v="14"/>
    <n v="12"/>
    <n v="2"/>
    <n v="33"/>
    <n v="96"/>
    <s v="D"/>
    <s v="Major"/>
    <n v="93"/>
    <n v="47"/>
    <n v="47"/>
    <n v="33"/>
    <n v="0"/>
    <n v="10"/>
    <n v="36"/>
  </r>
  <r>
    <x v="179"/>
    <s v="Super"/>
    <n v="1"/>
    <x v="169"/>
    <n v="271"/>
    <n v="12"/>
    <n v="91221625"/>
    <s v="no"/>
    <n v="16"/>
    <n v="103"/>
    <n v="9"/>
    <n v="0"/>
    <n v="55"/>
    <n v="137"/>
    <s v="G#"/>
    <s v="Major"/>
    <n v="77"/>
    <n v="35"/>
    <n v="88"/>
    <n v="16"/>
    <n v="0"/>
    <n v="17"/>
    <n v="9"/>
  </r>
  <r>
    <x v="179"/>
    <s v="Slut Me Out"/>
    <n v="1"/>
    <x v="63"/>
    <n v="816"/>
    <n v="4"/>
    <n v="190490915"/>
    <s v="no"/>
    <n v="21"/>
    <n v="4"/>
    <n v="13"/>
    <n v="0"/>
    <n v="4"/>
    <n v="121"/>
    <s v="F#"/>
    <s v="Minor"/>
    <n v="94"/>
    <n v="71"/>
    <n v="61"/>
    <n v="12"/>
    <n v="0"/>
    <n v="53"/>
    <n v="42"/>
  </r>
  <r>
    <x v="179"/>
    <s v="Double Fantasy (with Future)"/>
    <n v="2"/>
    <x v="153"/>
    <n v="1169"/>
    <n v="0"/>
    <n v="96180277"/>
    <s v="no"/>
    <n v="36"/>
    <n v="65"/>
    <n v="28"/>
    <n v="0"/>
    <n v="0"/>
    <n v="119"/>
    <s v="A"/>
    <s v="Minor"/>
    <n v="60"/>
    <n v="10"/>
    <n v="57"/>
    <n v="1"/>
    <n v="0"/>
    <n v="50"/>
    <n v="3"/>
  </r>
  <r>
    <x v="180"/>
    <s v="All Of The Girls You Loved Before"/>
    <n v="1"/>
    <x v="3"/>
    <n v="1282"/>
    <n v="6"/>
    <n v="185240616"/>
    <s v="no"/>
    <n v="26"/>
    <n v="6"/>
    <n v="19"/>
    <n v="0"/>
    <n v="5"/>
    <n v="96"/>
    <s v="D"/>
    <s v="Major"/>
    <n v="72"/>
    <n v="40"/>
    <n v="47"/>
    <n v="71"/>
    <n v="0"/>
    <n v="13"/>
    <n v="4"/>
  </r>
  <r>
    <x v="181"/>
    <s v="PROVENZA"/>
    <n v="1"/>
    <x v="170"/>
    <n v="6587"/>
    <n v="34"/>
    <n v="885093467"/>
    <s v="yes"/>
    <n v="114"/>
    <n v="104"/>
    <n v="147"/>
    <n v="11"/>
    <n v="20"/>
    <n v="111"/>
    <s v="C#"/>
    <s v="Major"/>
    <n v="87"/>
    <n v="53"/>
    <n v="52"/>
    <n v="66"/>
    <n v="1"/>
    <n v="11"/>
    <n v="5"/>
  </r>
  <r>
    <x v="182"/>
    <s v="Princess Diana (with Nicki Minaj)"/>
    <n v="2"/>
    <x v="12"/>
    <n v="1444"/>
    <n v="4"/>
    <n v="104992946"/>
    <s v="no"/>
    <n v="0"/>
    <n v="0"/>
    <n v="0"/>
    <n v="0"/>
    <n v="0"/>
    <n v="148"/>
    <s v="A"/>
    <s v="Major"/>
    <n v="90"/>
    <n v="74"/>
    <n v="68"/>
    <n v="14"/>
    <n v="0"/>
    <n v="10"/>
    <n v="19"/>
  </r>
  <r>
    <x v="182"/>
    <s v="Di Que Si"/>
    <n v="2"/>
    <x v="50"/>
    <n v="356"/>
    <n v="10"/>
    <n v="147290338"/>
    <s v="no"/>
    <n v="4"/>
    <n v="64"/>
    <n v="4"/>
    <n v="2"/>
    <n v="37"/>
    <n v="182"/>
    <s v="A"/>
    <s v="Major"/>
    <n v="57"/>
    <n v="80"/>
    <n v="59"/>
    <n v="8"/>
    <n v="0"/>
    <n v="6"/>
    <n v="5"/>
  </r>
  <r>
    <x v="182"/>
    <s v="Shivers"/>
    <n v="1"/>
    <x v="171"/>
    <n v="10147"/>
    <n v="30"/>
    <n v="1302184087"/>
    <s v="yes"/>
    <n v="234"/>
    <n v="71"/>
    <n v="543"/>
    <n v="18"/>
    <m/>
    <n v="141"/>
    <s v="D"/>
    <s v="Major"/>
    <n v="79"/>
    <n v="82"/>
    <n v="86"/>
    <n v="28"/>
    <n v="0"/>
    <n v="4"/>
    <n v="9"/>
  </r>
  <r>
    <x v="182"/>
    <s v="Igualito a Mi Apï¿"/>
    <n v="2"/>
    <x v="172"/>
    <n v="265"/>
    <n v="6"/>
    <n v="158950978"/>
    <s v="no"/>
    <n v="8"/>
    <n v="84"/>
    <n v="5"/>
    <n v="1"/>
    <n v="4"/>
    <n v="145"/>
    <s v="E"/>
    <s v="Minor"/>
    <n v="76"/>
    <n v="80"/>
    <n v="81"/>
    <n v="19"/>
    <n v="0"/>
    <n v="6"/>
    <n v="9"/>
  </r>
  <r>
    <x v="182"/>
    <s v="Shoong! (feat. LISA of BLACKPINK)"/>
    <n v="2"/>
    <x v="173"/>
    <n v="351"/>
    <n v="9"/>
    <n v="76910644"/>
    <s v="no"/>
    <n v="16"/>
    <n v="90"/>
    <n v="10"/>
    <n v="0"/>
    <n v="64"/>
    <n v="110"/>
    <s v="B"/>
    <s v="Minor"/>
    <n v="76"/>
    <n v="26"/>
    <n v="70"/>
    <n v="1"/>
    <n v="0"/>
    <n v="41"/>
    <n v="6"/>
  </r>
  <r>
    <x v="182"/>
    <s v="Komang"/>
    <n v="1"/>
    <x v="174"/>
    <n v="158"/>
    <n v="4"/>
    <n v="137123880"/>
    <s v="no"/>
    <n v="5"/>
    <n v="6"/>
    <n v="1"/>
    <n v="1"/>
    <n v="18"/>
    <n v="134"/>
    <s v="G"/>
    <s v="Major"/>
    <n v="70"/>
    <n v="35"/>
    <n v="41"/>
    <n v="41"/>
    <n v="0"/>
    <n v="10"/>
    <n v="3"/>
  </r>
  <r>
    <x v="182"/>
    <s v="DESPECHï¿"/>
    <n v="1"/>
    <x v="175"/>
    <n v="7613"/>
    <n v="33"/>
    <n v="782369383"/>
    <s v="yes"/>
    <n v="180"/>
    <n v="90"/>
    <n v="422"/>
    <n v="15"/>
    <n v="55"/>
    <n v="130"/>
    <s v="G"/>
    <s v="Major"/>
    <n v="92"/>
    <n v="78"/>
    <n v="62"/>
    <n v="18"/>
    <n v="0"/>
    <n v="6"/>
    <n v="10"/>
  </r>
  <r>
    <x v="182"/>
    <s v="Made You Look"/>
    <n v="1"/>
    <x v="29"/>
    <n v="3956"/>
    <n v="6"/>
    <n v="502574952"/>
    <s v="yes"/>
    <n v="142"/>
    <n v="23"/>
    <n v="127"/>
    <n v="3"/>
    <n v="16"/>
    <n v="145"/>
    <s v="A#"/>
    <s v="Major"/>
    <n v="84"/>
    <n v="88"/>
    <n v="53"/>
    <n v="35"/>
    <n v="0"/>
    <n v="8"/>
    <n v="7"/>
  </r>
  <r>
    <x v="183"/>
    <s v="Watch This - ARIZONATEARS Pluggnb Remix"/>
    <n v="3"/>
    <x v="176"/>
    <n v="1638"/>
    <n v="10"/>
    <n v="207033255"/>
    <s v="yes"/>
    <n v="0"/>
    <n v="0"/>
    <n v="21"/>
    <n v="0"/>
    <n v="0"/>
    <n v="130"/>
    <s v="B"/>
    <s v="Minor"/>
    <n v="69"/>
    <n v="36"/>
    <n v="90"/>
    <n v="1"/>
    <n v="10"/>
    <n v="15"/>
    <n v="4"/>
  </r>
  <r>
    <x v="184"/>
    <s v="No Se Va"/>
    <n v="1"/>
    <x v="177"/>
    <n v="924"/>
    <n v="18"/>
    <n v="404887295"/>
    <s v="yes"/>
    <n v="17"/>
    <n v="80"/>
    <n v="22"/>
    <n v="9"/>
    <n v="38"/>
    <n v="173"/>
    <m/>
    <s v="Major"/>
    <n v="59"/>
    <n v="69"/>
    <n v="53"/>
    <n v="12"/>
    <n v="0"/>
    <n v="23"/>
    <n v="3"/>
  </r>
  <r>
    <x v="185"/>
    <s v="Punto G"/>
    <n v="1"/>
    <x v="158"/>
    <n v="1985"/>
    <n v="35"/>
    <n v="381161027"/>
    <s v="yes"/>
    <n v="34"/>
    <n v="26"/>
    <n v="37"/>
    <n v="5"/>
    <n v="1"/>
    <n v="92"/>
    <s v="B"/>
    <s v="Minor"/>
    <n v="75"/>
    <n v="55"/>
    <n v="76"/>
    <n v="25"/>
    <n v="0"/>
    <n v="10"/>
    <n v="15"/>
  </r>
  <r>
    <x v="186"/>
    <s v="Lovers Rock"/>
    <n v="1"/>
    <x v="178"/>
    <n v="6339"/>
    <n v="13"/>
    <n v="466231982"/>
    <s v="yes"/>
    <n v="3"/>
    <n v="1"/>
    <n v="36"/>
    <n v="1"/>
    <n v="37"/>
    <n v="105"/>
    <s v="F"/>
    <s v="Minor"/>
    <n v="56"/>
    <n v="57"/>
    <n v="87"/>
    <n v="0"/>
    <n v="1"/>
    <n v="10"/>
    <n v="4"/>
  </r>
  <r>
    <x v="187"/>
    <s v="METAMORPHOSIS"/>
    <n v="1"/>
    <x v="179"/>
    <n v="1561"/>
    <n v="24"/>
    <n v="357580552"/>
    <s v="yes"/>
    <n v="18"/>
    <n v="78"/>
    <n v="24"/>
    <n v="0"/>
    <n v="30"/>
    <n v="175"/>
    <s v="G"/>
    <s v="Minor"/>
    <n v="59"/>
    <n v="15"/>
    <n v="64"/>
    <n v="43"/>
    <n v="90"/>
    <n v="12"/>
    <n v="10"/>
  </r>
  <r>
    <x v="188"/>
    <s v="Mami Chula"/>
    <n v="2"/>
    <x v="180"/>
    <n v="875"/>
    <n v="4"/>
    <n v="61105704"/>
    <s v="no"/>
    <n v="17"/>
    <n v="13"/>
    <n v="27"/>
    <n v="0"/>
    <n v="43"/>
    <n v="120"/>
    <s v="G"/>
    <s v="Minor"/>
    <n v="80"/>
    <n v="33"/>
    <n v="70"/>
    <n v="22"/>
    <n v="0"/>
    <n v="9"/>
    <n v="4"/>
  </r>
  <r>
    <x v="189"/>
    <s v="En Paris"/>
    <n v="2"/>
    <x v="181"/>
    <n v="406"/>
    <n v="5"/>
    <n v="198275403"/>
    <s v="no"/>
    <n v="3"/>
    <n v="31"/>
    <n v="2"/>
    <n v="1"/>
    <n v="0"/>
    <n v="139"/>
    <s v="D#"/>
    <s v="Minor"/>
    <n v="70"/>
    <n v="77"/>
    <n v="48"/>
    <n v="37"/>
    <n v="0"/>
    <n v="12"/>
    <n v="5"/>
  </r>
  <r>
    <x v="190"/>
    <s v="Set Me Free Pt.2"/>
    <n v="1"/>
    <x v="9"/>
    <n v="340"/>
    <n v="13"/>
    <n v="168448603"/>
    <s v="no"/>
    <n v="4"/>
    <n v="71"/>
    <n v="16"/>
    <n v="1"/>
    <n v="9"/>
    <n v="132"/>
    <m/>
    <s v="Minor"/>
    <n v="59"/>
    <n v="56"/>
    <n v="82"/>
    <n v="12"/>
    <n v="0"/>
    <n v="12"/>
    <n v="6"/>
  </r>
  <r>
    <x v="190"/>
    <s v="I Was Never There"/>
    <n v="2"/>
    <x v="182"/>
    <n v="4188"/>
    <n v="15"/>
    <n v="705469769"/>
    <s v="yes"/>
    <n v="30"/>
    <n v="70"/>
    <n v="142"/>
    <n v="0"/>
    <n v="27"/>
    <n v="114"/>
    <s v="A#"/>
    <s v="Major"/>
    <n v="32"/>
    <n v="17"/>
    <n v="74"/>
    <n v="14"/>
    <n v="0"/>
    <n v="17"/>
    <n v="3"/>
  </r>
  <r>
    <x v="191"/>
    <s v="Don't ever say love me (feat. RM of BTS)"/>
    <n v="2"/>
    <x v="49"/>
    <n v="105"/>
    <n v="0"/>
    <n v="34502215"/>
    <s v="no"/>
    <n v="5"/>
    <n v="9"/>
    <n v="5"/>
    <n v="0"/>
    <n v="0"/>
    <n v="145"/>
    <s v="B"/>
    <s v="Minor"/>
    <n v="54"/>
    <n v="19"/>
    <n v="48"/>
    <n v="36"/>
    <n v="0"/>
    <n v="37"/>
    <n v="5"/>
  </r>
  <r>
    <x v="192"/>
    <s v="Shut Down"/>
    <n v="1"/>
    <x v="183"/>
    <n v="1524"/>
    <n v="17"/>
    <n v="482175240"/>
    <s v="yes"/>
    <n v="53"/>
    <n v="120"/>
    <n v="62"/>
    <n v="0"/>
    <n v="2"/>
    <n v="110"/>
    <m/>
    <s v="Major"/>
    <n v="82"/>
    <n v="67"/>
    <n v="69"/>
    <n v="0"/>
    <n v="0"/>
    <n v="18"/>
    <n v="4"/>
  </r>
  <r>
    <x v="192"/>
    <s v="Gato de Noche"/>
    <n v="2"/>
    <x v="184"/>
    <n v="2651"/>
    <n v="30"/>
    <n v="304118600"/>
    <s v="yes"/>
    <n v="21"/>
    <n v="55"/>
    <n v="32"/>
    <n v="3"/>
    <n v="0"/>
    <n v="94"/>
    <s v="G#"/>
    <s v="Major"/>
    <n v="89"/>
    <n v="61"/>
    <n v="66"/>
    <n v="17"/>
    <n v="0"/>
    <n v="36"/>
    <n v="16"/>
  </r>
  <r>
    <x v="193"/>
    <s v="Call Out My Name"/>
    <n v="1"/>
    <x v="182"/>
    <n v="11087"/>
    <n v="6"/>
    <n v="1449799467"/>
    <s v="yes"/>
    <n v="151"/>
    <n v="107"/>
    <n v="801"/>
    <n v="1"/>
    <n v="105"/>
    <n v="134"/>
    <s v="C#"/>
    <s v="Major"/>
    <n v="45"/>
    <n v="17"/>
    <n v="60"/>
    <n v="21"/>
    <n v="0"/>
    <n v="33"/>
    <n v="4"/>
  </r>
  <r>
    <x v="194"/>
    <s v="Like Crazy (English Version)"/>
    <n v="1"/>
    <x v="18"/>
    <n v="373"/>
    <n v="19"/>
    <n v="173627354"/>
    <s v="no"/>
    <n v="4"/>
    <n v="72"/>
    <n v="5"/>
    <n v="0"/>
    <n v="5"/>
    <n v="120"/>
    <s v="G"/>
    <s v="Major"/>
    <n v="62"/>
    <n v="32"/>
    <n v="76"/>
    <n v="0"/>
    <n v="0"/>
    <n v="39"/>
    <n v="4"/>
  </r>
  <r>
    <x v="195"/>
    <s v="Rosa Pastel"/>
    <n v="2"/>
    <x v="105"/>
    <n v="200"/>
    <n v="4"/>
    <n v="90025258"/>
    <s v="no"/>
    <n v="8"/>
    <n v="77"/>
    <n v="2"/>
    <n v="1"/>
    <n v="1"/>
    <n v="123"/>
    <s v="G"/>
    <s v="Minor"/>
    <n v="70"/>
    <n v="86"/>
    <n v="68"/>
    <n v="24"/>
    <n v="0"/>
    <n v="11"/>
    <n v="4"/>
  </r>
  <r>
    <x v="196"/>
    <s v="Sunroof"/>
    <n v="2"/>
    <x v="185"/>
    <n v="3741"/>
    <n v="17"/>
    <n v="652704649"/>
    <s v="yes"/>
    <n v="156"/>
    <n v="35"/>
    <n v="110"/>
    <n v="19"/>
    <n v="0"/>
    <n v="131"/>
    <s v="A#"/>
    <s v="Major"/>
    <n v="77"/>
    <n v="84"/>
    <n v="71"/>
    <n v="35"/>
    <n v="0"/>
    <n v="15"/>
    <n v="4"/>
  </r>
  <r>
    <x v="196"/>
    <s v="Lose Yourself - Soundtrack Version"/>
    <n v="1"/>
    <x v="100"/>
    <n v="32502"/>
    <n v="21"/>
    <n v="1829992958"/>
    <s v="yes"/>
    <n v="247"/>
    <n v="54"/>
    <n v="5567"/>
    <n v="1"/>
    <n v="51"/>
    <n v="171"/>
    <s v="D"/>
    <s v="Major"/>
    <n v="70"/>
    <n v="6"/>
    <n v="73"/>
    <n v="1"/>
    <n v="0"/>
    <n v="36"/>
    <n v="26"/>
  </r>
  <r>
    <x v="197"/>
    <s v="Superman"/>
    <n v="2"/>
    <x v="186"/>
    <n v="7615"/>
    <n v="14"/>
    <n v="655466831"/>
    <s v="yes"/>
    <n v="18"/>
    <n v="51"/>
    <n v="1005"/>
    <n v="0"/>
    <n v="0"/>
    <n v="130"/>
    <s v="E"/>
    <s v="Minor"/>
    <n v="80"/>
    <n v="64"/>
    <n v="76"/>
    <n v="2"/>
    <n v="0"/>
    <n v="20"/>
    <n v="6"/>
  </r>
  <r>
    <x v="198"/>
    <s v="Mas Rica Que Ayer"/>
    <n v="3"/>
    <x v="187"/>
    <n v="1208"/>
    <n v="34"/>
    <n v="146409671"/>
    <s v="no"/>
    <n v="10"/>
    <n v="41"/>
    <n v="20"/>
    <n v="0"/>
    <n v="1"/>
    <n v="94"/>
    <s v="B"/>
    <s v="Major"/>
    <n v="82"/>
    <n v="53"/>
    <n v="67"/>
    <n v="34"/>
    <n v="0"/>
    <n v="9"/>
    <n v="8"/>
  </r>
  <r>
    <x v="199"/>
    <s v="People Pt.2 (feat. IU)"/>
    <n v="2"/>
    <x v="31"/>
    <n v="209"/>
    <n v="4"/>
    <n v="95816024"/>
    <s v="no"/>
    <n v="4"/>
    <n v="45"/>
    <n v="11"/>
    <n v="2"/>
    <n v="24"/>
    <n v="89"/>
    <s v="G"/>
    <s v="Minor"/>
    <n v="73"/>
    <n v="44"/>
    <n v="57"/>
    <n v="39"/>
    <n v="0"/>
    <n v="32"/>
    <n v="6"/>
  </r>
  <r>
    <x v="200"/>
    <s v="REMIX EXCLUSIVO"/>
    <n v="1"/>
    <x v="9"/>
    <n v="1235"/>
    <n v="9"/>
    <n v="117206995"/>
    <s v="no"/>
    <n v="20"/>
    <n v="8"/>
    <n v="15"/>
    <n v="0"/>
    <n v="6"/>
    <n v="87"/>
    <s v="F"/>
    <s v="Minor"/>
    <n v="65"/>
    <n v="71"/>
    <n v="56"/>
    <n v="4"/>
    <n v="0"/>
    <n v="15"/>
    <n v="20"/>
  </r>
  <r>
    <x v="201"/>
    <s v="Arcï¿½ï¿½ngel: Bzrp Music Sessions, Vol"/>
    <n v="2"/>
    <x v="188"/>
    <n v="654"/>
    <n v="3"/>
    <n v="100409613"/>
    <s v="no"/>
    <n v="11"/>
    <n v="3"/>
    <n v="18"/>
    <n v="1"/>
    <n v="1"/>
    <n v="124"/>
    <s v="B"/>
    <s v="Minor"/>
    <n v="72"/>
    <n v="79"/>
    <n v="78"/>
    <n v="55"/>
    <n v="0"/>
    <n v="15"/>
    <n v="30"/>
  </r>
  <r>
    <x v="202"/>
    <s v="DOGTOOTH"/>
    <n v="2"/>
    <x v="189"/>
    <n v="1479"/>
    <n v="0"/>
    <n v="80758350"/>
    <s v="no"/>
    <n v="23"/>
    <n v="0"/>
    <n v="18"/>
    <n v="0"/>
    <n v="33"/>
    <n v="78"/>
    <s v="G#"/>
    <s v="Major"/>
    <n v="71"/>
    <n v="80"/>
    <n v="65"/>
    <n v="51"/>
    <n v="0"/>
    <n v="22"/>
    <n v="32"/>
  </r>
  <r>
    <x v="202"/>
    <d v="1899-12-30T10:35:00"/>
    <n v="2"/>
    <x v="190"/>
    <n v="4942"/>
    <n v="26"/>
    <n v="325592432"/>
    <s v="yes"/>
    <n v="190"/>
    <n v="104"/>
    <n v="147"/>
    <n v="18"/>
    <n v="63"/>
    <n v="120"/>
    <s v="G#"/>
    <s v="Major"/>
    <n v="70"/>
    <n v="70"/>
    <n v="79"/>
    <n v="7"/>
    <n v="0"/>
    <n v="18"/>
    <n v="10"/>
  </r>
  <r>
    <x v="203"/>
    <s v="SORRY NOT SORRY"/>
    <n v="2"/>
    <x v="17"/>
    <n v="709"/>
    <n v="0"/>
    <n v="58473276"/>
    <s v="no"/>
    <n v="8"/>
    <n v="1"/>
    <n v="13"/>
    <n v="0"/>
    <n v="0"/>
    <n v="96"/>
    <s v="F#"/>
    <s v="Minor"/>
    <n v="48"/>
    <n v="50"/>
    <n v="80"/>
    <n v="40"/>
    <n v="0"/>
    <n v="37"/>
    <n v="20"/>
  </r>
  <r>
    <x v="204"/>
    <s v="HAPPY"/>
    <n v="1"/>
    <x v="191"/>
    <n v="660"/>
    <n v="0"/>
    <n v="52722996"/>
    <s v="no"/>
    <n v="22"/>
    <n v="7"/>
    <n v="11"/>
    <n v="0"/>
    <n v="78"/>
    <n v="106"/>
    <s v="G"/>
    <s v="Major"/>
    <n v="73"/>
    <n v="22"/>
    <n v="86"/>
    <n v="31"/>
    <n v="0"/>
    <n v="12"/>
    <n v="4"/>
  </r>
  <r>
    <x v="205"/>
    <s v="La Bebe"/>
    <n v="1"/>
    <x v="192"/>
    <n v="489"/>
    <n v="17"/>
    <n v="191945597"/>
    <s v="no"/>
    <n v="4"/>
    <n v="11"/>
    <n v="5"/>
    <n v="1"/>
    <n v="2"/>
    <n v="170"/>
    <s v="D"/>
    <s v="Minor"/>
    <n v="78"/>
    <n v="75"/>
    <n v="46"/>
    <n v="62"/>
    <n v="0"/>
    <n v="12"/>
    <n v="35"/>
  </r>
  <r>
    <x v="206"/>
    <s v="I Know - PR1SVX Edit"/>
    <n v="2"/>
    <x v="18"/>
    <n v="407"/>
    <n v="0"/>
    <n v="77377503"/>
    <s v="no"/>
    <n v="16"/>
    <n v="15"/>
    <n v="5"/>
    <n v="0"/>
    <n v="1"/>
    <n v="134"/>
    <s v="B"/>
    <s v="Minor"/>
    <n v="67"/>
    <n v="11"/>
    <n v="76"/>
    <n v="8"/>
    <n v="47"/>
    <n v="30"/>
    <n v="7"/>
  </r>
  <r>
    <x v="207"/>
    <s v="Late Night Talking"/>
    <n v="1"/>
    <x v="193"/>
    <n v="7461"/>
    <n v="8"/>
    <n v="743693613"/>
    <s v="yes"/>
    <n v="166"/>
    <n v="42"/>
    <n v="199"/>
    <n v="16"/>
    <n v="58"/>
    <n v="115"/>
    <s v="A#"/>
    <s v="Major"/>
    <n v="71"/>
    <n v="90"/>
    <n v="73"/>
    <n v="30"/>
    <n v="0"/>
    <n v="11"/>
    <n v="5"/>
  </r>
  <r>
    <x v="208"/>
    <s v="Leï¿½"/>
    <n v="1"/>
    <x v="73"/>
    <n v="993"/>
    <n v="4"/>
    <n v="267789608"/>
    <s v="yes"/>
    <n v="30"/>
    <n v="84"/>
    <n v="88"/>
    <n v="1"/>
    <n v="28"/>
    <n v="130"/>
    <s v="F#"/>
    <s v="Major"/>
    <n v="74"/>
    <n v="79"/>
    <n v="87"/>
    <n v="45"/>
    <n v="0"/>
    <n v="30"/>
    <n v="3"/>
  </r>
  <r>
    <x v="209"/>
    <s v="Save Your Tears (with Ariana Grande) (Remix)"/>
    <n v="2"/>
    <x v="114"/>
    <n v="9161"/>
    <n v="5"/>
    <n v="1221813483"/>
    <s v="yes"/>
    <n v="240"/>
    <n v="98"/>
    <n v="468"/>
    <n v="3"/>
    <n v="10"/>
    <n v="118"/>
    <m/>
    <s v="Major"/>
    <n v="65"/>
    <n v="63"/>
    <n v="79"/>
    <n v="3"/>
    <n v="0"/>
    <n v="10"/>
    <n v="3"/>
  </r>
  <r>
    <x v="210"/>
    <s v="Something in the Orange"/>
    <n v="1"/>
    <x v="63"/>
    <n v="3282"/>
    <n v="12"/>
    <n v="449701773"/>
    <s v="yes"/>
    <n v="67"/>
    <n v="84"/>
    <n v="46"/>
    <n v="16"/>
    <n v="117"/>
    <n v="110"/>
    <s v="G"/>
    <s v="Major"/>
    <n v="59"/>
    <n v="22"/>
    <n v="38"/>
    <n v="42"/>
    <n v="0"/>
    <n v="12"/>
    <n v="3"/>
  </r>
  <r>
    <x v="211"/>
    <s v="VOID"/>
    <n v="1"/>
    <x v="194"/>
    <n v="596"/>
    <n v="0"/>
    <n v="67070410"/>
    <s v="no"/>
    <n v="29"/>
    <n v="9"/>
    <n v="12"/>
    <n v="0"/>
    <n v="52"/>
    <n v="100"/>
    <s v="A"/>
    <s v="Major"/>
    <n v="72"/>
    <n v="42"/>
    <n v="66"/>
    <n v="18"/>
    <n v="4"/>
    <n v="19"/>
    <n v="4"/>
  </r>
  <r>
    <x v="212"/>
    <s v="Dijeron Que No La Iba Lograr"/>
    <n v="2"/>
    <x v="195"/>
    <n v="320"/>
    <n v="6"/>
    <n v="116334601"/>
    <s v="no"/>
    <n v="5"/>
    <n v="48"/>
    <n v="2"/>
    <n v="1"/>
    <n v="9"/>
    <n v="142"/>
    <s v="G"/>
    <s v="Minor"/>
    <n v="70"/>
    <n v="76"/>
    <n v="79"/>
    <n v="26"/>
    <n v="0"/>
    <n v="11"/>
    <n v="7"/>
  </r>
  <r>
    <x v="213"/>
    <s v="Midnight Rain"/>
    <n v="1"/>
    <x v="29"/>
    <n v="2612"/>
    <n v="4"/>
    <n v="433356509"/>
    <s v="yes"/>
    <n v="19"/>
    <n v="29"/>
    <n v="21"/>
    <n v="0"/>
    <n v="0"/>
    <n v="140"/>
    <m/>
    <s v="Major"/>
    <n v="64"/>
    <n v="18"/>
    <n v="37"/>
    <n v="72"/>
    <n v="0"/>
    <n v="12"/>
    <n v="7"/>
  </r>
  <r>
    <x v="214"/>
    <s v="If We Ever Broke Up"/>
    <n v="1"/>
    <x v="34"/>
    <n v="2040"/>
    <n v="4"/>
    <n v="165584767"/>
    <s v="no"/>
    <n v="81"/>
    <n v="27"/>
    <n v="66"/>
    <n v="9"/>
    <n v="444"/>
    <n v="116"/>
    <s v="G"/>
    <s v="Major"/>
    <n v="90"/>
    <n v="96"/>
    <n v="73"/>
    <n v="62"/>
    <n v="0"/>
    <n v="9"/>
    <n v="4"/>
  </r>
  <r>
    <x v="215"/>
    <s v="You Proof"/>
    <n v="1"/>
    <x v="40"/>
    <n v="2128"/>
    <n v="9"/>
    <n v="367814306"/>
    <s v="yes"/>
    <n v="37"/>
    <n v="88"/>
    <n v="9"/>
    <n v="0"/>
    <n v="14"/>
    <n v="120"/>
    <s v="A"/>
    <s v="Major"/>
    <n v="73"/>
    <n v="64"/>
    <n v="85"/>
    <n v="25"/>
    <n v="0"/>
    <n v="61"/>
    <n v="3"/>
  </r>
  <r>
    <x v="216"/>
    <s v="LA INOCENTE"/>
    <n v="2"/>
    <x v="196"/>
    <n v="2598"/>
    <n v="37"/>
    <n v="477033549"/>
    <s v="yes"/>
    <n v="28"/>
    <n v="57"/>
    <n v="43"/>
    <n v="8"/>
    <n v="85"/>
    <n v="92"/>
    <s v="F"/>
    <s v="Minor"/>
    <n v="76"/>
    <n v="46"/>
    <n v="79"/>
    <n v="31"/>
    <n v="0"/>
    <n v="7"/>
    <n v="6"/>
  </r>
  <r>
    <x v="217"/>
    <s v="Malas Decisiones"/>
    <n v="1"/>
    <x v="197"/>
    <n v="542"/>
    <n v="2"/>
    <n v="156214700"/>
    <s v="no"/>
    <n v="23"/>
    <n v="2"/>
    <n v="21"/>
    <n v="0"/>
    <n v="0"/>
    <n v="110"/>
    <s v="G#"/>
    <s v="Minor"/>
    <n v="81"/>
    <n v="64"/>
    <n v="79"/>
    <n v="5"/>
    <n v="0"/>
    <n v="31"/>
    <n v="3"/>
  </r>
  <r>
    <x v="218"/>
    <s v="Murder In My Mind"/>
    <n v="1"/>
    <x v="198"/>
    <n v="2459"/>
    <n v="20"/>
    <n v="448843705"/>
    <s v="yes"/>
    <n v="20"/>
    <n v="68"/>
    <n v="50"/>
    <n v="0"/>
    <n v="22"/>
    <n v="120"/>
    <s v="A#"/>
    <s v="Major"/>
    <n v="71"/>
    <n v="57"/>
    <n v="97"/>
    <n v="1"/>
    <n v="0"/>
    <n v="13"/>
    <n v="11"/>
  </r>
  <r>
    <x v="219"/>
    <s v="Gangsta's Paradise"/>
    <n v="2"/>
    <x v="199"/>
    <n v="10624"/>
    <n v="17"/>
    <n v="1357608774"/>
    <s v="yes"/>
    <n v="21"/>
    <n v="0"/>
    <n v="386"/>
    <n v="0"/>
    <m/>
    <n v="80"/>
    <s v="G#"/>
    <s v="Major"/>
    <n v="63"/>
    <n v="40"/>
    <n v="61"/>
    <n v="9"/>
    <n v="0"/>
    <n v="56"/>
    <n v="6"/>
  </r>
  <r>
    <x v="220"/>
    <s v="CAIRO"/>
    <n v="2"/>
    <x v="200"/>
    <n v="2418"/>
    <n v="26"/>
    <n v="294352144"/>
    <s v="yes"/>
    <n v="52"/>
    <n v="66"/>
    <n v="55"/>
    <n v="1"/>
    <n v="16"/>
    <n v="115"/>
    <s v="F"/>
    <s v="Minor"/>
    <n v="95"/>
    <n v="43"/>
    <n v="69"/>
    <n v="47"/>
    <n v="0"/>
    <n v="9"/>
    <n v="31"/>
  </r>
  <r>
    <x v="221"/>
    <s v="I Love You So"/>
    <n v="1"/>
    <x v="201"/>
    <n v="7536"/>
    <n v="7"/>
    <n v="972164968"/>
    <s v="yes"/>
    <n v="44"/>
    <n v="19"/>
    <n v="135"/>
    <n v="0"/>
    <n v="6"/>
    <n v="76"/>
    <s v="A#"/>
    <s v="Major"/>
    <n v="58"/>
    <n v="46"/>
    <n v="67"/>
    <n v="65"/>
    <n v="0"/>
    <n v="13"/>
    <n v="4"/>
  </r>
  <r>
    <x v="222"/>
    <s v="Dark Red"/>
    <n v="1"/>
    <x v="202"/>
    <n v="10431"/>
    <n v="7"/>
    <n v="920045682"/>
    <s v="yes"/>
    <n v="71"/>
    <n v="53"/>
    <n v="181"/>
    <n v="0"/>
    <n v="10"/>
    <n v="172"/>
    <s v="F#"/>
    <s v="Major"/>
    <n v="60"/>
    <n v="77"/>
    <n v="78"/>
    <n v="45"/>
    <n v="0"/>
    <n v="12"/>
    <n v="6"/>
  </r>
  <r>
    <x v="223"/>
    <s v="Say You Won't Let Go"/>
    <n v="1"/>
    <x v="203"/>
    <n v="15722"/>
    <n v="16"/>
    <n v="2420461338"/>
    <s v="yes"/>
    <n v="231"/>
    <n v="37"/>
    <n v="1509"/>
    <n v="0"/>
    <n v="13"/>
    <n v="99"/>
    <s v="A#"/>
    <s v="Major"/>
    <n v="40"/>
    <n v="45"/>
    <n v="56"/>
    <n v="69"/>
    <n v="0"/>
    <n v="9"/>
    <n v="5"/>
  </r>
  <r>
    <x v="224"/>
    <s v="The Hills"/>
    <n v="1"/>
    <x v="204"/>
    <n v="25744"/>
    <n v="4"/>
    <n v="1947371785"/>
    <s v="yes"/>
    <n v="122"/>
    <n v="94"/>
    <n v="1992"/>
    <n v="0"/>
    <n v="18"/>
    <n v="136"/>
    <m/>
    <s v="Minor"/>
    <n v="36"/>
    <n v="12"/>
    <n v="57"/>
    <n v="9"/>
    <n v="0"/>
    <n v="14"/>
    <n v="8"/>
  </r>
  <r>
    <x v="225"/>
    <s v="Heart To Heart"/>
    <n v="1"/>
    <x v="101"/>
    <n v="1640"/>
    <n v="0"/>
    <n v="244658767"/>
    <s v="yes"/>
    <n v="27"/>
    <n v="27"/>
    <n v="29"/>
    <n v="1"/>
    <n v="1"/>
    <n v="150"/>
    <s v="G#"/>
    <s v="Minor"/>
    <n v="90"/>
    <n v="64"/>
    <n v="14"/>
    <n v="67"/>
    <n v="35"/>
    <n v="11"/>
    <n v="10"/>
  </r>
  <r>
    <x v="226"/>
    <s v="Peaches (from The Super Mario Bros. Movie)"/>
    <n v="1"/>
    <x v="31"/>
    <n v="34"/>
    <n v="0"/>
    <n v="68216992"/>
    <s v="no"/>
    <n v="0"/>
    <n v="0"/>
    <n v="0"/>
    <n v="0"/>
    <n v="0"/>
    <n v="92"/>
    <s v="A#"/>
    <s v="Minor"/>
    <n v="71"/>
    <n v="41"/>
    <n v="31"/>
    <n v="79"/>
    <n v="0"/>
    <n v="10"/>
    <n v="5"/>
  </r>
  <r>
    <x v="227"/>
    <s v="Marisola - Remix"/>
    <n v="5"/>
    <x v="205"/>
    <n v="1845"/>
    <n v="16"/>
    <n v="223582566"/>
    <s v="yes"/>
    <n v="20"/>
    <n v="8"/>
    <n v="30"/>
    <n v="2"/>
    <n v="0"/>
    <n v="95"/>
    <s v="C#"/>
    <s v="Major"/>
    <n v="77"/>
    <n v="72"/>
    <n v="87"/>
    <n v="17"/>
    <n v="0"/>
    <n v="7"/>
    <n v="5"/>
  </r>
  <r>
    <x v="227"/>
    <s v="LOKERA"/>
    <n v="3"/>
    <x v="206"/>
    <n v="3301"/>
    <n v="30"/>
    <n v="471819764"/>
    <s v="yes"/>
    <n v="72"/>
    <n v="64"/>
    <n v="64"/>
    <n v="6"/>
    <n v="3"/>
    <n v="102"/>
    <s v="B"/>
    <s v="Minor"/>
    <n v="83"/>
    <n v="58"/>
    <n v="83"/>
    <n v="21"/>
    <n v="0"/>
    <n v="10"/>
    <n v="5"/>
  </r>
  <r>
    <x v="227"/>
    <s v="Low"/>
    <n v="1"/>
    <x v="73"/>
    <n v="1911"/>
    <n v="0"/>
    <n v="272377463"/>
    <s v="yes"/>
    <n v="23"/>
    <n v="71"/>
    <n v="14"/>
    <n v="0"/>
    <n v="9"/>
    <n v="145"/>
    <m/>
    <s v="Minor"/>
    <n v="70"/>
    <n v="34"/>
    <n v="55"/>
    <n v="43"/>
    <n v="0"/>
    <n v="16"/>
    <n v="6"/>
  </r>
  <r>
    <x v="227"/>
    <s v="Numb"/>
    <n v="1"/>
    <x v="207"/>
    <n v="20111"/>
    <n v="5"/>
    <n v="1361425037"/>
    <s v="yes"/>
    <n v="39"/>
    <n v="0"/>
    <n v="7341"/>
    <n v="0"/>
    <n v="0"/>
    <n v="110"/>
    <s v="A"/>
    <s v="Major"/>
    <n v="50"/>
    <n v="24"/>
    <n v="86"/>
    <n v="0"/>
    <n v="0"/>
    <n v="64"/>
    <n v="4"/>
  </r>
  <r>
    <x v="227"/>
    <s v="Tormenta (feat. Bad Bunny)"/>
    <n v="2"/>
    <x v="15"/>
    <n v="1529"/>
    <n v="0"/>
    <n v="149778242"/>
    <s v="no"/>
    <n v="32"/>
    <n v="18"/>
    <n v="39"/>
    <n v="2"/>
    <n v="0"/>
    <n v="95"/>
    <m/>
    <s v="Major"/>
    <n v="64"/>
    <n v="30"/>
    <n v="77"/>
    <n v="46"/>
    <n v="0"/>
    <n v="38"/>
    <n v="6"/>
  </r>
  <r>
    <x v="227"/>
    <s v="on the street (with J. Cole)"/>
    <n v="2"/>
    <x v="65"/>
    <n v="615"/>
    <n v="2"/>
    <n v="116599790"/>
    <s v="no"/>
    <n v="22"/>
    <n v="82"/>
    <n v="8"/>
    <n v="0"/>
    <n v="9"/>
    <n v="94"/>
    <s v="B"/>
    <s v="Minor"/>
    <n v="68"/>
    <n v="81"/>
    <n v="82"/>
    <n v="53"/>
    <n v="0"/>
    <n v="9"/>
    <n v="13"/>
  </r>
  <r>
    <x v="227"/>
    <s v="One Thing At A Time"/>
    <n v="1"/>
    <x v="28"/>
    <n v="811"/>
    <n v="4"/>
    <n v="148469433"/>
    <s v="no"/>
    <n v="11"/>
    <n v="58"/>
    <n v="5"/>
    <n v="0"/>
    <n v="21"/>
    <n v="142"/>
    <s v="G"/>
    <s v="Major"/>
    <n v="61"/>
    <n v="92"/>
    <n v="91"/>
    <n v="0"/>
    <n v="0"/>
    <n v="26"/>
    <n v="3"/>
  </r>
  <r>
    <x v="227"/>
    <s v="Miss You"/>
    <n v="2"/>
    <x v="208"/>
    <n v="5730"/>
    <n v="10"/>
    <n v="497225336"/>
    <s v="yes"/>
    <n v="108"/>
    <n v="16"/>
    <n v="197"/>
    <n v="3"/>
    <n v="165"/>
    <n v="145"/>
    <s v="F#"/>
    <s v="Minor"/>
    <n v="59"/>
    <n v="20"/>
    <n v="74"/>
    <n v="1"/>
    <n v="0"/>
    <n v="15"/>
    <n v="5"/>
  </r>
  <r>
    <x v="227"/>
    <s v="Ainï¿½ï¿½ï¿½t Tha"/>
    <n v="1"/>
    <x v="65"/>
    <n v="356"/>
    <n v="4"/>
    <n v="88791109"/>
    <s v="no"/>
    <n v="4"/>
    <n v="20"/>
    <n v="0"/>
    <n v="0"/>
    <n v="0"/>
    <n v="121"/>
    <s v="F#"/>
    <s v="Minor"/>
    <n v="64"/>
    <n v="67"/>
    <n v="80"/>
    <n v="0"/>
    <n v="0"/>
    <n v="36"/>
    <n v="3"/>
  </r>
  <r>
    <x v="227"/>
    <s v="Thinkinï¿½ï¿½ï¿½ B"/>
    <n v="1"/>
    <x v="65"/>
    <n v="604"/>
    <n v="6"/>
    <n v="125917280"/>
    <s v="no"/>
    <n v="22"/>
    <n v="101"/>
    <n v="0"/>
    <n v="0"/>
    <n v="66"/>
    <n v="140"/>
    <s v="D#"/>
    <s v="Minor"/>
    <n v="66"/>
    <n v="43"/>
    <n v="76"/>
    <n v="49"/>
    <n v="0"/>
    <n v="12"/>
    <n v="3"/>
  </r>
  <r>
    <x v="227"/>
    <s v="Private Landing (feat. Justin Bieber &amp; Future)"/>
    <n v="3"/>
    <x v="30"/>
    <n v="1190"/>
    <n v="0"/>
    <n v="105062254"/>
    <s v="no"/>
    <n v="29"/>
    <n v="3"/>
    <n v="18"/>
    <n v="0"/>
    <n v="19"/>
    <n v="137"/>
    <s v="C#"/>
    <s v="Minor"/>
    <n v="84"/>
    <n v="44"/>
    <n v="67"/>
    <n v="8"/>
    <n v="0"/>
    <n v="11"/>
    <n v="6"/>
  </r>
  <r>
    <x v="227"/>
    <s v="Everything I Love"/>
    <n v="1"/>
    <x v="25"/>
    <n v="579"/>
    <n v="0"/>
    <n v="95623148"/>
    <s v="no"/>
    <n v="11"/>
    <n v="54"/>
    <n v="0"/>
    <n v="0"/>
    <n v="103"/>
    <n v="104"/>
    <s v="G#"/>
    <s v="Major"/>
    <n v="56"/>
    <n v="72"/>
    <n v="85"/>
    <n v="0"/>
    <n v="0"/>
    <n v="15"/>
    <n v="3"/>
  </r>
  <r>
    <x v="227"/>
    <s v="Heaven"/>
    <n v="1"/>
    <x v="209"/>
    <n v="1553"/>
    <n v="2"/>
    <n v="144584800"/>
    <s v="no"/>
    <n v="61"/>
    <n v="6"/>
    <n v="48"/>
    <n v="0"/>
    <n v="150"/>
    <n v="92"/>
    <s v="F"/>
    <s v="Major"/>
    <n v="57"/>
    <n v="68"/>
    <n v="76"/>
    <n v="7"/>
    <n v="0"/>
    <n v="33"/>
    <n v="3"/>
  </r>
  <r>
    <x v="227"/>
    <s v="LET GO"/>
    <n v="1"/>
    <x v="205"/>
    <n v="2301"/>
    <n v="20"/>
    <n v="298063749"/>
    <s v="yes"/>
    <n v="49"/>
    <n v="23"/>
    <n v="110"/>
    <n v="0"/>
    <n v="8"/>
    <n v="146"/>
    <s v="D"/>
    <s v="Minor"/>
    <n v="74"/>
    <n v="51"/>
    <n v="45"/>
    <n v="86"/>
    <n v="0"/>
    <n v="21"/>
    <n v="38"/>
  </r>
  <r>
    <x v="227"/>
    <s v="Sial"/>
    <n v="1"/>
    <x v="111"/>
    <n v="134"/>
    <n v="4"/>
    <n v="166570053"/>
    <s v="no"/>
    <n v="4"/>
    <n v="6"/>
    <n v="0"/>
    <n v="0"/>
    <n v="23"/>
    <n v="120"/>
    <s v="D"/>
    <s v="Major"/>
    <n v="56"/>
    <n v="20"/>
    <n v="43"/>
    <n v="89"/>
    <n v="0"/>
    <n v="12"/>
    <n v="4"/>
  </r>
  <r>
    <x v="227"/>
    <s v="I Wrote The Book"/>
    <n v="1"/>
    <x v="25"/>
    <n v="430"/>
    <n v="0"/>
    <n v="83021468"/>
    <s v="no"/>
    <n v="15"/>
    <n v="17"/>
    <n v="0"/>
    <n v="0"/>
    <n v="0"/>
    <n v="144"/>
    <s v="D"/>
    <s v="Major"/>
    <n v="68"/>
    <n v="83"/>
    <n v="81"/>
    <n v="9"/>
    <n v="0"/>
    <n v="8"/>
    <n v="4"/>
  </r>
  <r>
    <x v="227"/>
    <s v="Apna Bana Le (From &quot;Bhediya&quot;)"/>
    <n v="2"/>
    <x v="210"/>
    <n v="86"/>
    <n v="0"/>
    <n v="139836056"/>
    <s v="no"/>
    <n v="11"/>
    <n v="101"/>
    <n v="0"/>
    <n v="0"/>
    <n v="48"/>
    <n v="94"/>
    <s v="A"/>
    <s v="Major"/>
    <n v="59"/>
    <n v="44"/>
    <n v="56"/>
    <n v="80"/>
    <n v="0"/>
    <n v="6"/>
    <n v="3"/>
  </r>
  <r>
    <x v="228"/>
    <s v="SPIT IN MY FACE!"/>
    <n v="1"/>
    <x v="211"/>
    <n v="629"/>
    <n v="14"/>
    <n v="303216294"/>
    <s v="yes"/>
    <n v="32"/>
    <n v="3"/>
    <n v="9"/>
    <n v="0"/>
    <n v="0"/>
    <n v="94"/>
    <s v="G#"/>
    <s v="Major"/>
    <n v="73"/>
    <n v="65"/>
    <n v="79"/>
    <n v="5"/>
    <n v="2"/>
    <n v="11"/>
    <n v="6"/>
  </r>
  <r>
    <x v="228"/>
    <s v="PLAYA DEL INGLï¿½"/>
    <n v="2"/>
    <x v="205"/>
    <n v="1701"/>
    <n v="15"/>
    <n v="221409663"/>
    <s v="yes"/>
    <n v="30"/>
    <n v="15"/>
    <n v="34"/>
    <n v="2"/>
    <n v="47"/>
    <n v="113"/>
    <s v="G"/>
    <s v="Minor"/>
    <n v="79"/>
    <n v="66"/>
    <n v="74"/>
    <n v="8"/>
    <n v="0"/>
    <n v="11"/>
    <n v="5"/>
  </r>
  <r>
    <x v="229"/>
    <s v="Man Made A Bar (feat. Eric Church)"/>
    <n v="2"/>
    <x v="65"/>
    <n v="329"/>
    <n v="0"/>
    <n v="58890931"/>
    <s v="no"/>
    <n v="14"/>
    <n v="35"/>
    <n v="1"/>
    <n v="0"/>
    <n v="0"/>
    <n v="148"/>
    <s v="E"/>
    <s v="Major"/>
    <n v="50"/>
    <n v="49"/>
    <n v="76"/>
    <n v="12"/>
    <n v="0"/>
    <n v="12"/>
    <n v="3"/>
  </r>
  <r>
    <x v="230"/>
    <s v="Red Ruby Da Sleeze"/>
    <n v="1"/>
    <x v="65"/>
    <n v="1168"/>
    <n v="0"/>
    <n v="81419389"/>
    <s v="no"/>
    <n v="45"/>
    <n v="11"/>
    <n v="20"/>
    <n v="0"/>
    <n v="21"/>
    <n v="98"/>
    <s v="C#"/>
    <s v="Major"/>
    <n v="70"/>
    <n v="29"/>
    <n v="73"/>
    <n v="12"/>
    <n v="0"/>
    <n v="11"/>
    <n v="26"/>
  </r>
  <r>
    <x v="230"/>
    <s v="Kahani Suno 2.0"/>
    <n v="1"/>
    <x v="212"/>
    <n v="162"/>
    <n v="6"/>
    <n v="156777415"/>
    <s v="no"/>
    <n v="1"/>
    <n v="10"/>
    <n v="1"/>
    <n v="0"/>
    <n v="1"/>
    <n v="140"/>
    <s v="B"/>
    <s v="Major"/>
    <n v="58"/>
    <n v="26"/>
    <n v="38"/>
    <n v="91"/>
    <n v="0"/>
    <n v="10"/>
    <n v="4"/>
  </r>
  <r>
    <x v="230"/>
    <s v="Nobody Gets Me"/>
    <n v="1"/>
    <x v="73"/>
    <n v="2536"/>
    <n v="6"/>
    <n v="284908316"/>
    <s v="yes"/>
    <n v="59"/>
    <n v="100"/>
    <n v="58"/>
    <n v="13"/>
    <n v="2"/>
    <n v="100"/>
    <s v="G"/>
    <s v="Major"/>
    <n v="36"/>
    <n v="28"/>
    <n v="28"/>
    <n v="81"/>
    <n v="0"/>
    <n v="18"/>
    <n v="3"/>
  </r>
  <r>
    <x v="231"/>
    <s v="PERO Tï¿"/>
    <n v="2"/>
    <x v="30"/>
    <n v="387"/>
    <n v="11"/>
    <n v="93438910"/>
    <s v="no"/>
    <n v="11"/>
    <n v="15"/>
    <n v="14"/>
    <n v="3"/>
    <n v="1"/>
    <n v="140"/>
    <s v="F#"/>
    <s v="Major"/>
    <n v="86"/>
    <n v="68"/>
    <n v="79"/>
    <n v="39"/>
    <n v="0"/>
    <n v="11"/>
    <n v="29"/>
  </r>
  <r>
    <x v="232"/>
    <s v="Hype Boy"/>
    <n v="1"/>
    <x v="213"/>
    <n v="892"/>
    <n v="17"/>
    <n v="363472647"/>
    <s v="yes"/>
    <n v="20"/>
    <n v="119"/>
    <n v="12"/>
    <n v="2"/>
    <n v="7"/>
    <n v="100"/>
    <s v="E"/>
    <s v="Minor"/>
    <n v="59"/>
    <n v="78"/>
    <n v="94"/>
    <n v="27"/>
    <n v="0"/>
    <n v="29"/>
    <n v="23"/>
  </r>
  <r>
    <x v="233"/>
    <s v="Bloody Mary"/>
    <n v="1"/>
    <x v="74"/>
    <n v="3909"/>
    <n v="0"/>
    <n v="372476382"/>
    <s v="yes"/>
    <n v="66"/>
    <n v="26"/>
    <n v="277"/>
    <n v="3"/>
    <n v="734"/>
    <n v="100"/>
    <s v="A"/>
    <s v="Minor"/>
    <n v="59"/>
    <n v="49"/>
    <n v="65"/>
    <n v="2"/>
    <n v="0"/>
    <n v="13"/>
    <n v="3"/>
  </r>
  <r>
    <x v="234"/>
    <s v="Monotonï¿½"/>
    <n v="2"/>
    <x v="214"/>
    <n v="3645"/>
    <n v="15"/>
    <n v="380726517"/>
    <s v="yes"/>
    <n v="118"/>
    <n v="34"/>
    <n v="150"/>
    <n v="4"/>
    <n v="19"/>
    <n v="132"/>
    <m/>
    <s v="Minor"/>
    <n v="87"/>
    <n v="82"/>
    <n v="70"/>
    <n v="42"/>
    <n v="0"/>
    <n v="21"/>
    <n v="5"/>
  </r>
  <r>
    <x v="235"/>
    <s v="ýýý98 Braves"/>
    <n v="1"/>
    <x v="65"/>
    <n v="282"/>
    <n v="0"/>
    <n v="56533272"/>
    <s v="no"/>
    <n v="6"/>
    <n v="15"/>
    <n v="0"/>
    <n v="0"/>
    <n v="0"/>
    <n v="142"/>
    <s v="D"/>
    <s v="Major"/>
    <n v="49"/>
    <n v="48"/>
    <n v="67"/>
    <n v="10"/>
    <n v="0"/>
    <n v="26"/>
    <n v="3"/>
  </r>
  <r>
    <x v="236"/>
    <s v="WANDA"/>
    <n v="1"/>
    <x v="215"/>
    <n v="888"/>
    <n v="22"/>
    <n v="175399345"/>
    <s v="no"/>
    <n v="11"/>
    <n v="24"/>
    <n v="7"/>
    <n v="1"/>
    <n v="7"/>
    <n v="176"/>
    <s v="E"/>
    <s v="Minor"/>
    <n v="72"/>
    <n v="96"/>
    <n v="63"/>
    <n v="25"/>
    <n v="0"/>
    <n v="21"/>
    <n v="7"/>
  </r>
  <r>
    <x v="237"/>
    <s v="Thought You Should Know"/>
    <n v="1"/>
    <x v="67"/>
    <n v="968"/>
    <n v="4"/>
    <n v="203221468"/>
    <s v="yes"/>
    <n v="16"/>
    <n v="53"/>
    <n v="1"/>
    <n v="0"/>
    <n v="61"/>
    <n v="140"/>
    <s v="F#"/>
    <s v="Major"/>
    <n v="53"/>
    <n v="51"/>
    <n v="70"/>
    <n v="49"/>
    <n v="0"/>
    <n v="14"/>
    <n v="3"/>
  </r>
  <r>
    <x v="238"/>
    <s v="In The End"/>
    <n v="1"/>
    <x v="216"/>
    <n v="25065"/>
    <n v="6"/>
    <n v="1624165576"/>
    <s v="yes"/>
    <n v="63"/>
    <n v="0"/>
    <n v="6808"/>
    <n v="2"/>
    <n v="0"/>
    <n v="105"/>
    <s v="D#"/>
    <s v="Minor"/>
    <n v="55"/>
    <n v="40"/>
    <n v="90"/>
    <n v="1"/>
    <n v="0"/>
    <n v="32"/>
    <n v="6"/>
  </r>
  <r>
    <x v="239"/>
    <s v="Zona De Perigo"/>
    <n v="1"/>
    <x v="14"/>
    <n v="531"/>
    <n v="4"/>
    <n v="134294498"/>
    <s v="no"/>
    <n v="20"/>
    <n v="1"/>
    <n v="71"/>
    <n v="2"/>
    <n v="0"/>
    <n v="135"/>
    <s v="F"/>
    <s v="Major"/>
    <n v="81"/>
    <n v="97"/>
    <n v="77"/>
    <n v="75"/>
    <n v="0"/>
    <n v="35"/>
    <n v="3"/>
  </r>
  <r>
    <x v="239"/>
    <s v="Lovezinho"/>
    <n v="1"/>
    <x v="175"/>
    <n v="242"/>
    <n v="0"/>
    <n v="70069745"/>
    <s v="no"/>
    <n v="12"/>
    <n v="2"/>
    <n v="13"/>
    <n v="0"/>
    <n v="4"/>
    <n v="128"/>
    <s v="E"/>
    <s v="Minor"/>
    <n v="82"/>
    <n v="61"/>
    <n v="59"/>
    <n v="30"/>
    <n v="0"/>
    <n v="12"/>
    <n v="4"/>
  </r>
  <r>
    <x v="239"/>
    <s v="I Like You (A Happier Song) (with Doja Cat)"/>
    <n v="2"/>
    <x v="217"/>
    <n v="5281"/>
    <n v="14"/>
    <n v="609293408"/>
    <s v="yes"/>
    <n v="94"/>
    <n v="21"/>
    <n v="80"/>
    <n v="15"/>
    <n v="38"/>
    <n v="101"/>
    <s v="F"/>
    <s v="Major"/>
    <n v="74"/>
    <n v="43"/>
    <n v="69"/>
    <n v="12"/>
    <n v="0"/>
    <n v="12"/>
    <n v="7"/>
  </r>
  <r>
    <x v="239"/>
    <s v="Neverita"/>
    <n v="1"/>
    <x v="67"/>
    <n v="2590"/>
    <n v="30"/>
    <n v="671365962"/>
    <s v="yes"/>
    <n v="20"/>
    <n v="64"/>
    <n v="35"/>
    <n v="6"/>
    <n v="0"/>
    <n v="122"/>
    <s v="A#"/>
    <s v="Major"/>
    <n v="88"/>
    <n v="43"/>
    <n v="50"/>
    <n v="7"/>
    <n v="0"/>
    <n v="14"/>
    <n v="5"/>
  </r>
  <r>
    <x v="240"/>
    <s v="Vista Al Mar"/>
    <n v="1"/>
    <x v="218"/>
    <n v="1769"/>
    <n v="34"/>
    <n v="362361576"/>
    <s v="yes"/>
    <n v="16"/>
    <n v="19"/>
    <n v="21"/>
    <n v="3"/>
    <n v="4"/>
    <n v="105"/>
    <m/>
    <s v="Minor"/>
    <n v="76"/>
    <n v="49"/>
    <n v="56"/>
    <n v="80"/>
    <n v="12"/>
    <n v="10"/>
    <n v="13"/>
  </r>
  <r>
    <x v="241"/>
    <s v="Sem Alianï¿½ï¿½a no "/>
    <n v="2"/>
    <x v="219"/>
    <n v="454"/>
    <n v="4"/>
    <n v="93587665"/>
    <s v="no"/>
    <n v="6"/>
    <n v="1"/>
    <n v="21"/>
    <n v="0"/>
    <n v="1"/>
    <n v="83"/>
    <s v="C#"/>
    <s v="Major"/>
    <n v="53"/>
    <n v="40"/>
    <n v="36"/>
    <n v="73"/>
    <n v="0"/>
    <n v="11"/>
    <n v="33"/>
  </r>
  <r>
    <x v="242"/>
    <s v="Enemy (with JID) - from the series Arcane League of Legends"/>
    <n v="4"/>
    <x v="220"/>
    <n v="6180"/>
    <n v="7"/>
    <n v="1223481149"/>
    <s v="yes"/>
    <n v="122"/>
    <n v="88"/>
    <n v="580"/>
    <n v="21"/>
    <n v="10"/>
    <n v="77"/>
    <s v="B"/>
    <s v="Minor"/>
    <n v="72"/>
    <n v="59"/>
    <n v="76"/>
    <n v="24"/>
    <n v="0"/>
    <n v="42"/>
    <n v="28"/>
  </r>
  <r>
    <x v="243"/>
    <s v="Revenge"/>
    <n v="1"/>
    <x v="221"/>
    <n v="3600"/>
    <n v="11"/>
    <n v="1022258230"/>
    <s v="yes"/>
    <n v="7"/>
    <n v="0"/>
    <n v="203"/>
    <n v="0"/>
    <n v="2"/>
    <n v="140"/>
    <s v="B"/>
    <s v="Minor"/>
    <n v="75"/>
    <n v="18"/>
    <n v="25"/>
    <n v="78"/>
    <n v="0"/>
    <n v="11"/>
    <n v="26"/>
  </r>
  <r>
    <x v="244"/>
    <s v="Bombonzinho - Ao Vivo"/>
    <n v="2"/>
    <x v="222"/>
    <n v="1254"/>
    <n v="6"/>
    <n v="263453310"/>
    <s v="yes"/>
    <n v="26"/>
    <n v="69"/>
    <n v="73"/>
    <n v="2"/>
    <n v="6"/>
    <n v="158"/>
    <s v="C#"/>
    <s v="Major"/>
    <n v="65"/>
    <n v="72"/>
    <n v="95"/>
    <n v="31"/>
    <n v="0"/>
    <n v="92"/>
    <n v="5"/>
  </r>
  <r>
    <x v="245"/>
    <s v="LA CANCIï¿½"/>
    <n v="2"/>
    <x v="223"/>
    <n v="6398"/>
    <n v="31"/>
    <n v="1435127549"/>
    <s v="yes"/>
    <n v="177"/>
    <n v="109"/>
    <n v="305"/>
    <n v="3"/>
    <n v="5"/>
    <n v="176"/>
    <s v="G"/>
    <s v="Major"/>
    <n v="75"/>
    <n v="43"/>
    <n v="65"/>
    <n v="15"/>
    <n v="0"/>
    <n v="11"/>
    <n v="32"/>
  </r>
  <r>
    <x v="246"/>
    <s v="Quï¿½ï¿½ Ago"/>
    <n v="2"/>
    <x v="224"/>
    <n v="660"/>
    <n v="15"/>
    <n v="236857112"/>
    <s v="yes"/>
    <n v="19"/>
    <n v="59"/>
    <n v="18"/>
    <n v="5"/>
    <n v="52"/>
    <n v="98"/>
    <s v="B"/>
    <s v="Major"/>
    <n v="73"/>
    <n v="88"/>
    <n v="57"/>
    <n v="56"/>
    <n v="0"/>
    <n v="5"/>
    <n v="2"/>
  </r>
  <r>
    <x v="246"/>
    <s v="Love Again"/>
    <n v="1"/>
    <x v="102"/>
    <n v="1283"/>
    <n v="0"/>
    <n v="147538971"/>
    <s v="no"/>
    <n v="57"/>
    <n v="4"/>
    <n v="48"/>
    <n v="0"/>
    <n v="0"/>
    <n v="107"/>
    <s v="B"/>
    <s v="Minor"/>
    <n v="66"/>
    <n v="47"/>
    <n v="40"/>
    <n v="72"/>
    <n v="0"/>
    <n v="11"/>
    <n v="3"/>
  </r>
  <r>
    <x v="246"/>
    <s v="After Hours"/>
    <n v="1"/>
    <x v="225"/>
    <n v="8084"/>
    <n v="6"/>
    <n v="698086140"/>
    <s v="yes"/>
    <n v="45"/>
    <n v="115"/>
    <n v="218"/>
    <n v="1"/>
    <n v="221"/>
    <n v="109"/>
    <s v="F"/>
    <s v="Minor"/>
    <n v="66"/>
    <n v="16"/>
    <n v="57"/>
    <n v="10"/>
    <n v="1"/>
    <n v="12"/>
    <n v="3"/>
  </r>
  <r>
    <x v="247"/>
    <s v="About Damn Time"/>
    <n v="1"/>
    <x v="55"/>
    <n v="2332"/>
    <n v="2"/>
    <n v="723894473"/>
    <s v="yes"/>
    <n v="0"/>
    <n v="0"/>
    <n v="25"/>
    <n v="0"/>
    <n v="0"/>
    <n v="109"/>
    <s v="A#"/>
    <s v="Minor"/>
    <n v="84"/>
    <n v="72"/>
    <n v="74"/>
    <n v="10"/>
    <n v="0"/>
    <n v="34"/>
    <n v="7"/>
  </r>
  <r>
    <x v="248"/>
    <s v="Born With A Beer In My Hand"/>
    <n v="1"/>
    <x v="65"/>
    <n v="203"/>
    <n v="0"/>
    <n v="34450974"/>
    <s v="no"/>
    <n v="5"/>
    <n v="9"/>
    <n v="0"/>
    <n v="0"/>
    <n v="0"/>
    <n v="148"/>
    <m/>
    <s v="Major"/>
    <n v="53"/>
    <n v="61"/>
    <n v="81"/>
    <n v="5"/>
    <n v="0"/>
    <n v="36"/>
    <n v="4"/>
  </r>
  <r>
    <x v="249"/>
    <s v="ýýýýýýýýýýýýýýýýýýýýý"/>
    <n v="1"/>
    <x v="226"/>
    <n v="685"/>
    <n v="14"/>
    <n v="403097450"/>
    <s v="yes"/>
    <n v="24"/>
    <n v="94"/>
    <n v="9"/>
    <n v="0"/>
    <n v="23"/>
    <n v="158"/>
    <s v="F#"/>
    <s v="Minor"/>
    <n v="60"/>
    <n v="52"/>
    <n v="76"/>
    <n v="17"/>
    <n v="0"/>
    <n v="19"/>
    <n v="5"/>
  </r>
  <r>
    <x v="249"/>
    <s v="Besos Moja2"/>
    <n v="2"/>
    <x v="144"/>
    <n v="2460"/>
    <n v="13"/>
    <n v="309483971"/>
    <s v="yes"/>
    <n v="53"/>
    <n v="7"/>
    <n v="56"/>
    <n v="3"/>
    <n v="1"/>
    <n v="94"/>
    <s v="F"/>
    <s v="Minor"/>
    <n v="74"/>
    <n v="64"/>
    <n v="73"/>
    <n v="6"/>
    <n v="0"/>
    <n v="10"/>
    <n v="6"/>
  </r>
  <r>
    <x v="250"/>
    <s v="Maan Meri Jaan"/>
    <n v="1"/>
    <x v="145"/>
    <n v="288"/>
    <n v="6"/>
    <n v="319566866"/>
    <s v="yes"/>
    <n v="11"/>
    <n v="80"/>
    <n v="1"/>
    <n v="0"/>
    <n v="8"/>
    <n v="96"/>
    <s v="F#"/>
    <s v="Minor"/>
    <n v="70"/>
    <n v="40"/>
    <n v="51"/>
    <n v="35"/>
    <n v="0"/>
    <n v="10"/>
    <n v="4"/>
  </r>
  <r>
    <x v="251"/>
    <s v="Moscow Mule"/>
    <n v="1"/>
    <x v="67"/>
    <n v="4572"/>
    <n v="33"/>
    <n v="909001996"/>
    <s v="yes"/>
    <n v="74"/>
    <n v="113"/>
    <n v="85"/>
    <n v="9"/>
    <n v="2"/>
    <n v="100"/>
    <s v="F"/>
    <s v="Minor"/>
    <n v="80"/>
    <n v="29"/>
    <n v="67"/>
    <n v="29"/>
    <n v="0"/>
    <n v="12"/>
    <n v="3"/>
  </r>
  <r>
    <x v="252"/>
    <s v="My Universe"/>
    <n v="2"/>
    <x v="227"/>
    <n v="6127"/>
    <n v="13"/>
    <n v="1061966512"/>
    <s v="yes"/>
    <n v="0"/>
    <n v="0"/>
    <n v="0"/>
    <n v="0"/>
    <n v="0"/>
    <n v="105"/>
    <s v="A"/>
    <s v="Major"/>
    <n v="58"/>
    <n v="42"/>
    <n v="68"/>
    <n v="1"/>
    <n v="0"/>
    <n v="14"/>
    <n v="4"/>
  </r>
  <r>
    <x v="252"/>
    <s v="Devil Donï¿½ï¿½ï¿½"/>
    <n v="1"/>
    <x v="65"/>
    <n v="166"/>
    <n v="0"/>
    <n v="32526947"/>
    <s v="no"/>
    <n v="2"/>
    <n v="10"/>
    <n v="0"/>
    <n v="0"/>
    <n v="0"/>
    <n v="125"/>
    <m/>
    <s v="Major"/>
    <n v="53"/>
    <n v="32"/>
    <n v="66"/>
    <n v="38"/>
    <n v="0"/>
    <n v="9"/>
    <n v="3"/>
  </r>
  <r>
    <x v="253"/>
    <s v="LLYLM"/>
    <n v="1"/>
    <x v="102"/>
    <n v="1838"/>
    <n v="0"/>
    <n v="124988687"/>
    <s v="no"/>
    <n v="105"/>
    <n v="41"/>
    <n v="114"/>
    <n v="1"/>
    <n v="59"/>
    <n v="170"/>
    <s v="F#"/>
    <s v="Minor"/>
    <n v="56"/>
    <n v="56"/>
    <n v="63"/>
    <n v="13"/>
    <n v="0"/>
    <n v="19"/>
    <n v="27"/>
  </r>
  <r>
    <x v="254"/>
    <s v="I'm Not Here To Make Friends"/>
    <n v="3"/>
    <x v="102"/>
    <n v="1890"/>
    <n v="0"/>
    <n v="103787664"/>
    <s v="no"/>
    <n v="86"/>
    <n v="1"/>
    <n v="49"/>
    <n v="0"/>
    <n v="9"/>
    <n v="115"/>
    <m/>
    <s v="Major"/>
    <n v="70"/>
    <n v="84"/>
    <n v="90"/>
    <n v="17"/>
    <n v="0"/>
    <n v="41"/>
    <n v="6"/>
  </r>
  <r>
    <x v="255"/>
    <s v="TRUSTFALL"/>
    <n v="1"/>
    <x v="102"/>
    <n v="2098"/>
    <n v="16"/>
    <n v="134255790"/>
    <s v="no"/>
    <n v="88"/>
    <n v="24"/>
    <n v="101"/>
    <n v="7"/>
    <n v="451"/>
    <n v="122"/>
    <s v="G#"/>
    <s v="Major"/>
    <n v="64"/>
    <n v="25"/>
    <n v="89"/>
    <n v="0"/>
    <n v="0"/>
    <n v="15"/>
    <n v="9"/>
  </r>
  <r>
    <x v="256"/>
    <s v="ANTIFRAGILE"/>
    <n v="1"/>
    <x v="155"/>
    <n v="761"/>
    <n v="12"/>
    <n v="301051721"/>
    <s v="yes"/>
    <n v="23"/>
    <n v="95"/>
    <n v="11"/>
    <n v="0"/>
    <n v="3"/>
    <n v="105"/>
    <s v="A#"/>
    <s v="Minor"/>
    <n v="88"/>
    <n v="82"/>
    <n v="80"/>
    <n v="8"/>
    <n v="0"/>
    <n v="11"/>
    <n v="8"/>
  </r>
  <r>
    <x v="257"/>
    <s v="Boy's a liar"/>
    <n v="1"/>
    <x v="146"/>
    <n v="1225"/>
    <n v="0"/>
    <n v="156338624"/>
    <s v="no"/>
    <n v="27"/>
    <n v="0"/>
    <n v="28"/>
    <n v="13"/>
    <n v="0"/>
    <n v="133"/>
    <s v="F"/>
    <s v="Major"/>
    <n v="66"/>
    <n v="74"/>
    <n v="84"/>
    <n v="25"/>
    <n v="0"/>
    <n v="21"/>
    <n v="4"/>
  </r>
  <r>
    <x v="258"/>
    <s v="VIBE (feat. Jimin of BTS)"/>
    <n v="2"/>
    <x v="124"/>
    <n v="415"/>
    <n v="2"/>
    <n v="152850295"/>
    <s v="no"/>
    <n v="15"/>
    <n v="40"/>
    <n v="21"/>
    <n v="1"/>
    <n v="15"/>
    <n v="100"/>
    <m/>
    <s v="Major"/>
    <n v="79"/>
    <n v="60"/>
    <n v="68"/>
    <n v="7"/>
    <n v="0"/>
    <n v="26"/>
    <n v="4"/>
  </r>
  <r>
    <x v="259"/>
    <s v="Shirt"/>
    <n v="1"/>
    <x v="228"/>
    <n v="3469"/>
    <n v="0"/>
    <n v="309653982"/>
    <s v="yes"/>
    <n v="71"/>
    <n v="95"/>
    <n v="31"/>
    <n v="0"/>
    <n v="2"/>
    <n v="120"/>
    <s v="D#"/>
    <s v="Minor"/>
    <n v="82"/>
    <n v="55"/>
    <n v="45"/>
    <n v="15"/>
    <n v="3"/>
    <n v="9"/>
    <n v="10"/>
  </r>
  <r>
    <x v="259"/>
    <s v="Lift Me Up - From Black Panther: Wakanda Forever - Music From and Inspired By"/>
    <n v="1"/>
    <x v="228"/>
    <n v="3311"/>
    <n v="0"/>
    <n v="297328960"/>
    <s v="yes"/>
    <n v="129"/>
    <n v="31"/>
    <n v="212"/>
    <n v="1"/>
    <n v="41"/>
    <n v="177"/>
    <s v="A"/>
    <s v="Major"/>
    <n v="25"/>
    <n v="17"/>
    <n v="30"/>
    <n v="90"/>
    <n v="0"/>
    <n v="13"/>
    <n v="3"/>
  </r>
  <r>
    <x v="259"/>
    <s v="STAR WALKIN' (League of Legends Worlds Anthem)"/>
    <n v="1"/>
    <x v="60"/>
    <n v="2616"/>
    <n v="0"/>
    <n v="332506354"/>
    <s v="yes"/>
    <n v="113"/>
    <n v="17"/>
    <n v="208"/>
    <n v="0"/>
    <n v="192"/>
    <n v="142"/>
    <s v="D"/>
    <s v="Minor"/>
    <n v="64"/>
    <n v="31"/>
    <n v="72"/>
    <n v="15"/>
    <n v="0"/>
    <n v="9"/>
    <n v="5"/>
  </r>
  <r>
    <x v="260"/>
    <s v="Sex, Drugs, Etc."/>
    <n v="1"/>
    <x v="229"/>
    <n v="3006"/>
    <n v="16"/>
    <n v="480507035"/>
    <s v="yes"/>
    <n v="47"/>
    <n v="60"/>
    <n v="87"/>
    <n v="12"/>
    <n v="124"/>
    <n v="144"/>
    <s v="E"/>
    <s v="Minor"/>
    <n v="57"/>
    <n v="47"/>
    <n v="84"/>
    <n v="1"/>
    <n v="1"/>
    <n v="52"/>
    <n v="4"/>
  </r>
  <r>
    <x v="261"/>
    <s v="Boy With Luv (feat. Halsey)"/>
    <n v="2"/>
    <x v="230"/>
    <n v="4260"/>
    <n v="0"/>
    <n v="1065580332"/>
    <s v="yes"/>
    <n v="113"/>
    <n v="92"/>
    <n v="259"/>
    <n v="0"/>
    <n v="1"/>
    <n v="120"/>
    <s v="B"/>
    <s v="Minor"/>
    <n v="65"/>
    <n v="80"/>
    <n v="86"/>
    <n v="9"/>
    <n v="0"/>
    <n v="19"/>
    <n v="10"/>
  </r>
  <r>
    <x v="262"/>
    <s v="Hey, Mickey!"/>
    <n v="1"/>
    <x v="231"/>
    <n v="482"/>
    <n v="0"/>
    <n v="122763672"/>
    <s v="no"/>
    <n v="9"/>
    <n v="1"/>
    <n v="12"/>
    <n v="4"/>
    <n v="3"/>
    <n v="135"/>
    <s v="D"/>
    <s v="Major"/>
    <n v="92"/>
    <n v="73"/>
    <n v="51"/>
    <n v="55"/>
    <n v="0"/>
    <n v="15"/>
    <n v="6"/>
  </r>
  <r>
    <x v="263"/>
    <s v="Calm Down"/>
    <n v="1"/>
    <x v="232"/>
    <n v="4013"/>
    <n v="10"/>
    <n v="445763624"/>
    <s v="yes"/>
    <n v="107"/>
    <n v="44"/>
    <n v="750"/>
    <n v="22"/>
    <m/>
    <n v="107"/>
    <s v="B"/>
    <s v="Major"/>
    <n v="81"/>
    <n v="82"/>
    <n v="78"/>
    <n v="38"/>
    <n v="0"/>
    <n v="12"/>
    <n v="4"/>
  </r>
  <r>
    <x v="264"/>
    <s v="Jhoome Jo Pathaan"/>
    <n v="6"/>
    <x v="184"/>
    <n v="138"/>
    <n v="4"/>
    <n v="1365184"/>
    <s v="no"/>
    <n v="13"/>
    <n v="78"/>
    <n v="2"/>
    <n v="0"/>
    <n v="0"/>
    <n v="105"/>
    <s v="G"/>
    <s v="Major"/>
    <n v="82"/>
    <n v="62"/>
    <n v="74"/>
    <n v="10"/>
    <n v="0"/>
    <n v="33"/>
    <n v="7"/>
  </r>
  <r>
    <x v="265"/>
    <s v="Escapism. - Sped Up"/>
    <n v="2"/>
    <x v="233"/>
    <n v="1368"/>
    <n v="0"/>
    <n v="184308753"/>
    <s v="no"/>
    <n v="12"/>
    <n v="1"/>
    <n v="11"/>
    <n v="0"/>
    <n v="8"/>
    <n v="108"/>
    <s v="F#"/>
    <s v="Minor"/>
    <n v="44"/>
    <n v="38"/>
    <n v="77"/>
    <n v="9"/>
    <n v="0"/>
    <n v="9"/>
    <n v="20"/>
  </r>
  <r>
    <x v="266"/>
    <s v="Space Song"/>
    <n v="1"/>
    <x v="234"/>
    <n v="17852"/>
    <n v="4"/>
    <n v="789753877"/>
    <s v="yes"/>
    <n v="69"/>
    <n v="76"/>
    <n v="335"/>
    <n v="0"/>
    <m/>
    <n v="147"/>
    <m/>
    <s v="Minor"/>
    <n v="51"/>
    <n v="62"/>
    <n v="79"/>
    <n v="22"/>
    <n v="13"/>
    <n v="14"/>
    <n v="3"/>
  </r>
  <r>
    <x v="266"/>
    <s v="Dreamers [Music from the FIFA World Cup Qatar 2022 Official Soundtrack]"/>
    <n v="3"/>
    <x v="235"/>
    <n v="889"/>
    <n v="20"/>
    <n v="323358833"/>
    <s v="yes"/>
    <n v="11"/>
    <n v="78"/>
    <n v="35"/>
    <n v="0"/>
    <n v="21"/>
    <n v="115"/>
    <m/>
    <s v="Major"/>
    <n v="71"/>
    <n v="34"/>
    <n v="88"/>
    <n v="16"/>
    <n v="0"/>
    <n v="44"/>
    <n v="4"/>
  </r>
  <r>
    <x v="266"/>
    <s v="Te Felicito"/>
    <n v="2"/>
    <x v="170"/>
    <n v="4796"/>
    <n v="9"/>
    <n v="606361689"/>
    <s v="yes"/>
    <n v="124"/>
    <n v="66"/>
    <n v="212"/>
    <n v="13"/>
    <n v="1"/>
    <n v="174"/>
    <s v="F"/>
    <s v="Major"/>
    <n v="70"/>
    <n v="57"/>
    <n v="64"/>
    <n v="23"/>
    <n v="0"/>
    <n v="8"/>
    <n v="32"/>
  </r>
  <r>
    <x v="267"/>
    <s v="Muï¿½ï¿½"/>
    <n v="3"/>
    <x v="11"/>
    <n v="658"/>
    <n v="6"/>
    <n v="120972253"/>
    <s v="no"/>
    <n v="33"/>
    <n v="7"/>
    <n v="53"/>
    <n v="2"/>
    <n v="0"/>
    <n v="90"/>
    <s v="A#"/>
    <s v="Minor"/>
    <n v="68"/>
    <n v="83"/>
    <n v="71"/>
    <n v="3"/>
    <n v="0"/>
    <n v="31"/>
    <n v="8"/>
  </r>
  <r>
    <x v="268"/>
    <s v="TV"/>
    <n v="1"/>
    <x v="236"/>
    <n v="3009"/>
    <n v="2"/>
    <n v="338564981"/>
    <s v="yes"/>
    <n v="68"/>
    <n v="89"/>
    <n v="65"/>
    <n v="0"/>
    <n v="25"/>
    <n v="141"/>
    <s v="E"/>
    <s v="Minor"/>
    <n v="41"/>
    <n v="9"/>
    <n v="25"/>
    <n v="84"/>
    <n v="1"/>
    <n v="14"/>
    <n v="4"/>
  </r>
  <r>
    <x v="269"/>
    <s v="I'm Not The Only One"/>
    <n v="1"/>
    <x v="32"/>
    <n v="17492"/>
    <n v="3"/>
    <n v="1606986953"/>
    <s v="yes"/>
    <n v="136"/>
    <n v="24"/>
    <n v="1959"/>
    <n v="0"/>
    <n v="30"/>
    <n v="82"/>
    <s v="F"/>
    <s v="Major"/>
    <n v="68"/>
    <n v="50"/>
    <n v="49"/>
    <n v="56"/>
    <n v="0"/>
    <n v="8"/>
    <n v="4"/>
  </r>
  <r>
    <x v="270"/>
    <s v="Heather"/>
    <n v="1"/>
    <x v="114"/>
    <n v="6170"/>
    <n v="7"/>
    <n v="1301799902"/>
    <s v="yes"/>
    <n v="82"/>
    <n v="1"/>
    <n v="231"/>
    <n v="0"/>
    <n v="2"/>
    <n v="92"/>
    <s v="F"/>
    <s v="Major"/>
    <n v="47"/>
    <n v="25"/>
    <n v="43"/>
    <n v="62"/>
    <n v="0"/>
    <n v="32"/>
    <n v="3"/>
  </r>
  <r>
    <x v="270"/>
    <s v="Besharam Rang (From &quot;Pathaan&quot;)"/>
    <n v="6"/>
    <x v="237"/>
    <n v="130"/>
    <n v="4"/>
    <n v="140187018"/>
    <s v="no"/>
    <n v="21"/>
    <n v="79"/>
    <n v="2"/>
    <n v="0"/>
    <n v="0"/>
    <n v="116"/>
    <s v="G#"/>
    <s v="Minor"/>
    <n v="77"/>
    <n v="65"/>
    <n v="80"/>
    <n v="6"/>
    <n v="0"/>
    <n v="15"/>
    <n v="4"/>
  </r>
  <r>
    <x v="271"/>
    <s v="One Kiss (with Dua Lipa)"/>
    <n v="2"/>
    <x v="238"/>
    <n v="27705"/>
    <n v="10"/>
    <n v="1897517891"/>
    <s v="yes"/>
    <n v="537"/>
    <n v="122"/>
    <n v="2726"/>
    <n v="6"/>
    <m/>
    <n v="124"/>
    <s v="A"/>
    <s v="Minor"/>
    <n v="79"/>
    <n v="59"/>
    <n v="86"/>
    <n v="4"/>
    <n v="0"/>
    <n v="8"/>
    <n v="11"/>
  </r>
  <r>
    <x v="272"/>
    <s v="Sugar Rush Ride"/>
    <n v="1"/>
    <x v="102"/>
    <n v="359"/>
    <n v="0"/>
    <n v="107642809"/>
    <s v="no"/>
    <n v="12"/>
    <n v="56"/>
    <n v="13"/>
    <n v="0"/>
    <n v="13"/>
    <n v="125"/>
    <s v="A#"/>
    <s v="Minor"/>
    <n v="71"/>
    <n v="83"/>
    <n v="89"/>
    <n v="1"/>
    <n v="0"/>
    <n v="17"/>
    <n v="9"/>
  </r>
  <r>
    <x v="272"/>
    <s v="Pink Venom"/>
    <n v="1"/>
    <x v="88"/>
    <n v="1963"/>
    <n v="16"/>
    <n v="551305895"/>
    <s v="yes"/>
    <n v="57"/>
    <n v="119"/>
    <n v="77"/>
    <n v="1"/>
    <n v="13"/>
    <n v="90"/>
    <m/>
    <s v="Major"/>
    <n v="80"/>
    <n v="71"/>
    <n v="69"/>
    <n v="2"/>
    <n v="0"/>
    <n v="27"/>
    <n v="10"/>
  </r>
  <r>
    <x v="273"/>
    <s v="WAIT FOR U (feat. Drake &amp; Tems)"/>
    <n v="3"/>
    <x v="239"/>
    <n v="5491"/>
    <n v="14"/>
    <n v="556585270"/>
    <s v="yes"/>
    <n v="128"/>
    <n v="84"/>
    <n v="75"/>
    <n v="0"/>
    <n v="35"/>
    <n v="83"/>
    <s v="C#"/>
    <s v="Major"/>
    <n v="46"/>
    <n v="34"/>
    <n v="64"/>
    <n v="31"/>
    <n v="0"/>
    <n v="7"/>
    <n v="34"/>
  </r>
  <r>
    <x v="274"/>
    <s v="Don't Start Now"/>
    <n v="1"/>
    <x v="240"/>
    <n v="27119"/>
    <n v="0"/>
    <n v="2303033973"/>
    <s v="yes"/>
    <n v="532"/>
    <n v="77"/>
    <n v="1535"/>
    <n v="3"/>
    <n v="8"/>
    <n v="124"/>
    <s v="B"/>
    <s v="Minor"/>
    <n v="79"/>
    <n v="68"/>
    <n v="79"/>
    <n v="1"/>
    <n v="0"/>
    <n v="10"/>
    <n v="8"/>
  </r>
  <r>
    <x v="274"/>
    <s v="After Dark"/>
    <n v="1"/>
    <x v="241"/>
    <n v="1776"/>
    <n v="14"/>
    <n v="646886885"/>
    <s v="yes"/>
    <n v="1"/>
    <n v="9"/>
    <n v="3"/>
    <n v="0"/>
    <n v="0"/>
    <n v="140"/>
    <s v="G#"/>
    <s v="Major"/>
    <n v="58"/>
    <n v="4"/>
    <n v="60"/>
    <n v="7"/>
    <n v="41"/>
    <n v="8"/>
    <n v="3"/>
  </r>
  <r>
    <x v="275"/>
    <s v="Eu Gosto Assim - Ao Vivo"/>
    <n v="2"/>
    <x v="183"/>
    <n v="1473"/>
    <n v="4"/>
    <n v="222612678"/>
    <s v="yes"/>
    <n v="27"/>
    <n v="64"/>
    <n v="66"/>
    <n v="1"/>
    <n v="4"/>
    <n v="154"/>
    <m/>
    <s v="Major"/>
    <n v="64"/>
    <n v="61"/>
    <n v="91"/>
    <n v="15"/>
    <n v="0"/>
    <n v="72"/>
    <n v="4"/>
  </r>
  <r>
    <x v="275"/>
    <s v="INDUSTRY BABY (feat. Jack Harlow)"/>
    <n v="2"/>
    <x v="242"/>
    <n v="13315"/>
    <n v="0"/>
    <n v="1814349763"/>
    <s v="yes"/>
    <n v="300"/>
    <n v="47"/>
    <n v="690"/>
    <n v="0"/>
    <m/>
    <n v="150"/>
    <s v="D#"/>
    <s v="Minor"/>
    <n v="74"/>
    <n v="89"/>
    <n v="70"/>
    <n v="2"/>
    <n v="0"/>
    <n v="5"/>
    <n v="6"/>
  </r>
  <r>
    <x v="275"/>
    <s v="MIDDLE OF THE NIGHT"/>
    <n v="1"/>
    <x v="243"/>
    <n v="4057"/>
    <n v="8"/>
    <n v="872137015"/>
    <s v="yes"/>
    <n v="78"/>
    <n v="21"/>
    <n v="240"/>
    <n v="1"/>
    <n v="52"/>
    <n v="186"/>
    <s v="E"/>
    <s v="Minor"/>
    <n v="41"/>
    <n v="9"/>
    <n v="61"/>
    <n v="2"/>
    <n v="0"/>
    <n v="12"/>
    <n v="5"/>
  </r>
  <r>
    <x v="276"/>
    <s v="Atlantis"/>
    <n v="1"/>
    <x v="244"/>
    <n v="3045"/>
    <n v="6"/>
    <n v="571386359"/>
    <s v="yes"/>
    <n v="43"/>
    <n v="53"/>
    <n v="134"/>
    <n v="1"/>
    <n v="32"/>
    <n v="166"/>
    <s v="G#"/>
    <s v="Minor"/>
    <n v="40"/>
    <n v="23"/>
    <n v="48"/>
    <n v="5"/>
    <n v="0"/>
    <n v="12"/>
    <n v="3"/>
  </r>
  <r>
    <x v="277"/>
    <s v="PUNTO 40"/>
    <n v="2"/>
    <x v="60"/>
    <n v="3006"/>
    <n v="12"/>
    <n v="304079786"/>
    <s v="yes"/>
    <n v="54"/>
    <n v="32"/>
    <n v="66"/>
    <n v="2"/>
    <n v="0"/>
    <n v="107"/>
    <m/>
    <s v="Major"/>
    <n v="87"/>
    <n v="20"/>
    <n v="83"/>
    <n v="0"/>
    <n v="4"/>
    <n v="31"/>
    <n v="9"/>
  </r>
  <r>
    <x v="278"/>
    <s v="Evoque Prata"/>
    <n v="3"/>
    <x v="245"/>
    <n v="852"/>
    <n v="0"/>
    <n v="174006928"/>
    <s v="no"/>
    <n v="14"/>
    <n v="1"/>
    <n v="50"/>
    <n v="0"/>
    <n v="0"/>
    <n v="87"/>
    <s v="G"/>
    <s v="Major"/>
    <n v="87"/>
    <n v="52"/>
    <n v="52"/>
    <n v="31"/>
    <n v="0"/>
    <n v="28"/>
    <n v="24"/>
  </r>
  <r>
    <x v="279"/>
    <s v="How Do I Say Goodbye"/>
    <n v="1"/>
    <x v="208"/>
    <n v="2163"/>
    <n v="15"/>
    <n v="284785823"/>
    <s v="yes"/>
    <n v="72"/>
    <n v="97"/>
    <n v="58"/>
    <n v="0"/>
    <n v="154"/>
    <n v="82"/>
    <s v="G#"/>
    <s v="Major"/>
    <n v="40"/>
    <n v="39"/>
    <n v="64"/>
    <n v="21"/>
    <n v="0"/>
    <n v="7"/>
    <n v="7"/>
  </r>
  <r>
    <x v="280"/>
    <s v="Blind"/>
    <n v="1"/>
    <x v="73"/>
    <n v="1484"/>
    <n v="0"/>
    <n v="163284000"/>
    <s v="no"/>
    <n v="22"/>
    <n v="51"/>
    <n v="12"/>
    <n v="0"/>
    <n v="0"/>
    <n v="114"/>
    <s v="A"/>
    <s v="Minor"/>
    <n v="46"/>
    <n v="60"/>
    <n v="28"/>
    <n v="91"/>
    <n v="0"/>
    <n v="21"/>
    <n v="4"/>
  </r>
  <r>
    <x v="280"/>
    <s v="Die For You"/>
    <n v="1"/>
    <x v="158"/>
    <n v="1703"/>
    <n v="0"/>
    <n v="246390068"/>
    <s v="yes"/>
    <n v="38"/>
    <n v="45"/>
    <n v="36"/>
    <n v="16"/>
    <n v="0"/>
    <n v="148"/>
    <s v="G#"/>
    <s v="Major"/>
    <n v="47"/>
    <n v="15"/>
    <n v="52"/>
    <n v="38"/>
    <n v="13"/>
    <n v="29"/>
    <n v="5"/>
  </r>
  <r>
    <x v="281"/>
    <s v="Doja"/>
    <n v="1"/>
    <x v="98"/>
    <n v="4169"/>
    <n v="44"/>
    <n v="482257456"/>
    <s v="yes"/>
    <n v="57"/>
    <n v="44"/>
    <n v="183"/>
    <n v="1"/>
    <n v="11"/>
    <n v="140"/>
    <s v="F#"/>
    <s v="Major"/>
    <n v="91"/>
    <n v="97"/>
    <n v="57"/>
    <n v="38"/>
    <n v="0"/>
    <n v="40"/>
    <n v="29"/>
  </r>
  <r>
    <x v="282"/>
    <s v="Gatita"/>
    <n v="1"/>
    <x v="246"/>
    <n v="1054"/>
    <n v="0"/>
    <n v="168684524"/>
    <s v="no"/>
    <n v="9"/>
    <n v="0"/>
    <n v="15"/>
    <n v="0"/>
    <n v="1"/>
    <n v="101"/>
    <s v="G"/>
    <s v="Major"/>
    <n v="90"/>
    <n v="76"/>
    <n v="81"/>
    <n v="15"/>
    <n v="24"/>
    <n v="33"/>
    <n v="6"/>
  </r>
  <r>
    <x v="283"/>
    <s v="Rumble"/>
    <n v="3"/>
    <x v="247"/>
    <n v="2849"/>
    <n v="0"/>
    <n v="78489819"/>
    <s v="no"/>
    <n v="39"/>
    <n v="45"/>
    <n v="27"/>
    <n v="0"/>
    <n v="1"/>
    <n v="140"/>
    <s v="C#"/>
    <s v="Minor"/>
    <n v="81"/>
    <n v="6"/>
    <n v="84"/>
    <n v="5"/>
    <n v="23"/>
    <n v="6"/>
    <n v="6"/>
  </r>
  <r>
    <x v="284"/>
    <s v="Niagara Falls (Foot or 2) [with Travis Scott &amp; 21 Savage]"/>
    <n v="3"/>
    <x v="28"/>
    <n v="1602"/>
    <n v="0"/>
    <n v="195516622"/>
    <s v="no"/>
    <n v="12"/>
    <n v="22"/>
    <n v="12"/>
    <n v="0"/>
    <n v="2"/>
    <n v="88"/>
    <s v="G"/>
    <s v="Minor"/>
    <n v="49"/>
    <n v="24"/>
    <n v="66"/>
    <n v="19"/>
    <n v="0"/>
    <n v="18"/>
    <n v="29"/>
  </r>
  <r>
    <x v="285"/>
    <s v="Yonaguni"/>
    <n v="1"/>
    <x v="248"/>
    <n v="9644"/>
    <n v="28"/>
    <n v="1260594497"/>
    <s v="yes"/>
    <n v="120"/>
    <n v="86"/>
    <n v="164"/>
    <n v="4"/>
    <n v="0"/>
    <n v="180"/>
    <s v="C#"/>
    <s v="Major"/>
    <n v="64"/>
    <n v="44"/>
    <n v="65"/>
    <n v="28"/>
    <n v="0"/>
    <n v="14"/>
    <n v="12"/>
  </r>
  <r>
    <x v="286"/>
    <s v="Super Freaky Girl"/>
    <n v="1"/>
    <x v="249"/>
    <n v="4827"/>
    <n v="0"/>
    <n v="428685680"/>
    <s v="yes"/>
    <n v="104"/>
    <n v="17"/>
    <n v="76"/>
    <n v="9"/>
    <n v="2"/>
    <n v="133"/>
    <s v="D"/>
    <s v="Major"/>
    <n v="95"/>
    <n v="91"/>
    <n v="89"/>
    <n v="6"/>
    <n v="0"/>
    <n v="31"/>
    <n v="24"/>
  </r>
  <r>
    <x v="287"/>
    <s v="Running Up That Hill (A Deal With God)"/>
    <n v="1"/>
    <x v="250"/>
    <n v="21811"/>
    <n v="0"/>
    <n v="1024858327"/>
    <s v="yes"/>
    <n v="117"/>
    <n v="1"/>
    <n v="676"/>
    <n v="3"/>
    <n v="0"/>
    <n v="108"/>
    <s v="A#"/>
    <s v="Minor"/>
    <n v="63"/>
    <n v="20"/>
    <n v="55"/>
    <n v="72"/>
    <n v="0"/>
    <n v="6"/>
    <n v="6"/>
  </r>
  <r>
    <x v="287"/>
    <s v="Dream On"/>
    <n v="1"/>
    <x v="251"/>
    <n v="168"/>
    <n v="0"/>
    <n v="838586769"/>
    <s v="yes"/>
    <n v="0"/>
    <n v="0"/>
    <n v="5"/>
    <n v="0"/>
    <n v="0"/>
    <n v="80"/>
    <s v="F"/>
    <s v="Minor"/>
    <n v="39"/>
    <n v="24"/>
    <n v="43"/>
    <n v="39"/>
    <n v="0"/>
    <n v="23"/>
    <n v="3"/>
  </r>
  <r>
    <x v="287"/>
    <s v="Limbo"/>
    <n v="1"/>
    <x v="252"/>
    <n v="688"/>
    <n v="0"/>
    <n v="199386237"/>
    <s v="no"/>
    <n v="14"/>
    <n v="1"/>
    <n v="17"/>
    <n v="0"/>
    <n v="2"/>
    <n v="75"/>
    <s v="B"/>
    <s v="Minor"/>
    <n v="80"/>
    <n v="46"/>
    <n v="62"/>
    <n v="3"/>
    <n v="6"/>
    <n v="11"/>
    <n v="46"/>
  </r>
  <r>
    <x v="288"/>
    <s v="Where Are You Now"/>
    <n v="2"/>
    <x v="253"/>
    <n v="10565"/>
    <n v="44"/>
    <n v="972509632"/>
    <s v="yes"/>
    <n v="238"/>
    <n v="122"/>
    <n v="557"/>
    <n v="17"/>
    <n v="58"/>
    <n v="121"/>
    <s v="F#"/>
    <s v="Minor"/>
    <n v="67"/>
    <n v="26"/>
    <n v="64"/>
    <n v="52"/>
    <n v="0"/>
    <n v="17"/>
    <n v="10"/>
  </r>
  <r>
    <x v="289"/>
    <s v="WORTH NOTHING"/>
    <n v="2"/>
    <x v="254"/>
    <n v="1612"/>
    <n v="0"/>
    <n v="213438580"/>
    <s v="yes"/>
    <n v="34"/>
    <n v="54"/>
    <n v="34"/>
    <n v="0"/>
    <n v="2"/>
    <n v="140"/>
    <s v="D"/>
    <s v="Minor"/>
    <n v="58"/>
    <n v="17"/>
    <n v="62"/>
    <n v="18"/>
    <n v="0"/>
    <n v="20"/>
    <n v="8"/>
  </r>
  <r>
    <x v="290"/>
    <s v="Bad Habits"/>
    <n v="1"/>
    <x v="255"/>
    <n v="12755"/>
    <n v="8"/>
    <n v="1555511105"/>
    <s v="yes"/>
    <n v="344"/>
    <n v="97"/>
    <n v="945"/>
    <n v="15"/>
    <m/>
    <n v="126"/>
    <s v="B"/>
    <s v="Minor"/>
    <n v="81"/>
    <n v="59"/>
    <n v="90"/>
    <n v="5"/>
    <n v="0"/>
    <n v="36"/>
    <n v="3"/>
  </r>
  <r>
    <x v="291"/>
    <s v="KICK BACK"/>
    <n v="1"/>
    <x v="145"/>
    <n v="574"/>
    <n v="4"/>
    <n v="210038833"/>
    <s v="yes"/>
    <n v="38"/>
    <n v="101"/>
    <n v="26"/>
    <n v="0"/>
    <n v="0"/>
    <n v="102"/>
    <s v="C#"/>
    <s v="Major"/>
    <n v="58"/>
    <n v="29"/>
    <n v="94"/>
    <n v="0"/>
    <n v="0"/>
    <n v="9"/>
    <n v="11"/>
  </r>
  <r>
    <x v="291"/>
    <s v="Evergreen (You Didnï¿½ï¿½ï¿½t Deserve Me A"/>
    <n v="1"/>
    <x v="165"/>
    <n v="2499"/>
    <n v="0"/>
    <n v="227918678"/>
    <s v="yes"/>
    <n v="70"/>
    <n v="0"/>
    <n v="49"/>
    <n v="0"/>
    <n v="0"/>
    <n v="82"/>
    <s v="A"/>
    <s v="Major"/>
    <n v="70"/>
    <n v="31"/>
    <n v="34"/>
    <n v="60"/>
    <n v="1"/>
    <n v="11"/>
    <n v="4"/>
  </r>
  <r>
    <x v="291"/>
    <s v="Good Days"/>
    <n v="1"/>
    <x v="256"/>
    <n v="10426"/>
    <n v="2"/>
    <n v="826623384"/>
    <s v="yes"/>
    <n v="133"/>
    <n v="109"/>
    <n v="182"/>
    <n v="1"/>
    <n v="10"/>
    <n v="121"/>
    <s v="C#"/>
    <s v="Minor"/>
    <n v="46"/>
    <n v="53"/>
    <n v="78"/>
    <n v="23"/>
    <n v="0"/>
    <n v="72"/>
    <n v="6"/>
  </r>
  <r>
    <x v="291"/>
    <s v="Levitating (feat. DaBaby)"/>
    <n v="2"/>
    <x v="257"/>
    <n v="15894"/>
    <n v="8"/>
    <n v="1802514301"/>
    <s v="yes"/>
    <n v="198"/>
    <n v="13"/>
    <n v="544"/>
    <n v="0"/>
    <n v="60"/>
    <n v="103"/>
    <s v="F#"/>
    <s v="Minor"/>
    <n v="70"/>
    <n v="92"/>
    <n v="83"/>
    <n v="1"/>
    <n v="0"/>
    <n v="7"/>
    <n v="6"/>
  </r>
  <r>
    <x v="292"/>
    <s v="Woman"/>
    <n v="1"/>
    <x v="258"/>
    <n v="9424"/>
    <n v="0"/>
    <n v="1329090101"/>
    <s v="yes"/>
    <n v="202"/>
    <n v="50"/>
    <n v="463"/>
    <n v="4"/>
    <m/>
    <n v="108"/>
    <s v="F"/>
    <s v="Minor"/>
    <n v="82"/>
    <n v="88"/>
    <n v="76"/>
    <n v="9"/>
    <n v="0"/>
    <n v="12"/>
    <n v="9"/>
  </r>
  <r>
    <x v="293"/>
    <s v="Shut up My Moms Calling - (Sped Up)"/>
    <n v="1"/>
    <x v="259"/>
    <n v="713"/>
    <n v="7"/>
    <n v="181831132"/>
    <s v="no"/>
    <n v="2"/>
    <n v="4"/>
    <n v="6"/>
    <n v="0"/>
    <n v="0"/>
    <n v="85"/>
    <s v="F"/>
    <s v="Minor"/>
    <n v="65"/>
    <n v="36"/>
    <n v="47"/>
    <n v="31"/>
    <n v="0"/>
    <n v="12"/>
    <n v="10"/>
  </r>
  <r>
    <x v="294"/>
    <s v="Ferrari"/>
    <n v="2"/>
    <x v="260"/>
    <n v="7758"/>
    <n v="28"/>
    <n v="462791599"/>
    <s v="yes"/>
    <n v="173"/>
    <n v="79"/>
    <n v="175"/>
    <n v="0"/>
    <n v="168"/>
    <n v="125"/>
    <s v="C#"/>
    <s v="Minor"/>
    <n v="84"/>
    <n v="70"/>
    <n v="69"/>
    <n v="1"/>
    <n v="0"/>
    <n v="5"/>
    <n v="5"/>
  </r>
  <r>
    <x v="295"/>
    <s v="You're On Your Own, Kid"/>
    <n v="1"/>
    <x v="29"/>
    <n v="2537"/>
    <n v="2"/>
    <n v="348647203"/>
    <s v="yes"/>
    <n v="8"/>
    <n v="18"/>
    <n v="20"/>
    <n v="0"/>
    <n v="1"/>
    <n v="120"/>
    <s v="D"/>
    <s v="Major"/>
    <n v="69"/>
    <n v="40"/>
    <n v="39"/>
    <n v="41"/>
    <n v="0"/>
    <n v="13"/>
    <n v="6"/>
  </r>
  <r>
    <x v="296"/>
    <s v="Kesariya (From &quot;Brahmastra&quot;)"/>
    <n v="3"/>
    <x v="59"/>
    <n v="292"/>
    <n v="6"/>
    <n v="366599607"/>
    <s v="yes"/>
    <n v="26"/>
    <n v="98"/>
    <n v="4"/>
    <n v="0"/>
    <n v="0"/>
    <n v="94"/>
    <m/>
    <s v="Major"/>
    <n v="58"/>
    <n v="44"/>
    <n v="57"/>
    <n v="57"/>
    <n v="0"/>
    <n v="10"/>
    <n v="3"/>
  </r>
  <r>
    <x v="297"/>
    <s v="Agudo Mï¿½ï¿½gi"/>
    <n v="3"/>
    <x v="261"/>
    <n v="323"/>
    <n v="0"/>
    <n v="90598517"/>
    <s v="no"/>
    <n v="4"/>
    <n v="0"/>
    <n v="14"/>
    <n v="0"/>
    <n v="0"/>
    <n v="130"/>
    <s v="F#"/>
    <s v="Minor"/>
    <n v="65"/>
    <n v="49"/>
    <n v="80"/>
    <n v="22"/>
    <n v="4"/>
    <n v="7"/>
    <n v="5"/>
  </r>
  <r>
    <x v="298"/>
    <s v="Payphone"/>
    <n v="2"/>
    <x v="76"/>
    <n v="14143"/>
    <n v="4"/>
    <n v="1479264469"/>
    <s v="yes"/>
    <n v="56"/>
    <n v="38"/>
    <n v="1891"/>
    <n v="1"/>
    <m/>
    <n v="110"/>
    <s v="E"/>
    <s v="Major"/>
    <n v="74"/>
    <n v="51"/>
    <n v="74"/>
    <n v="2"/>
    <n v="0"/>
    <n v="29"/>
    <n v="4"/>
  </r>
  <r>
    <x v="299"/>
    <s v="All I Want for Christmas Is You"/>
    <n v="1"/>
    <x v="262"/>
    <n v="25653"/>
    <n v="0"/>
    <n v="1449779435"/>
    <s v="yes"/>
    <n v="387"/>
    <n v="132"/>
    <n v="2094"/>
    <n v="0"/>
    <m/>
    <n v="150"/>
    <s v="G"/>
    <s v="Major"/>
    <n v="34"/>
    <n v="33"/>
    <n v="63"/>
    <n v="16"/>
    <n v="0"/>
    <n v="7"/>
    <n v="4"/>
  </r>
  <r>
    <x v="300"/>
    <s v="Last Christmas"/>
    <n v="1"/>
    <x v="263"/>
    <n v="22153"/>
    <n v="0"/>
    <n v="1159176109"/>
    <s v="yes"/>
    <n v="274"/>
    <n v="111"/>
    <n v="1302"/>
    <n v="0"/>
    <m/>
    <n v="107"/>
    <s v="B"/>
    <s v="Minor"/>
    <n v="74"/>
    <n v="88"/>
    <n v="65"/>
    <n v="28"/>
    <n v="0"/>
    <n v="46"/>
    <n v="3"/>
  </r>
  <r>
    <x v="301"/>
    <s v="Rockin' Around The Christmas Tree"/>
    <n v="1"/>
    <x v="264"/>
    <n v="14994"/>
    <n v="0"/>
    <n v="769213520"/>
    <s v="yes"/>
    <n v="191"/>
    <n v="168"/>
    <n v="206"/>
    <n v="0"/>
    <m/>
    <n v="140"/>
    <s v="G#"/>
    <s v="Major"/>
    <n v="70"/>
    <n v="85"/>
    <n v="41"/>
    <n v="71"/>
    <n v="0"/>
    <n v="45"/>
    <n v="5"/>
  </r>
  <r>
    <x v="302"/>
    <s v="Jingle Bell Rock"/>
    <n v="1"/>
    <x v="265"/>
    <n v="10326"/>
    <n v="0"/>
    <n v="741301563"/>
    <s v="yes"/>
    <n v="165"/>
    <n v="99"/>
    <n v="104"/>
    <n v="0"/>
    <m/>
    <n v="119"/>
    <s v="D"/>
    <s v="Major"/>
    <n v="74"/>
    <n v="78"/>
    <n v="37"/>
    <n v="84"/>
    <n v="0"/>
    <n v="6"/>
    <n v="3"/>
  </r>
  <r>
    <x v="302"/>
    <s v="It's Beginning To Look A Lot Like Christmas"/>
    <n v="1"/>
    <x v="266"/>
    <n v="12353"/>
    <n v="0"/>
    <n v="807561936"/>
    <s v="yes"/>
    <n v="35"/>
    <n v="0"/>
    <n v="549"/>
    <n v="0"/>
    <n v="0"/>
    <n v="93"/>
    <s v="E"/>
    <s v="Major"/>
    <n v="35"/>
    <n v="38"/>
    <n v="23"/>
    <n v="91"/>
    <n v="0"/>
    <n v="29"/>
    <n v="3"/>
  </r>
  <r>
    <x v="302"/>
    <s v="Santa Tell Me"/>
    <n v="1"/>
    <x v="267"/>
    <n v="9408"/>
    <n v="0"/>
    <n v="834129063"/>
    <s v="yes"/>
    <n v="231"/>
    <n v="106"/>
    <n v="439"/>
    <n v="0"/>
    <m/>
    <n v="133"/>
    <s v="G"/>
    <s v="Major"/>
    <n v="46"/>
    <n v="53"/>
    <n v="63"/>
    <n v="5"/>
    <n v="0"/>
    <n v="30"/>
    <n v="18"/>
  </r>
  <r>
    <x v="302"/>
    <s v="It's the Most Wonderful Time of the Year"/>
    <n v="1"/>
    <x v="268"/>
    <n v="8879"/>
    <n v="0"/>
    <n v="663832097"/>
    <s v="yes"/>
    <n v="182"/>
    <n v="107"/>
    <n v="160"/>
    <n v="0"/>
    <n v="1"/>
    <n v="202"/>
    <s v="G"/>
    <s v="Major"/>
    <n v="24"/>
    <n v="76"/>
    <n v="60"/>
    <n v="77"/>
    <n v="0"/>
    <n v="12"/>
    <n v="4"/>
  </r>
  <r>
    <x v="302"/>
    <s v="Let It Snow! Let It Snow! Let It Snow!"/>
    <n v="1"/>
    <x v="269"/>
    <n v="6512"/>
    <n v="0"/>
    <n v="446390129"/>
    <s v="yes"/>
    <n v="88"/>
    <n v="1"/>
    <n v="277"/>
    <n v="0"/>
    <n v="0"/>
    <n v="134"/>
    <s v="C#"/>
    <s v="Major"/>
    <n v="45"/>
    <n v="72"/>
    <n v="24"/>
    <n v="91"/>
    <n v="0"/>
    <n v="18"/>
    <n v="4"/>
  </r>
  <r>
    <x v="302"/>
    <s v="Snowman"/>
    <n v="1"/>
    <x v="97"/>
    <n v="5140"/>
    <n v="0"/>
    <n v="690104769"/>
    <s v="yes"/>
    <n v="85"/>
    <n v="110"/>
    <n v="500"/>
    <n v="0"/>
    <m/>
    <n v="105"/>
    <s v="C#"/>
    <s v="Major"/>
    <n v="72"/>
    <n v="33"/>
    <n v="51"/>
    <n v="48"/>
    <n v="0"/>
    <n v="9"/>
    <n v="3"/>
  </r>
  <r>
    <x v="302"/>
    <s v="Underneath the Tree"/>
    <n v="1"/>
    <x v="270"/>
    <n v="6596"/>
    <n v="0"/>
    <n v="485285717"/>
    <s v="yes"/>
    <n v="144"/>
    <n v="99"/>
    <n v="251"/>
    <n v="0"/>
    <n v="0"/>
    <n v="160"/>
    <s v="G#"/>
    <s v="Major"/>
    <n v="51"/>
    <n v="69"/>
    <n v="81"/>
    <n v="0"/>
    <n v="0"/>
    <n v="21"/>
    <n v="5"/>
  </r>
  <r>
    <x v="302"/>
    <s v="Feliz Navidad"/>
    <n v="1"/>
    <x v="271"/>
    <n v="3788"/>
    <n v="0"/>
    <n v="520034544"/>
    <s v="yes"/>
    <n v="21"/>
    <n v="3"/>
    <n v="10"/>
    <n v="0"/>
    <n v="0"/>
    <n v="148"/>
    <s v="D"/>
    <s v="Major"/>
    <n v="50"/>
    <n v="96"/>
    <n v="82"/>
    <n v="47"/>
    <n v="0"/>
    <n v="34"/>
    <n v="4"/>
  </r>
  <r>
    <x v="302"/>
    <s v="Holly Jolly Christmas"/>
    <n v="1"/>
    <x v="266"/>
    <n v="7655"/>
    <n v="0"/>
    <n v="476244795"/>
    <s v="yes"/>
    <n v="5"/>
    <n v="0"/>
    <n v="291"/>
    <n v="0"/>
    <n v="0"/>
    <n v="151"/>
    <s v="G"/>
    <s v="Major"/>
    <n v="65"/>
    <n v="70"/>
    <n v="47"/>
    <n v="87"/>
    <n v="0"/>
    <n v="9"/>
    <n v="4"/>
  </r>
  <r>
    <x v="302"/>
    <s v="Mistletoe"/>
    <n v="1"/>
    <x v="74"/>
    <n v="9577"/>
    <n v="0"/>
    <n v="629173063"/>
    <s v="yes"/>
    <n v="195"/>
    <n v="111"/>
    <n v="310"/>
    <n v="0"/>
    <n v="0"/>
    <n v="162"/>
    <s v="F#"/>
    <s v="Minor"/>
    <n v="67"/>
    <n v="88"/>
    <n v="54"/>
    <n v="51"/>
    <n v="0"/>
    <n v="9"/>
    <n v="4"/>
  </r>
  <r>
    <x v="302"/>
    <s v="Sleigh Ride"/>
    <n v="1"/>
    <x v="272"/>
    <n v="10114"/>
    <n v="0"/>
    <n v="404664135"/>
    <s v="yes"/>
    <n v="114"/>
    <n v="74"/>
    <n v="262"/>
    <n v="0"/>
    <n v="0"/>
    <n v="92"/>
    <s v="D"/>
    <s v="Major"/>
    <n v="53"/>
    <n v="84"/>
    <n v="77"/>
    <n v="40"/>
    <n v="0"/>
    <n v="32"/>
    <n v="3"/>
  </r>
  <r>
    <x v="302"/>
    <s v="Seek &amp; Destroy"/>
    <n v="1"/>
    <x v="73"/>
    <n v="1007"/>
    <n v="0"/>
    <n v="98709329"/>
    <s v="no"/>
    <n v="5"/>
    <n v="31"/>
    <n v="1"/>
    <n v="0"/>
    <n v="0"/>
    <n v="152"/>
    <s v="C#"/>
    <s v="Major"/>
    <n v="65"/>
    <n v="35"/>
    <n v="65"/>
    <n v="44"/>
    <n v="18"/>
    <n v="21"/>
    <n v="7"/>
  </r>
  <r>
    <x v="303"/>
    <s v="Love Language"/>
    <n v="1"/>
    <x v="73"/>
    <n v="1127"/>
    <n v="0"/>
    <n v="110849052"/>
    <s v="no"/>
    <n v="16"/>
    <n v="63"/>
    <n v="8"/>
    <n v="0"/>
    <n v="0"/>
    <n v="65"/>
    <s v="A"/>
    <s v="Minor"/>
    <n v="71"/>
    <n v="55"/>
    <n v="26"/>
    <n v="85"/>
    <n v="0"/>
    <n v="13"/>
    <n v="8"/>
  </r>
  <r>
    <x v="304"/>
    <s v="Happy Xmas (War Is Over)"/>
    <n v="4"/>
    <x v="273"/>
    <n v="10829"/>
    <n v="0"/>
    <n v="460492795"/>
    <s v="yes"/>
    <n v="130"/>
    <n v="1"/>
    <n v="390"/>
    <n v="0"/>
    <n v="0"/>
    <n v="147"/>
    <s v="D"/>
    <s v="Major"/>
    <n v="33"/>
    <n v="39"/>
    <n v="61"/>
    <n v="32"/>
    <n v="0"/>
    <n v="77"/>
    <n v="3"/>
  </r>
  <r>
    <x v="305"/>
    <s v="Used (feat. Don Toliver)"/>
    <n v="2"/>
    <x v="14"/>
    <n v="1042"/>
    <n v="0"/>
    <n v="94005786"/>
    <s v="no"/>
    <n v="7"/>
    <n v="29"/>
    <n v="3"/>
    <n v="0"/>
    <n v="0"/>
    <n v="150"/>
    <s v="A#"/>
    <s v="Minor"/>
    <n v="73"/>
    <n v="71"/>
    <n v="69"/>
    <n v="53"/>
    <n v="0"/>
    <n v="32"/>
    <n v="9"/>
  </r>
  <r>
    <x v="306"/>
    <s v="A Holly Jolly Christmas - Single Version"/>
    <n v="1"/>
    <x v="274"/>
    <n v="7930"/>
    <n v="0"/>
    <n v="395591396"/>
    <s v="yes"/>
    <n v="108"/>
    <n v="120"/>
    <n v="73"/>
    <n v="0"/>
    <n v="0"/>
    <n v="140"/>
    <m/>
    <s v="Major"/>
    <n v="67"/>
    <n v="81"/>
    <n v="36"/>
    <n v="64"/>
    <n v="0"/>
    <n v="15"/>
    <n v="3"/>
  </r>
  <r>
    <x v="307"/>
    <s v="The Christmas Song (Merry Christmas To You) - Remastered 1999"/>
    <n v="1"/>
    <x v="275"/>
    <n v="11500"/>
    <n v="0"/>
    <n v="389771964"/>
    <s v="yes"/>
    <n v="140"/>
    <n v="72"/>
    <n v="251"/>
    <n v="0"/>
    <n v="0"/>
    <n v="139"/>
    <s v="C#"/>
    <s v="Major"/>
    <n v="36"/>
    <n v="22"/>
    <n v="15"/>
    <n v="84"/>
    <n v="0"/>
    <n v="11"/>
    <n v="4"/>
  </r>
  <r>
    <x v="308"/>
    <s v="Wonderful Christmastime - Edited Version / Remastered 2011"/>
    <n v="1"/>
    <x v="276"/>
    <n v="1685"/>
    <n v="0"/>
    <n v="403939487"/>
    <s v="yes"/>
    <n v="1"/>
    <n v="0"/>
    <n v="29"/>
    <n v="0"/>
    <n v="0"/>
    <n v="95"/>
    <s v="B"/>
    <s v="Major"/>
    <n v="75"/>
    <n v="74"/>
    <n v="58"/>
    <n v="36"/>
    <n v="0"/>
    <n v="9"/>
    <n v="3"/>
  </r>
  <r>
    <x v="309"/>
    <s v="Do They Know It's Christmas? - 1984 Version"/>
    <n v="1"/>
    <x v="277"/>
    <n v="14169"/>
    <n v="0"/>
    <n v="481697415"/>
    <s v="yes"/>
    <n v="209"/>
    <n v="30"/>
    <n v="449"/>
    <n v="0"/>
    <n v="0"/>
    <n v="115"/>
    <m/>
    <s v="Major"/>
    <n v="60"/>
    <n v="23"/>
    <n v="57"/>
    <n v="0"/>
    <n v="2"/>
    <n v="27"/>
    <n v="3"/>
  </r>
  <r>
    <x v="310"/>
    <s v="Ghost in the Machine (feat. Phoebe Bridgers)"/>
    <n v="2"/>
    <x v="73"/>
    <n v="1634"/>
    <n v="0"/>
    <n v="110073250"/>
    <s v="no"/>
    <n v="16"/>
    <n v="20"/>
    <n v="4"/>
    <n v="0"/>
    <n v="0"/>
    <n v="125"/>
    <s v="F#"/>
    <s v="Major"/>
    <n v="62"/>
    <n v="59"/>
    <n v="43"/>
    <n v="84"/>
    <n v="3"/>
    <n v="11"/>
    <n v="5"/>
  </r>
  <r>
    <x v="311"/>
    <s v="Special"/>
    <n v="1"/>
    <x v="73"/>
    <n v="906"/>
    <n v="0"/>
    <n v="88092256"/>
    <s v="no"/>
    <n v="6"/>
    <n v="21"/>
    <n v="3"/>
    <n v="0"/>
    <n v="0"/>
    <n v="76"/>
    <m/>
    <s v="Major"/>
    <n v="60"/>
    <n v="19"/>
    <n v="20"/>
    <n v="78"/>
    <n v="0"/>
    <n v="11"/>
    <n v="5"/>
  </r>
  <r>
    <x v="312"/>
    <s v="Merry Christmas Everyone"/>
    <n v="1"/>
    <x v="263"/>
    <n v="1087"/>
    <n v="0"/>
    <n v="351636786"/>
    <s v="yes"/>
    <n v="90"/>
    <n v="35"/>
    <n v="5"/>
    <n v="0"/>
    <n v="0"/>
    <n v="101"/>
    <s v="C#"/>
    <s v="Minor"/>
    <n v="72"/>
    <n v="91"/>
    <n v="87"/>
    <n v="14"/>
    <n v="0"/>
    <n v="13"/>
    <n v="3"/>
  </r>
  <r>
    <x v="313"/>
    <s v="Let It Snow! Let It Snow! Let It Snow!"/>
    <n v="2"/>
    <x v="278"/>
    <n v="10585"/>
    <n v="0"/>
    <n v="473248298"/>
    <s v="yes"/>
    <n v="126"/>
    <n v="108"/>
    <n v="406"/>
    <n v="0"/>
    <n v="0"/>
    <n v="143"/>
    <s v="D"/>
    <s v="Major"/>
    <n v="60"/>
    <n v="86"/>
    <n v="32"/>
    <n v="88"/>
    <n v="0"/>
    <n v="34"/>
    <n v="6"/>
  </r>
  <r>
    <x v="314"/>
    <s v="SOS"/>
    <n v="1"/>
    <x v="73"/>
    <n v="827"/>
    <n v="0"/>
    <n v="73981293"/>
    <s v="no"/>
    <n v="6"/>
    <n v="18"/>
    <n v="1"/>
    <n v="0"/>
    <n v="0"/>
    <n v="119"/>
    <s v="G"/>
    <s v="Minor"/>
    <n v="51"/>
    <n v="51"/>
    <n v="66"/>
    <n v="67"/>
    <n v="0"/>
    <n v="9"/>
    <n v="23"/>
  </r>
  <r>
    <x v="315"/>
    <s v="Open Arms (feat. Travis Scott)"/>
    <n v="2"/>
    <x v="14"/>
    <n v="1420"/>
    <n v="4"/>
    <n v="155653938"/>
    <s v="no"/>
    <n v="13"/>
    <n v="87"/>
    <n v="17"/>
    <n v="0"/>
    <n v="46"/>
    <n v="78"/>
    <s v="A"/>
    <s v="Major"/>
    <n v="67"/>
    <n v="22"/>
    <n v="59"/>
    <n v="76"/>
    <n v="1"/>
    <n v="15"/>
    <n v="16"/>
  </r>
  <r>
    <x v="316"/>
    <s v="White Christmas"/>
    <n v="3"/>
    <x v="279"/>
    <n v="11940"/>
    <n v="0"/>
    <n v="395591396"/>
    <s v="yes"/>
    <n v="73"/>
    <n v="79"/>
    <n v="123"/>
    <n v="0"/>
    <n v="0"/>
    <n v="96"/>
    <s v="A"/>
    <s v="Major"/>
    <n v="23"/>
    <n v="19"/>
    <n v="25"/>
    <n v="91"/>
    <n v="0"/>
    <n v="40"/>
    <n v="3"/>
  </r>
  <r>
    <x v="317"/>
    <s v="Driving Home for Christmas - 2019 Remaster"/>
    <n v="1"/>
    <x v="280"/>
    <n v="888"/>
    <n v="0"/>
    <n v="429504768"/>
    <s v="yes"/>
    <n v="50"/>
    <n v="0"/>
    <n v="6"/>
    <n v="0"/>
    <n v="0"/>
    <n v="180"/>
    <s v="A"/>
    <s v="Major"/>
    <n v="51"/>
    <n v="87"/>
    <n v="58"/>
    <n v="36"/>
    <n v="0"/>
    <n v="18"/>
    <n v="4"/>
  </r>
  <r>
    <x v="318"/>
    <s v="Christmas (Baby Please Come Home)"/>
    <n v="1"/>
    <x v="272"/>
    <n v="9122"/>
    <n v="0"/>
    <n v="242767149"/>
    <s v="yes"/>
    <n v="121"/>
    <n v="58"/>
    <n v="212"/>
    <n v="0"/>
    <n v="0"/>
    <n v="126"/>
    <s v="D#"/>
    <s v="Major"/>
    <n v="34"/>
    <n v="35"/>
    <n v="76"/>
    <n v="39"/>
    <n v="0"/>
    <n v="8"/>
    <n v="5"/>
  </r>
  <r>
    <x v="319"/>
    <s v="Gone Girl"/>
    <n v="1"/>
    <x v="73"/>
    <n v="892"/>
    <n v="0"/>
    <n v="65362788"/>
    <s v="no"/>
    <n v="3"/>
    <n v="17"/>
    <n v="2"/>
    <n v="0"/>
    <n v="0"/>
    <n v="150"/>
    <s v="F"/>
    <s v="Major"/>
    <n v="43"/>
    <n v="42"/>
    <n v="44"/>
    <n v="57"/>
    <n v="0"/>
    <n v="15"/>
    <n v="6"/>
  </r>
  <r>
    <x v="320"/>
    <s v="F2F"/>
    <n v="1"/>
    <x v="73"/>
    <n v="989"/>
    <n v="0"/>
    <n v="67540165"/>
    <s v="no"/>
    <n v="5"/>
    <n v="9"/>
    <n v="1"/>
    <n v="0"/>
    <n v="0"/>
    <n v="90"/>
    <s v="D"/>
    <s v="Major"/>
    <n v="53"/>
    <n v="47"/>
    <n v="74"/>
    <n v="9"/>
    <n v="0"/>
    <n v="34"/>
    <n v="4"/>
  </r>
  <r>
    <x v="321"/>
    <s v="Notice Me"/>
    <n v="1"/>
    <x v="73"/>
    <n v="819"/>
    <n v="0"/>
    <n v="62019074"/>
    <s v="no"/>
    <n v="14"/>
    <n v="22"/>
    <n v="0"/>
    <n v="0"/>
    <n v="0"/>
    <n v="160"/>
    <s v="F"/>
    <s v="Major"/>
    <n v="72"/>
    <n v="78"/>
    <n v="68"/>
    <n v="28"/>
    <n v="0"/>
    <n v="11"/>
    <n v="12"/>
  </r>
  <r>
    <x v="322"/>
    <s v="Merry Christmas"/>
    <n v="2"/>
    <x v="79"/>
    <n v="2209"/>
    <n v="0"/>
    <n v="135723538"/>
    <s v="no"/>
    <n v="72"/>
    <n v="90"/>
    <n v="141"/>
    <n v="0"/>
    <n v="0"/>
    <n v="114"/>
    <m/>
    <s v="Major"/>
    <n v="59"/>
    <n v="60"/>
    <n v="94"/>
    <n v="24"/>
    <n v="0"/>
    <n v="10"/>
    <n v="4"/>
  </r>
  <r>
    <x v="323"/>
    <s v="It's Beginning to Look a Lot Like Christmas (with Mitchell Ayres &amp; His Orchestra)"/>
    <n v="3"/>
    <x v="264"/>
    <n v="6290"/>
    <n v="0"/>
    <n v="295998468"/>
    <s v="yes"/>
    <n v="89"/>
    <n v="39"/>
    <n v="158"/>
    <n v="0"/>
    <n v="0"/>
    <n v="113"/>
    <s v="G"/>
    <s v="Major"/>
    <n v="73"/>
    <n v="72"/>
    <n v="32"/>
    <n v="77"/>
    <n v="0"/>
    <n v="15"/>
    <n v="5"/>
  </r>
  <r>
    <x v="323"/>
    <s v="My Only Wish (This Year)"/>
    <n v="1"/>
    <x v="281"/>
    <n v="6952"/>
    <n v="0"/>
    <n v="261116938"/>
    <s v="yes"/>
    <n v="115"/>
    <n v="53"/>
    <n v="286"/>
    <n v="0"/>
    <n v="0"/>
    <n v="147"/>
    <m/>
    <s v="Major"/>
    <n v="67"/>
    <n v="69"/>
    <n v="72"/>
    <n v="17"/>
    <n v="0"/>
    <n v="19"/>
    <n v="3"/>
  </r>
  <r>
    <x v="323"/>
    <s v="Antidepresan"/>
    <n v="2"/>
    <x v="158"/>
    <n v="313"/>
    <n v="2"/>
    <n v="136689549"/>
    <s v="no"/>
    <n v="10"/>
    <n v="6"/>
    <n v="7"/>
    <n v="1"/>
    <n v="9"/>
    <n v="100"/>
    <s v="B"/>
    <s v="Minor"/>
    <n v="70"/>
    <n v="92"/>
    <n v="59"/>
    <n v="3"/>
    <n v="0"/>
    <n v="10"/>
    <n v="3"/>
  </r>
  <r>
    <x v="323"/>
    <s v="Wild Flower (with youjeen)"/>
    <n v="1"/>
    <x v="28"/>
    <n v="353"/>
    <n v="2"/>
    <n v="135611421"/>
    <s v="no"/>
    <n v="2"/>
    <n v="74"/>
    <n v="14"/>
    <n v="0"/>
    <n v="2"/>
    <n v="155"/>
    <s v="G#"/>
    <s v="Major"/>
    <n v="49"/>
    <n v="42"/>
    <n v="77"/>
    <n v="3"/>
    <n v="0"/>
    <n v="12"/>
    <n v="9"/>
  </r>
  <r>
    <x v="323"/>
    <s v="I Hate U"/>
    <n v="1"/>
    <x v="185"/>
    <n v="4094"/>
    <n v="0"/>
    <n v="356709897"/>
    <s v="yes"/>
    <n v="66"/>
    <n v="96"/>
    <n v="43"/>
    <n v="0"/>
    <n v="0"/>
    <n v="107"/>
    <s v="G"/>
    <s v="Minor"/>
    <n v="54"/>
    <n v="41"/>
    <n v="39"/>
    <n v="51"/>
    <n v="0"/>
    <n v="11"/>
    <n v="16"/>
  </r>
  <r>
    <x v="323"/>
    <s v="Raindrops (Insane) [with Travis Scott]"/>
    <n v="2"/>
    <x v="28"/>
    <n v="880"/>
    <n v="0"/>
    <n v="110649992"/>
    <s v="no"/>
    <n v="3"/>
    <n v="7"/>
    <n v="10"/>
    <n v="0"/>
    <n v="0"/>
    <n v="112"/>
    <s v="G#"/>
    <s v="Major"/>
    <n v="80"/>
    <n v="15"/>
    <n v="54"/>
    <n v="9"/>
    <n v="0"/>
    <n v="38"/>
    <n v="5"/>
  </r>
  <r>
    <x v="323"/>
    <s v="SPIT IN MY FACE!"/>
    <n v="1"/>
    <x v="211"/>
    <n v="573"/>
    <n v="0"/>
    <n v="301869854"/>
    <s v="yes"/>
    <n v="1"/>
    <n v="0"/>
    <n v="18"/>
    <n v="0"/>
    <n v="24"/>
    <n v="166"/>
    <s v="C#"/>
    <s v="Major"/>
    <n v="70"/>
    <n v="57"/>
    <n v="57"/>
    <n v="9"/>
    <n v="20"/>
    <n v="11"/>
    <n v="7"/>
  </r>
  <r>
    <x v="324"/>
    <s v="Deck The Hall - Remastered 1999"/>
    <n v="1"/>
    <x v="282"/>
    <n v="3299"/>
    <n v="0"/>
    <n v="127027715"/>
    <s v="no"/>
    <n v="65"/>
    <n v="39"/>
    <n v="41"/>
    <n v="0"/>
    <n v="0"/>
    <n v="107"/>
    <s v="F#"/>
    <s v="Minor"/>
    <n v="69"/>
    <n v="96"/>
    <n v="36"/>
    <n v="81"/>
    <n v="0"/>
    <n v="8"/>
    <n v="4"/>
  </r>
  <r>
    <x v="325"/>
    <s v="Smoking on my Ex Pack"/>
    <n v="1"/>
    <x v="73"/>
    <n v="811"/>
    <n v="0"/>
    <n v="57144458"/>
    <s v="no"/>
    <n v="6"/>
    <n v="11"/>
    <n v="3"/>
    <n v="0"/>
    <n v="0"/>
    <n v="81"/>
    <s v="G#"/>
    <s v="Major"/>
    <n v="47"/>
    <n v="33"/>
    <n v="68"/>
    <n v="24"/>
    <n v="0"/>
    <n v="22"/>
    <n v="38"/>
  </r>
  <r>
    <x v="325"/>
    <s v="Conceited"/>
    <n v="1"/>
    <x v="73"/>
    <n v="899"/>
    <n v="0"/>
    <n v="56870689"/>
    <s v="no"/>
    <n v="2"/>
    <n v="14"/>
    <n v="2"/>
    <n v="0"/>
    <n v="0"/>
    <n v="150"/>
    <s v="C#"/>
    <s v="Major"/>
    <n v="79"/>
    <n v="77"/>
    <n v="46"/>
    <n v="5"/>
    <n v="0"/>
    <n v="11"/>
    <n v="7"/>
  </r>
  <r>
    <x v="326"/>
    <s v="Snow On The Beach (feat. Lana Del Rey)"/>
    <n v="2"/>
    <x v="29"/>
    <n v="2415"/>
    <n v="0"/>
    <n v="323437194"/>
    <s v="yes"/>
    <n v="33"/>
    <n v="57"/>
    <n v="30"/>
    <n v="0"/>
    <n v="11"/>
    <n v="110"/>
    <s v="A"/>
    <s v="Major"/>
    <n v="66"/>
    <n v="19"/>
    <n v="32"/>
    <n v="69"/>
    <n v="0"/>
    <n v="12"/>
    <n v="4"/>
  </r>
  <r>
    <x v="327"/>
    <s v="Maroon"/>
    <n v="1"/>
    <x v="29"/>
    <n v="2304"/>
    <n v="0"/>
    <n v="317726339"/>
    <s v="yes"/>
    <n v="12"/>
    <n v="16"/>
    <n v="14"/>
    <n v="0"/>
    <n v="0"/>
    <n v="108"/>
    <s v="G"/>
    <s v="Major"/>
    <n v="64"/>
    <n v="4"/>
    <n v="40"/>
    <n v="6"/>
    <n v="0"/>
    <n v="10"/>
    <n v="6"/>
  </r>
  <r>
    <x v="327"/>
    <s v="Tubarï¿½ï¿½o Te"/>
    <n v="4"/>
    <x v="254"/>
    <n v="1003"/>
    <n v="0"/>
    <n v="116144341"/>
    <s v="no"/>
    <n v="21"/>
    <n v="0"/>
    <n v="44"/>
    <n v="0"/>
    <n v="0"/>
    <n v="130"/>
    <s v="E"/>
    <s v="Minor"/>
    <n v="89"/>
    <n v="48"/>
    <n v="74"/>
    <n v="30"/>
    <n v="0"/>
    <n v="7"/>
    <n v="36"/>
  </r>
  <r>
    <x v="327"/>
    <s v="Bejeweled"/>
    <n v="1"/>
    <x v="29"/>
    <n v="2699"/>
    <n v="0"/>
    <n v="328207708"/>
    <s v="yes"/>
    <n v="39"/>
    <n v="35"/>
    <n v="22"/>
    <n v="2"/>
    <n v="0"/>
    <n v="164"/>
    <s v="G"/>
    <s v="Major"/>
    <n v="70"/>
    <n v="39"/>
    <n v="56"/>
    <n v="6"/>
    <n v="0"/>
    <n v="9"/>
    <n v="7"/>
  </r>
  <r>
    <x v="328"/>
    <s v="Tarot"/>
    <n v="2"/>
    <x v="67"/>
    <n v="2482"/>
    <n v="20"/>
    <n v="608228647"/>
    <s v="yes"/>
    <n v="27"/>
    <n v="77"/>
    <n v="22"/>
    <n v="2"/>
    <n v="0"/>
    <n v="114"/>
    <s v="B"/>
    <s v="Minor"/>
    <n v="80"/>
    <n v="42"/>
    <n v="68"/>
    <n v="2"/>
    <n v="0"/>
    <n v="66"/>
    <n v="4"/>
  </r>
  <r>
    <x v="329"/>
    <s v="You Make It Feel Like Christmas (feat. Blake Shelton)"/>
    <n v="2"/>
    <x v="283"/>
    <n v="2577"/>
    <n v="0"/>
    <n v="180577478"/>
    <s v="no"/>
    <n v="108"/>
    <n v="56"/>
    <n v="30"/>
    <n v="0"/>
    <n v="0"/>
    <n v="93"/>
    <s v="F"/>
    <s v="Major"/>
    <n v="63"/>
    <n v="93"/>
    <n v="88"/>
    <n v="1"/>
    <n v="0"/>
    <n v="12"/>
    <n v="4"/>
  </r>
  <r>
    <x v="330"/>
    <s v="Desesperados"/>
    <n v="2"/>
    <x v="258"/>
    <n v="6821"/>
    <n v="34"/>
    <n v="809306935"/>
    <s v="yes"/>
    <n v="83"/>
    <n v="58"/>
    <n v="128"/>
    <n v="7"/>
    <n v="0"/>
    <n v="90"/>
    <s v="C#"/>
    <s v="Minor"/>
    <n v="87"/>
    <n v="51"/>
    <n v="69"/>
    <n v="36"/>
    <n v="0"/>
    <n v="9"/>
    <n v="8"/>
  </r>
  <r>
    <x v="331"/>
    <s v="Too Late"/>
    <n v="1"/>
    <x v="14"/>
    <n v="714"/>
    <n v="0"/>
    <n v="49262961"/>
    <s v="no"/>
    <n v="0"/>
    <n v="9"/>
    <n v="2"/>
    <n v="0"/>
    <n v="0"/>
    <n v="128"/>
    <s v="B"/>
    <s v="Major"/>
    <n v="45"/>
    <n v="35"/>
    <n v="68"/>
    <n v="78"/>
    <n v="0"/>
    <n v="39"/>
    <n v="8"/>
  </r>
  <r>
    <x v="332"/>
    <s v="Party"/>
    <n v="2"/>
    <x v="67"/>
    <n v="3185"/>
    <n v="4"/>
    <n v="614555082"/>
    <s v="yes"/>
    <n v="38"/>
    <n v="64"/>
    <n v="37"/>
    <n v="3"/>
    <n v="36"/>
    <n v="97"/>
    <s v="A"/>
    <s v="Major"/>
    <n v="83"/>
    <n v="47"/>
    <n v="80"/>
    <n v="2"/>
    <n v="0"/>
    <n v="24"/>
    <n v="9"/>
  </r>
  <r>
    <x v="333"/>
    <s v="Run Rudolph Run - Single Version"/>
    <n v="1"/>
    <x v="264"/>
    <n v="8612"/>
    <n v="0"/>
    <n v="245350949"/>
    <s v="yes"/>
    <n v="120"/>
    <n v="30"/>
    <n v="52"/>
    <n v="0"/>
    <n v="1"/>
    <n v="152"/>
    <s v="G"/>
    <s v="Minor"/>
    <n v="69"/>
    <n v="94"/>
    <n v="71"/>
    <n v="79"/>
    <n v="0"/>
    <n v="7"/>
    <n v="8"/>
  </r>
  <r>
    <x v="333"/>
    <s v="Jingle Bells - Remastered 1999"/>
    <n v="1"/>
    <x v="265"/>
    <n v="4326"/>
    <n v="0"/>
    <n v="178660459"/>
    <s v="no"/>
    <n v="32"/>
    <n v="3"/>
    <n v="65"/>
    <n v="0"/>
    <n v="0"/>
    <n v="175"/>
    <s v="G#"/>
    <s v="Major"/>
    <n v="51"/>
    <n v="94"/>
    <n v="34"/>
    <n v="73"/>
    <n v="0"/>
    <n v="10"/>
    <n v="5"/>
  </r>
  <r>
    <x v="334"/>
    <s v="Far"/>
    <n v="1"/>
    <x v="73"/>
    <n v="680"/>
    <n v="0"/>
    <n v="51641685"/>
    <s v="no"/>
    <n v="2"/>
    <n v="15"/>
    <n v="1"/>
    <n v="0"/>
    <n v="0"/>
    <n v="116"/>
    <s v="D"/>
    <s v="Major"/>
    <n v="61"/>
    <n v="48"/>
    <n v="55"/>
    <n v="67"/>
    <n v="0"/>
    <n v="16"/>
    <n v="8"/>
  </r>
  <r>
    <x v="335"/>
    <s v="On Time (with John Legend)"/>
    <n v="2"/>
    <x v="28"/>
    <n v="398"/>
    <n v="0"/>
    <n v="78139948"/>
    <s v="no"/>
    <n v="2"/>
    <n v="2"/>
    <n v="6"/>
    <n v="0"/>
    <n v="2"/>
    <n v="80"/>
    <s v="F"/>
    <s v="Minor"/>
    <n v="33"/>
    <n v="51"/>
    <n v="59"/>
    <n v="76"/>
    <n v="0"/>
    <n v="44"/>
    <n v="6"/>
  </r>
  <r>
    <x v="336"/>
    <s v="GATï¿½ï¿½"/>
    <n v="2"/>
    <x v="284"/>
    <n v="3328"/>
    <n v="13"/>
    <n v="322336177"/>
    <s v="yes"/>
    <n v="39"/>
    <n v="50"/>
    <n v="57"/>
    <n v="3"/>
    <n v="1"/>
    <n v="93"/>
    <s v="B"/>
    <s v="Minor"/>
    <n v="63"/>
    <n v="34"/>
    <n v="86"/>
    <n v="26"/>
    <n v="0"/>
    <n v="21"/>
    <n v="39"/>
  </r>
  <r>
    <x v="336"/>
    <s v="ýýýabcdefu"/>
    <n v="1"/>
    <x v="285"/>
    <n v="7215"/>
    <n v="0"/>
    <n v="1007612429"/>
    <s v="yes"/>
    <n v="170"/>
    <n v="12"/>
    <n v="575"/>
    <n v="18"/>
    <m/>
    <n v="122"/>
    <s v="E"/>
    <s v="Major"/>
    <n v="70"/>
    <n v="42"/>
    <n v="54"/>
    <n v="30"/>
    <n v="0"/>
    <n v="37"/>
    <n v="5"/>
  </r>
  <r>
    <x v="336"/>
    <s v="Sacrifice"/>
    <n v="1"/>
    <x v="286"/>
    <n v="4440"/>
    <n v="0"/>
    <n v="326792833"/>
    <s v="yes"/>
    <n v="81"/>
    <n v="77"/>
    <n v="133"/>
    <n v="0"/>
    <m/>
    <n v="122"/>
    <s v="G"/>
    <s v="Major"/>
    <n v="70"/>
    <n v="91"/>
    <n v="79"/>
    <n v="3"/>
    <n v="0"/>
    <n v="7"/>
    <n v="10"/>
  </r>
  <r>
    <x v="337"/>
    <s v="Is There Someone Else?"/>
    <n v="1"/>
    <x v="286"/>
    <n v="2881"/>
    <n v="6"/>
    <n v="391251368"/>
    <s v="yes"/>
    <n v="13"/>
    <n v="89"/>
    <n v="34"/>
    <n v="0"/>
    <n v="3"/>
    <n v="135"/>
    <s v="A"/>
    <s v="Minor"/>
    <n v="70"/>
    <n v="60"/>
    <n v="58"/>
    <n v="4"/>
    <n v="0"/>
    <n v="16"/>
    <n v="3"/>
  </r>
  <r>
    <x v="338"/>
    <s v="Fingers Crossed"/>
    <n v="3"/>
    <x v="287"/>
    <n v="2235"/>
    <n v="0"/>
    <n v="349585590"/>
    <s v="yes"/>
    <n v="65"/>
    <n v="7"/>
    <n v="70"/>
    <n v="16"/>
    <n v="6"/>
    <n v="109"/>
    <s v="F"/>
    <s v="Major"/>
    <n v="60"/>
    <n v="45"/>
    <n v="47"/>
    <n v="62"/>
    <n v="0"/>
    <n v="31"/>
    <n v="5"/>
  </r>
  <r>
    <x v="339"/>
    <s v="Out of Time"/>
    <n v="1"/>
    <x v="286"/>
    <n v="3711"/>
    <n v="0"/>
    <n v="339659802"/>
    <s v="yes"/>
    <n v="49"/>
    <n v="88"/>
    <n v="62"/>
    <n v="0"/>
    <m/>
    <n v="93"/>
    <m/>
    <s v="Minor"/>
    <n v="65"/>
    <n v="82"/>
    <n v="74"/>
    <n v="27"/>
    <n v="0"/>
    <n v="32"/>
    <n v="5"/>
  </r>
  <r>
    <x v="339"/>
    <s v="Do It To It"/>
    <n v="2"/>
    <x v="288"/>
    <n v="12403"/>
    <n v="0"/>
    <n v="674772936"/>
    <s v="yes"/>
    <n v="183"/>
    <n v="63"/>
    <n v="465"/>
    <n v="0"/>
    <n v="11"/>
    <n v="125"/>
    <s v="B"/>
    <s v="Minor"/>
    <n v="85"/>
    <n v="64"/>
    <n v="81"/>
    <n v="2"/>
    <n v="5"/>
    <n v="7"/>
    <n v="9"/>
  </r>
  <r>
    <x v="340"/>
    <s v="We Don't Talk About Bruno"/>
    <n v="7"/>
    <x v="289"/>
    <n v="2785"/>
    <n v="0"/>
    <n v="432719968"/>
    <s v="yes"/>
    <n v="95"/>
    <n v="89"/>
    <n v="44"/>
    <n v="0"/>
    <m/>
    <n v="206"/>
    <m/>
    <s v="Minor"/>
    <n v="58"/>
    <n v="83"/>
    <n v="45"/>
    <n v="36"/>
    <n v="0"/>
    <n v="11"/>
    <n v="8"/>
  </r>
  <r>
    <x v="341"/>
    <s v="Pepas"/>
    <n v="1"/>
    <x v="290"/>
    <n v="14114"/>
    <n v="17"/>
    <n v="1309887447"/>
    <s v="yes"/>
    <n v="252"/>
    <n v="109"/>
    <n v="965"/>
    <n v="20"/>
    <m/>
    <n v="130"/>
    <s v="G"/>
    <s v="Major"/>
    <n v="76"/>
    <n v="44"/>
    <n v="77"/>
    <n v="1"/>
    <n v="0"/>
    <n v="13"/>
    <n v="3"/>
  </r>
  <r>
    <x v="341"/>
    <s v="How Do I Make You Love Me?"/>
    <n v="1"/>
    <x v="286"/>
    <n v="1915"/>
    <n v="0"/>
    <n v="119238316"/>
    <s v="no"/>
    <n v="7"/>
    <n v="47"/>
    <n v="15"/>
    <n v="0"/>
    <n v="0"/>
    <n v="121"/>
    <s v="G"/>
    <s v="Minor"/>
    <n v="80"/>
    <n v="62"/>
    <n v="51"/>
    <n v="2"/>
    <n v="0"/>
    <n v="9"/>
    <n v="8"/>
  </r>
  <r>
    <x v="341"/>
    <s v="Gasoline"/>
    <n v="1"/>
    <x v="286"/>
    <n v="2297"/>
    <n v="0"/>
    <n v="116903579"/>
    <s v="no"/>
    <n v="11"/>
    <n v="29"/>
    <n v="14"/>
    <n v="0"/>
    <n v="0"/>
    <n v="123"/>
    <s v="F#"/>
    <s v="Minor"/>
    <n v="74"/>
    <n v="35"/>
    <n v="73"/>
    <n v="0"/>
    <n v="0"/>
    <n v="21"/>
    <n v="5"/>
  </r>
  <r>
    <x v="342"/>
    <s v="Infinity"/>
    <n v="1"/>
    <x v="291"/>
    <n v="4375"/>
    <n v="0"/>
    <n v="888046992"/>
    <s v="yes"/>
    <n v="24"/>
    <n v="0"/>
    <n v="396"/>
    <n v="0"/>
    <n v="0"/>
    <n v="122"/>
    <s v="B"/>
    <s v="Minor"/>
    <n v="67"/>
    <n v="50"/>
    <n v="67"/>
    <n v="15"/>
    <n v="0"/>
    <n v="30"/>
    <n v="4"/>
  </r>
  <r>
    <x v="343"/>
    <s v="Less Than Zero"/>
    <n v="1"/>
    <x v="286"/>
    <n v="2800"/>
    <n v="0"/>
    <n v="200660871"/>
    <s v="yes"/>
    <n v="18"/>
    <n v="77"/>
    <n v="61"/>
    <n v="0"/>
    <n v="1"/>
    <n v="143"/>
    <m/>
    <s v="Major"/>
    <n v="53"/>
    <n v="50"/>
    <n v="79"/>
    <n v="0"/>
    <n v="0"/>
    <n v="8"/>
    <n v="3"/>
  </r>
  <r>
    <x v="344"/>
    <s v="Take My Breath"/>
    <n v="1"/>
    <x v="292"/>
    <n v="2597"/>
    <n v="0"/>
    <n v="130655803"/>
    <s v="no"/>
    <n v="17"/>
    <n v="80"/>
    <n v="38"/>
    <n v="0"/>
    <n v="0"/>
    <n v="121"/>
    <s v="A#"/>
    <s v="Minor"/>
    <n v="70"/>
    <n v="35"/>
    <n v="77"/>
    <n v="1"/>
    <n v="0"/>
    <n v="26"/>
    <n v="4"/>
  </r>
  <r>
    <x v="345"/>
    <s v="good 4 u"/>
    <n v="1"/>
    <x v="293"/>
    <n v="15563"/>
    <n v="6"/>
    <n v="1887039593"/>
    <s v="yes"/>
    <n v="259"/>
    <n v="55"/>
    <n v="461"/>
    <n v="1"/>
    <m/>
    <n v="166"/>
    <s v="F#"/>
    <s v="Minor"/>
    <n v="56"/>
    <n v="68"/>
    <n v="66"/>
    <n v="28"/>
    <n v="0"/>
    <n v="11"/>
    <n v="18"/>
  </r>
  <r>
    <x v="345"/>
    <s v="Here We Goï¿½ï¿½ï¿½ Again (feat. Tyler, the Cr"/>
    <n v="3"/>
    <x v="286"/>
    <n v="1420"/>
    <n v="0"/>
    <n v="88103848"/>
    <s v="no"/>
    <n v="7"/>
    <n v="18"/>
    <n v="7"/>
    <n v="0"/>
    <n v="0"/>
    <n v="135"/>
    <s v="C#"/>
    <s v="Major"/>
    <n v="41"/>
    <n v="27"/>
    <n v="64"/>
    <n v="36"/>
    <n v="0"/>
    <n v="60"/>
    <n v="3"/>
  </r>
  <r>
    <x v="346"/>
    <s v="Best Friends"/>
    <n v="1"/>
    <x v="286"/>
    <n v="1292"/>
    <n v="0"/>
    <n v="101114984"/>
    <s v="no"/>
    <n v="3"/>
    <n v="18"/>
    <n v="14"/>
    <n v="0"/>
    <n v="0"/>
    <n v="87"/>
    <s v="E"/>
    <s v="Minor"/>
    <n v="49"/>
    <n v="49"/>
    <n v="59"/>
    <n v="44"/>
    <n v="0"/>
    <n v="35"/>
    <n v="21"/>
  </r>
  <r>
    <x v="347"/>
    <s v="Kiss Me More (feat. SZA)"/>
    <n v="2"/>
    <x v="132"/>
    <n v="15867"/>
    <n v="0"/>
    <n v="1575467011"/>
    <s v="yes"/>
    <n v="382"/>
    <n v="65"/>
    <n v="497"/>
    <n v="0"/>
    <n v="12"/>
    <n v="111"/>
    <s v="G#"/>
    <s v="Major"/>
    <n v="77"/>
    <n v="74"/>
    <n v="66"/>
    <n v="30"/>
    <n v="0"/>
    <n v="13"/>
    <n v="3"/>
  </r>
  <r>
    <x v="348"/>
    <s v="I Heard You're Married (feat. Lil Wayne)"/>
    <n v="2"/>
    <x v="286"/>
    <n v="1178"/>
    <n v="0"/>
    <n v="91656026"/>
    <s v="no"/>
    <n v="9"/>
    <n v="10"/>
    <n v="9"/>
    <n v="0"/>
    <n v="0"/>
    <n v="110"/>
    <s v="D"/>
    <s v="Major"/>
    <n v="75"/>
    <n v="85"/>
    <n v="84"/>
    <n v="10"/>
    <n v="0"/>
    <n v="31"/>
    <n v="19"/>
  </r>
  <r>
    <x v="348"/>
    <s v="Need To Know"/>
    <n v="1"/>
    <x v="87"/>
    <n v="6672"/>
    <n v="0"/>
    <n v="1042568408"/>
    <s v="yes"/>
    <n v="125"/>
    <n v="36"/>
    <n v="150"/>
    <n v="0"/>
    <m/>
    <n v="130"/>
    <s v="C#"/>
    <s v="Major"/>
    <n v="66"/>
    <n v="19"/>
    <n v="61"/>
    <n v="30"/>
    <n v="0"/>
    <n v="9"/>
    <n v="7"/>
  </r>
  <r>
    <x v="348"/>
    <s v="MONTERO (Call Me By Your Name)"/>
    <n v="1"/>
    <x v="294"/>
    <n v="12329"/>
    <n v="0"/>
    <n v="1735441776"/>
    <s v="yes"/>
    <n v="275"/>
    <n v="19"/>
    <n v="738"/>
    <n v="0"/>
    <m/>
    <n v="179"/>
    <s v="G#"/>
    <s v="Minor"/>
    <n v="61"/>
    <n v="76"/>
    <n v="51"/>
    <n v="30"/>
    <n v="0"/>
    <n v="38"/>
    <n v="15"/>
  </r>
  <r>
    <x v="349"/>
    <s v="love nwantiti (ah ah ah)"/>
    <n v="1"/>
    <x v="295"/>
    <n v="5669"/>
    <n v="2"/>
    <n v="726837877"/>
    <s v="yes"/>
    <n v="74"/>
    <n v="0"/>
    <n v="262"/>
    <n v="14"/>
    <m/>
    <n v="93"/>
    <s v="F"/>
    <s v="Minor"/>
    <n v="74"/>
    <n v="53"/>
    <n v="73"/>
    <n v="61"/>
    <n v="0"/>
    <n v="13"/>
    <n v="4"/>
  </r>
  <r>
    <x v="350"/>
    <s v="Dawn FM"/>
    <n v="1"/>
    <x v="286"/>
    <n v="811"/>
    <n v="0"/>
    <n v="53933526"/>
    <s v="no"/>
    <n v="1"/>
    <n v="8"/>
    <n v="6"/>
    <n v="0"/>
    <n v="0"/>
    <n v="78"/>
    <s v="A"/>
    <s v="Minor"/>
    <n v="27"/>
    <n v="10"/>
    <n v="49"/>
    <n v="62"/>
    <n v="0"/>
    <n v="49"/>
    <n v="5"/>
  </r>
  <r>
    <x v="351"/>
    <s v="Surface Pressure"/>
    <n v="1"/>
    <x v="289"/>
    <n v="1756"/>
    <n v="0"/>
    <n v="267758538"/>
    <s v="yes"/>
    <n v="38"/>
    <n v="48"/>
    <n v="20"/>
    <n v="0"/>
    <n v="0"/>
    <n v="180"/>
    <s v="D"/>
    <s v="Major"/>
    <n v="65"/>
    <n v="37"/>
    <n v="58"/>
    <n v="2"/>
    <n v="0"/>
    <n v="4"/>
    <n v="31"/>
  </r>
  <r>
    <x v="352"/>
    <s v="Starry Eyes"/>
    <n v="1"/>
    <x v="286"/>
    <n v="1014"/>
    <n v="0"/>
    <n v="74601456"/>
    <s v="no"/>
    <n v="1"/>
    <n v="17"/>
    <n v="11"/>
    <n v="0"/>
    <n v="0"/>
    <n v="86"/>
    <s v="A"/>
    <s v="Minor"/>
    <n v="28"/>
    <n v="13"/>
    <n v="41"/>
    <n v="50"/>
    <n v="0"/>
    <n v="19"/>
    <n v="3"/>
  </r>
  <r>
    <x v="353"/>
    <s v="THATS WHAT I WANT"/>
    <n v="1"/>
    <x v="296"/>
    <n v="7963"/>
    <n v="0"/>
    <n v="920797189"/>
    <s v="yes"/>
    <n v="173"/>
    <n v="7"/>
    <n v="298"/>
    <n v="0"/>
    <n v="4"/>
    <n v="88"/>
    <s v="C#"/>
    <s v="Minor"/>
    <n v="74"/>
    <n v="55"/>
    <n v="85"/>
    <n v="1"/>
    <n v="0"/>
    <n v="5"/>
    <n v="22"/>
  </r>
  <r>
    <x v="354"/>
    <s v="One Right Now (with The Weeknd)"/>
    <n v="2"/>
    <x v="297"/>
    <n v="4771"/>
    <n v="0"/>
    <n v="539595276"/>
    <s v="yes"/>
    <n v="68"/>
    <n v="18"/>
    <n v="75"/>
    <n v="0"/>
    <n v="1"/>
    <n v="97"/>
    <s v="C#"/>
    <s v="Major"/>
    <n v="68"/>
    <n v="72"/>
    <n v="78"/>
    <n v="4"/>
    <n v="0"/>
    <n v="7"/>
    <n v="5"/>
  </r>
  <r>
    <x v="355"/>
    <s v="Beggin"/>
    <n v="1"/>
    <x v="298"/>
    <n v="8559"/>
    <n v="0"/>
    <n v="1367810478"/>
    <s v="yes"/>
    <n v="183"/>
    <n v="64"/>
    <n v="964"/>
    <n v="9"/>
    <n v="75"/>
    <n v="134"/>
    <s v="B"/>
    <s v="Minor"/>
    <n v="71"/>
    <n v="59"/>
    <n v="80"/>
    <n v="13"/>
    <n v="0"/>
    <n v="36"/>
    <n v="5"/>
  </r>
  <r>
    <x v="356"/>
    <s v="Mon Amour - Remix"/>
    <n v="2"/>
    <x v="299"/>
    <n v="3221"/>
    <n v="2"/>
    <n v="578207856"/>
    <s v="yes"/>
    <n v="67"/>
    <n v="13"/>
    <n v="139"/>
    <n v="0"/>
    <n v="40"/>
    <n v="116"/>
    <s v="D"/>
    <s v="Major"/>
    <n v="75"/>
    <n v="36"/>
    <n v="76"/>
    <n v="12"/>
    <n v="0"/>
    <n v="10"/>
    <n v="10"/>
  </r>
  <r>
    <x v="357"/>
    <s v="Lo Siento BB:/ (with Bad Bunny &amp; Julieta Venegas)"/>
    <n v="3"/>
    <x v="300"/>
    <n v="3423"/>
    <n v="26"/>
    <n v="775542072"/>
    <s v="yes"/>
    <n v="61"/>
    <n v="65"/>
    <n v="53"/>
    <n v="6"/>
    <n v="0"/>
    <n v="170"/>
    <s v="E"/>
    <s v="Minor"/>
    <n v="64"/>
    <n v="14"/>
    <n v="70"/>
    <n v="9"/>
    <n v="0"/>
    <n v="9"/>
    <n v="8"/>
  </r>
  <r>
    <x v="358"/>
    <s v="MONEY"/>
    <n v="1"/>
    <x v="301"/>
    <n v="2566"/>
    <n v="13"/>
    <n v="863625566"/>
    <s v="yes"/>
    <n v="44"/>
    <n v="109"/>
    <n v="131"/>
    <n v="0"/>
    <m/>
    <n v="140"/>
    <s v="C#"/>
    <s v="Minor"/>
    <n v="83"/>
    <n v="40"/>
    <n v="55"/>
    <n v="16"/>
    <n v="0"/>
    <n v="14"/>
    <n v="23"/>
  </r>
  <r>
    <x v="359"/>
    <s v="The Motto"/>
    <n v="2"/>
    <x v="302"/>
    <n v="9151"/>
    <n v="6"/>
    <n v="656013912"/>
    <s v="yes"/>
    <n v="240"/>
    <n v="107"/>
    <n v="268"/>
    <n v="0"/>
    <n v="5"/>
    <n v="118"/>
    <s v="G"/>
    <s v="Minor"/>
    <n v="75"/>
    <n v="46"/>
    <n v="76"/>
    <n v="3"/>
    <n v="0"/>
    <n v="9"/>
    <n v="4"/>
  </r>
  <r>
    <x v="360"/>
    <s v="Happier Than Ever"/>
    <n v="1"/>
    <x v="253"/>
    <n v="8476"/>
    <n v="0"/>
    <n v="1056760045"/>
    <s v="yes"/>
    <n v="138"/>
    <n v="133"/>
    <n v="283"/>
    <n v="0"/>
    <m/>
    <n v="65"/>
    <m/>
    <s v="Major"/>
    <n v="31"/>
    <n v="31"/>
    <n v="24"/>
    <n v="76"/>
    <n v="0"/>
    <n v="14"/>
    <n v="4"/>
  </r>
  <r>
    <x v="361"/>
    <s v="Moth To A Flame (with The Weeknd)"/>
    <n v="2"/>
    <x v="303"/>
    <n v="7495"/>
    <n v="17"/>
    <n v="611994237"/>
    <s v="yes"/>
    <n v="114"/>
    <n v="172"/>
    <n v="284"/>
    <n v="2"/>
    <m/>
    <n v="120"/>
    <m/>
    <s v="Minor"/>
    <n v="56"/>
    <n v="16"/>
    <n v="67"/>
    <n v="0"/>
    <n v="0"/>
    <n v="11"/>
    <n v="4"/>
  </r>
  <r>
    <x v="362"/>
    <s v="traitor"/>
    <n v="2"/>
    <x v="304"/>
    <n v="5257"/>
    <n v="6"/>
    <n v="1230855859"/>
    <s v="yes"/>
    <n v="85"/>
    <n v="43"/>
    <n v="134"/>
    <n v="0"/>
    <m/>
    <n v="176"/>
    <s v="D#"/>
    <s v="Major"/>
    <n v="29"/>
    <n v="12"/>
    <n v="33"/>
    <n v="68"/>
    <n v="0"/>
    <n v="12"/>
    <n v="5"/>
  </r>
  <r>
    <x v="363"/>
    <s v="Toxic"/>
    <n v="1"/>
    <x v="301"/>
    <n v="1795"/>
    <n v="0"/>
    <n v="582981380"/>
    <s v="yes"/>
    <n v="34"/>
    <n v="23"/>
    <n v="118"/>
    <n v="0"/>
    <m/>
    <n v="180"/>
    <s v="G#"/>
    <s v="Minor"/>
    <n v="59"/>
    <n v="69"/>
    <n v="61"/>
    <n v="84"/>
    <n v="0"/>
    <n v="46"/>
    <n v="36"/>
  </r>
  <r>
    <x v="364"/>
    <s v="drivers license"/>
    <n v="1"/>
    <x v="305"/>
    <n v="12685"/>
    <n v="3"/>
    <n v="1858144199"/>
    <s v="yes"/>
    <n v="185"/>
    <n v="61"/>
    <n v="485"/>
    <n v="0"/>
    <m/>
    <n v="144"/>
    <s v="A#"/>
    <s v="Major"/>
    <n v="59"/>
    <n v="21"/>
    <n v="43"/>
    <n v="76"/>
    <n v="0"/>
    <n v="10"/>
    <n v="7"/>
  </r>
  <r>
    <x v="365"/>
    <s v="Malvadï¿½ï¿"/>
    <n v="3"/>
    <x v="306"/>
    <n v="648"/>
    <n v="1"/>
    <n v="240684449"/>
    <s v="yes"/>
    <n v="14"/>
    <n v="3"/>
    <n v="81"/>
    <n v="0"/>
    <n v="0"/>
    <n v="133"/>
    <s v="F#"/>
    <s v="Minor"/>
    <n v="82"/>
    <n v="52"/>
    <n v="61"/>
    <n v="38"/>
    <n v="0"/>
    <n v="14"/>
    <n v="27"/>
  </r>
  <r>
    <x v="366"/>
    <s v="All Too Well (10 Minute Version) (Taylor's Version) (From The Vault)"/>
    <n v="1"/>
    <x v="307"/>
    <n v="4635"/>
    <n v="5"/>
    <n v="583687007"/>
    <s v="yes"/>
    <n v="50"/>
    <n v="49"/>
    <n v="30"/>
    <n v="1"/>
    <n v="2"/>
    <n v="93"/>
    <m/>
    <s v="Major"/>
    <n v="63"/>
    <n v="21"/>
    <n v="52"/>
    <n v="28"/>
    <n v="0"/>
    <n v="9"/>
    <n v="3"/>
  </r>
  <r>
    <x v="367"/>
    <s v="Donï¿½ï¿½ï¿½t Break My"/>
    <n v="1"/>
    <x v="286"/>
    <n v="1184"/>
    <n v="0"/>
    <n v="63803529"/>
    <s v="no"/>
    <n v="1"/>
    <n v="5"/>
    <n v="6"/>
    <n v="0"/>
    <n v="0"/>
    <n v="122"/>
    <s v="A#"/>
    <s v="Major"/>
    <n v="77"/>
    <n v="25"/>
    <n v="62"/>
    <n v="34"/>
    <n v="0"/>
    <n v="23"/>
    <n v="3"/>
  </r>
  <r>
    <x v="368"/>
    <s v="Oh My God"/>
    <n v="1"/>
    <x v="289"/>
    <n v="4431"/>
    <n v="0"/>
    <n v="466214729"/>
    <s v="yes"/>
    <n v="105"/>
    <n v="7"/>
    <n v="199"/>
    <n v="0"/>
    <n v="0"/>
    <n v="88"/>
    <s v="C#"/>
    <s v="Major"/>
    <n v="53"/>
    <n v="55"/>
    <n v="73"/>
    <n v="9"/>
    <n v="0"/>
    <n v="3"/>
    <n v="5"/>
  </r>
  <r>
    <x v="369"/>
    <s v="Entre Nosotros (Remix) [con Nicki Nicole]"/>
    <n v="4"/>
    <x v="287"/>
    <n v="759"/>
    <n v="3"/>
    <n v="236940480"/>
    <s v="yes"/>
    <n v="32"/>
    <n v="0"/>
    <n v="12"/>
    <n v="0"/>
    <n v="0"/>
    <n v="170"/>
    <s v="F"/>
    <s v="Minor"/>
    <n v="70"/>
    <n v="61"/>
    <n v="44"/>
    <n v="40"/>
    <n v="0"/>
    <n v="37"/>
    <n v="4"/>
  </r>
  <r>
    <x v="369"/>
    <s v="A Tale By Quincy"/>
    <n v="1"/>
    <x v="286"/>
    <n v="733"/>
    <n v="0"/>
    <n v="41924466"/>
    <s v="no"/>
    <n v="0"/>
    <n v="2"/>
    <n v="2"/>
    <n v="0"/>
    <n v="0"/>
    <n v="94"/>
    <s v="F"/>
    <s v="Minor"/>
    <n v="46"/>
    <n v="55"/>
    <n v="50"/>
    <n v="71"/>
    <n v="0"/>
    <n v="10"/>
    <n v="11"/>
  </r>
  <r>
    <x v="370"/>
    <s v="I AM WOMAN"/>
    <n v="1"/>
    <x v="308"/>
    <n v="2795"/>
    <n v="0"/>
    <n v="225259194"/>
    <s v="yes"/>
    <n v="45"/>
    <n v="0"/>
    <n v="107"/>
    <n v="0"/>
    <n v="0"/>
    <n v="170"/>
    <s v="A#"/>
    <s v="Major"/>
    <n v="65"/>
    <n v="46"/>
    <n v="47"/>
    <n v="12"/>
    <n v="0"/>
    <n v="13"/>
    <n v="16"/>
  </r>
  <r>
    <x v="371"/>
    <s v="Medallo"/>
    <n v="3"/>
    <x v="309"/>
    <n v="2780"/>
    <n v="2"/>
    <n v="393230256"/>
    <s v="yes"/>
    <n v="54"/>
    <n v="21"/>
    <n v="57"/>
    <n v="1"/>
    <n v="0"/>
    <n v="90"/>
    <s v="E"/>
    <s v="Minor"/>
    <n v="79"/>
    <n v="79"/>
    <n v="70"/>
    <n v="57"/>
    <n v="0"/>
    <n v="66"/>
    <n v="8"/>
  </r>
  <r>
    <x v="372"/>
    <s v="It'll Be Okay"/>
    <n v="1"/>
    <x v="310"/>
    <n v="1950"/>
    <n v="0"/>
    <n v="287201015"/>
    <s v="yes"/>
    <n v="56"/>
    <n v="8"/>
    <n v="104"/>
    <n v="0"/>
    <n v="10"/>
    <n v="78"/>
    <s v="G"/>
    <s v="Major"/>
    <n v="40"/>
    <n v="7"/>
    <n v="29"/>
    <n v="62"/>
    <n v="0"/>
    <n v="9"/>
    <n v="3"/>
  </r>
  <r>
    <x v="373"/>
    <s v="Softcore"/>
    <n v="1"/>
    <x v="311"/>
    <n v="3947"/>
    <n v="12"/>
    <n v="599770206"/>
    <s v="yes"/>
    <n v="33"/>
    <n v="102"/>
    <n v="93"/>
    <n v="0"/>
    <n v="30"/>
    <n v="94"/>
    <s v="D"/>
    <s v="Major"/>
    <n v="57"/>
    <n v="36"/>
    <n v="58"/>
    <n v="5"/>
    <n v="0"/>
    <n v="15"/>
    <n v="3"/>
  </r>
  <r>
    <x v="374"/>
    <s v="Super Gremlin"/>
    <n v="1"/>
    <x v="312"/>
    <n v="2551"/>
    <n v="0"/>
    <n v="342779426"/>
    <s v="yes"/>
    <n v="52"/>
    <n v="15"/>
    <n v="35"/>
    <n v="0"/>
    <n v="1"/>
    <n v="73"/>
    <s v="D"/>
    <s v="Major"/>
    <n v="83"/>
    <n v="11"/>
    <n v="41"/>
    <n v="0"/>
    <n v="0"/>
    <n v="36"/>
    <n v="14"/>
  </r>
  <r>
    <x v="375"/>
    <s v="Volvï¿"/>
    <n v="2"/>
    <x v="313"/>
    <n v="5375"/>
    <n v="10"/>
    <n v="673801126"/>
    <s v="yes"/>
    <n v="138"/>
    <n v="24"/>
    <n v="133"/>
    <n v="0"/>
    <n v="1"/>
    <n v="176"/>
    <s v="C#"/>
    <s v="Major"/>
    <n v="73"/>
    <n v="79"/>
    <n v="86"/>
    <n v="42"/>
    <n v="0"/>
    <n v="7"/>
    <n v="18"/>
  </r>
  <r>
    <x v="376"/>
    <s v="Todo De Ti"/>
    <n v="1"/>
    <x v="314"/>
    <n v="11975"/>
    <n v="8"/>
    <n v="1168642797"/>
    <s v="yes"/>
    <n v="188"/>
    <n v="75"/>
    <n v="268"/>
    <n v="6"/>
    <n v="16"/>
    <n v="128"/>
    <s v="D#"/>
    <s v="Minor"/>
    <n v="81"/>
    <n v="57"/>
    <n v="63"/>
    <n v="40"/>
    <n v="1"/>
    <n v="10"/>
    <n v="4"/>
  </r>
  <r>
    <x v="377"/>
    <s v="Love Nwantiti - Remix"/>
    <n v="3"/>
    <x v="129"/>
    <n v="2696"/>
    <n v="0"/>
    <n v="540539717"/>
    <s v="yes"/>
    <n v="42"/>
    <n v="2"/>
    <n v="57"/>
    <n v="0"/>
    <m/>
    <n v="120"/>
    <s v="G#"/>
    <s v="Major"/>
    <n v="58"/>
    <n v="44"/>
    <n v="60"/>
    <n v="44"/>
    <n v="9"/>
    <n v="5"/>
    <n v="6"/>
  </r>
  <r>
    <x v="378"/>
    <s v="Smokin Out The Window"/>
    <n v="3"/>
    <x v="297"/>
    <n v="4963"/>
    <n v="0"/>
    <n v="383550148"/>
    <s v="yes"/>
    <n v="63"/>
    <n v="40"/>
    <n v="76"/>
    <n v="0"/>
    <n v="0"/>
    <n v="82"/>
    <s v="D"/>
    <s v="Major"/>
    <n v="63"/>
    <n v="85"/>
    <n v="62"/>
    <n v="6"/>
    <n v="0"/>
    <n v="35"/>
    <n v="4"/>
  </r>
  <r>
    <x v="379"/>
    <s v="Meet Me At Our Spot"/>
    <n v="3"/>
    <x v="315"/>
    <n v="6734"/>
    <n v="0"/>
    <n v="530511203"/>
    <s v="yes"/>
    <n v="47"/>
    <n v="14"/>
    <n v="90"/>
    <n v="0"/>
    <n v="1"/>
    <n v="95"/>
    <s v="D"/>
    <s v="Major"/>
    <n v="77"/>
    <n v="40"/>
    <n v="47"/>
    <n v="2"/>
    <n v="0"/>
    <n v="9"/>
    <n v="3"/>
  </r>
  <r>
    <x v="380"/>
    <s v="Every Angel is Terrifying"/>
    <n v="1"/>
    <x v="286"/>
    <n v="715"/>
    <n v="0"/>
    <n v="37307967"/>
    <s v="no"/>
    <n v="0"/>
    <n v="1"/>
    <n v="2"/>
    <n v="0"/>
    <n v="0"/>
    <n v="118"/>
    <m/>
    <s v="Major"/>
    <n v="44"/>
    <n v="52"/>
    <n v="94"/>
    <n v="11"/>
    <n v="0"/>
    <n v="4"/>
    <n v="29"/>
  </r>
  <r>
    <x v="381"/>
    <s v="Tacones Rojos"/>
    <n v="1"/>
    <x v="303"/>
    <n v="3047"/>
    <n v="9"/>
    <n v="510876816"/>
    <s v="yes"/>
    <n v="77"/>
    <n v="31"/>
    <n v="85"/>
    <n v="5"/>
    <n v="28"/>
    <n v="123"/>
    <s v="B"/>
    <s v="Minor"/>
    <n v="75"/>
    <n v="93"/>
    <n v="86"/>
    <n v="8"/>
    <n v="0"/>
    <n v="14"/>
    <n v="3"/>
  </r>
  <r>
    <x v="382"/>
    <s v="Peaches (feat. Daniel Caesar &amp; Giveon)"/>
    <n v="3"/>
    <x v="109"/>
    <n v="14140"/>
    <n v="0"/>
    <n v="1445941661"/>
    <s v="yes"/>
    <n v="231"/>
    <n v="52"/>
    <n v="612"/>
    <n v="6"/>
    <m/>
    <n v="90"/>
    <m/>
    <s v="Major"/>
    <n v="63"/>
    <n v="49"/>
    <n v="68"/>
    <n v="38"/>
    <n v="0"/>
    <n v="42"/>
    <n v="18"/>
  </r>
  <r>
    <x v="383"/>
    <s v="Dakiti"/>
    <n v="2"/>
    <x v="316"/>
    <n v="11215"/>
    <n v="21"/>
    <n v="1763363713"/>
    <s v="yes"/>
    <n v="189"/>
    <n v="166"/>
    <n v="525"/>
    <n v="9"/>
    <n v="25"/>
    <n v="110"/>
    <s v="E"/>
    <s v="Minor"/>
    <n v="73"/>
    <n v="14"/>
    <n v="57"/>
    <n v="40"/>
    <n v="0"/>
    <n v="11"/>
    <n v="5"/>
  </r>
  <r>
    <x v="384"/>
    <s v="Tiago PZK: Bzrp Music Sessions, Vol. 48"/>
    <n v="2"/>
    <x v="317"/>
    <n v="1678"/>
    <n v="12"/>
    <n v="374191487"/>
    <s v="yes"/>
    <n v="20"/>
    <n v="4"/>
    <n v="15"/>
    <n v="1"/>
    <n v="3"/>
    <n v="96"/>
    <s v="C#"/>
    <s v="Minor"/>
    <n v="66"/>
    <n v="76"/>
    <n v="82"/>
    <n v="47"/>
    <n v="0"/>
    <n v="10"/>
    <n v="32"/>
  </r>
  <r>
    <x v="385"/>
    <s v="Lï¿½ï¿½ï¿"/>
    <n v="1"/>
    <x v="318"/>
    <n v="2035"/>
    <n v="0"/>
    <n v="108809090"/>
    <s v="no"/>
    <n v="41"/>
    <n v="122"/>
    <n v="394"/>
    <n v="0"/>
    <n v="2"/>
    <n v="88"/>
    <s v="D"/>
    <s v="Minor"/>
    <n v="56"/>
    <n v="58"/>
    <n v="55"/>
    <n v="35"/>
    <n v="0"/>
    <n v="23"/>
    <n v="11"/>
  </r>
  <r>
    <x v="386"/>
    <s v="Nostï¿½ï¿½l"/>
    <n v="3"/>
    <x v="319"/>
    <n v="2780"/>
    <n v="2"/>
    <n v="436695353"/>
    <s v="yes"/>
    <n v="86"/>
    <n v="76"/>
    <n v="59"/>
    <n v="0"/>
    <n v="16"/>
    <n v="98"/>
    <s v="A"/>
    <s v="Minor"/>
    <n v="73"/>
    <n v="60"/>
    <n v="85"/>
    <n v="17"/>
    <n v="0"/>
    <n v="24"/>
    <n v="5"/>
  </r>
  <r>
    <x v="387"/>
    <s v="Better Days (NEIKED x Mae Muller x Polo G)"/>
    <n v="3"/>
    <x v="227"/>
    <n v="4091"/>
    <n v="0"/>
    <n v="421040617"/>
    <s v="yes"/>
    <n v="105"/>
    <n v="2"/>
    <n v="73"/>
    <n v="13"/>
    <n v="1"/>
    <n v="110"/>
    <m/>
    <s v="Minor"/>
    <n v="72"/>
    <n v="67"/>
    <n v="68"/>
    <n v="0"/>
    <n v="0"/>
    <n v="14"/>
    <n v="4"/>
  </r>
  <r>
    <x v="388"/>
    <s v="Life Goes On"/>
    <n v="1"/>
    <x v="320"/>
    <n v="2868"/>
    <n v="0"/>
    <n v="501541661"/>
    <s v="yes"/>
    <n v="43"/>
    <n v="15"/>
    <n v="116"/>
    <n v="0"/>
    <m/>
    <n v="80"/>
    <m/>
    <s v="Major"/>
    <n v="70"/>
    <n v="57"/>
    <n v="49"/>
    <n v="19"/>
    <n v="0"/>
    <n v="12"/>
    <n v="8"/>
  </r>
  <r>
    <x v="389"/>
    <s v="Sad Girlz Luv Money Remix (feat. Kali Uchis)"/>
    <n v="3"/>
    <x v="321"/>
    <n v="3643"/>
    <n v="0"/>
    <n v="354065229"/>
    <s v="yes"/>
    <n v="69"/>
    <n v="3"/>
    <n v="70"/>
    <n v="0"/>
    <n v="3"/>
    <n v="110"/>
    <s v="C#"/>
    <s v="Minor"/>
    <n v="86"/>
    <n v="31"/>
    <n v="53"/>
    <n v="43"/>
    <n v="0"/>
    <n v="11"/>
    <n v="6"/>
  </r>
  <r>
    <x v="390"/>
    <s v="Butter"/>
    <n v="1"/>
    <x v="304"/>
    <n v="4779"/>
    <n v="6"/>
    <n v="1143647827"/>
    <s v="yes"/>
    <n v="180"/>
    <n v="135"/>
    <n v="223"/>
    <n v="0"/>
    <n v="5"/>
    <n v="110"/>
    <s v="G#"/>
    <s v="Major"/>
    <n v="79"/>
    <n v="70"/>
    <n v="36"/>
    <n v="0"/>
    <n v="0"/>
    <n v="6"/>
    <n v="11"/>
  </r>
  <r>
    <x v="391"/>
    <s v="pushin P (feat. Young Thug)"/>
    <n v="3"/>
    <x v="286"/>
    <n v="3517"/>
    <n v="0"/>
    <n v="311395144"/>
    <s v="yes"/>
    <n v="54"/>
    <n v="28"/>
    <n v="43"/>
    <n v="0"/>
    <n v="0"/>
    <n v="78"/>
    <s v="C#"/>
    <s v="Minor"/>
    <n v="77"/>
    <n v="49"/>
    <n v="42"/>
    <n v="1"/>
    <n v="1"/>
    <n v="13"/>
    <n v="19"/>
  </r>
  <r>
    <x v="392"/>
    <s v="You Right"/>
    <n v="2"/>
    <x v="290"/>
    <n v="5073"/>
    <n v="0"/>
    <n v="672656250"/>
    <s v="yes"/>
    <n v="83"/>
    <n v="9"/>
    <n v="100"/>
    <n v="0"/>
    <n v="4"/>
    <n v="129"/>
    <s v="G#"/>
    <s v="Major"/>
    <n v="83"/>
    <n v="44"/>
    <n v="62"/>
    <n v="2"/>
    <n v="0"/>
    <n v="8"/>
    <n v="6"/>
  </r>
  <r>
    <x v="393"/>
    <s v="deja vu"/>
    <n v="1"/>
    <x v="322"/>
    <n v="7545"/>
    <n v="4"/>
    <n v="1256880657"/>
    <s v="yes"/>
    <n v="117"/>
    <n v="39"/>
    <n v="141"/>
    <n v="0"/>
    <n v="46"/>
    <n v="181"/>
    <s v="A"/>
    <s v="Major"/>
    <n v="44"/>
    <n v="22"/>
    <n v="60"/>
    <n v="61"/>
    <n v="0"/>
    <n v="42"/>
    <n v="9"/>
  </r>
  <r>
    <x v="394"/>
    <s v="Dynamite"/>
    <n v="1"/>
    <x v="323"/>
    <n v="8528"/>
    <n v="5"/>
    <n v="1692897992"/>
    <s v="yes"/>
    <n v="239"/>
    <n v="163"/>
    <n v="583"/>
    <n v="0"/>
    <m/>
    <n v="114"/>
    <s v="F#"/>
    <s v="Minor"/>
    <n v="75"/>
    <n v="74"/>
    <n v="77"/>
    <n v="1"/>
    <n v="0"/>
    <n v="9"/>
    <n v="10"/>
  </r>
  <r>
    <x v="395"/>
    <s v="TO THE MOON"/>
    <n v="1"/>
    <x v="297"/>
    <n v="2979"/>
    <n v="0"/>
    <n v="245095641"/>
    <s v="yes"/>
    <n v="44"/>
    <n v="0"/>
    <n v="159"/>
    <n v="0"/>
    <n v="0"/>
    <n v="144"/>
    <s v="D"/>
    <s v="Major"/>
    <n v="74"/>
    <n v="39"/>
    <n v="65"/>
    <n v="5"/>
    <n v="1"/>
    <n v="11"/>
    <n v="35"/>
  </r>
  <r>
    <x v="396"/>
    <s v="Lost in the Fire"/>
    <n v="2"/>
    <x v="324"/>
    <n v="7731"/>
    <n v="2"/>
    <n v="686734357"/>
    <s v="yes"/>
    <n v="110"/>
    <n v="145"/>
    <n v="447"/>
    <n v="0"/>
    <n v="46"/>
    <n v="101"/>
    <s v="D"/>
    <s v="Major"/>
    <n v="66"/>
    <n v="18"/>
    <n v="68"/>
    <n v="9"/>
    <n v="0"/>
    <n v="12"/>
    <n v="4"/>
  </r>
  <r>
    <x v="397"/>
    <s v="Salimo de Noche"/>
    <n v="2"/>
    <x v="325"/>
    <n v="1057"/>
    <n v="0"/>
    <n v="261414174"/>
    <s v="yes"/>
    <n v="17"/>
    <n v="5"/>
    <n v="21"/>
    <n v="0"/>
    <n v="0"/>
    <n v="84"/>
    <s v="D"/>
    <s v="Major"/>
    <n v="67"/>
    <n v="78"/>
    <n v="63"/>
    <n v="29"/>
    <n v="0"/>
    <n v="12"/>
    <n v="5"/>
  </r>
  <r>
    <x v="397"/>
    <s v="Volando - Remix"/>
    <n v="3"/>
    <x v="326"/>
    <n v="3272"/>
    <n v="19"/>
    <n v="610045621"/>
    <s v="yes"/>
    <n v="101"/>
    <n v="34"/>
    <n v="70"/>
    <n v="1"/>
    <n v="2"/>
    <n v="154"/>
    <s v="F#"/>
    <s v="Major"/>
    <n v="66"/>
    <n v="63"/>
    <n v="69"/>
    <n v="21"/>
    <n v="0"/>
    <n v="11"/>
    <n v="7"/>
  </r>
  <r>
    <x v="397"/>
    <s v="Leave The Door Open"/>
    <n v="3"/>
    <x v="327"/>
    <n v="14417"/>
    <n v="0"/>
    <n v="1115880852"/>
    <s v="yes"/>
    <n v="237"/>
    <n v="123"/>
    <n v="569"/>
    <n v="0"/>
    <n v="10"/>
    <n v="148"/>
    <s v="F"/>
    <s v="Major"/>
    <n v="59"/>
    <n v="72"/>
    <n v="62"/>
    <n v="18"/>
    <n v="0"/>
    <n v="9"/>
    <n v="3"/>
  </r>
  <r>
    <x v="397"/>
    <s v="Knife Talk (with 21 Savage ft. Project Pat)"/>
    <n v="3"/>
    <x v="220"/>
    <n v="5199"/>
    <n v="0"/>
    <n v="594482982"/>
    <s v="yes"/>
    <n v="45"/>
    <n v="43"/>
    <n v="45"/>
    <n v="0"/>
    <n v="3"/>
    <n v="146"/>
    <s v="F"/>
    <s v="Minor"/>
    <n v="85"/>
    <n v="22"/>
    <n v="37"/>
    <n v="13"/>
    <n v="0"/>
    <n v="7"/>
    <n v="30"/>
  </r>
  <r>
    <x v="398"/>
    <s v="Don't Be Shy"/>
    <n v="2"/>
    <x v="328"/>
    <n v="6026"/>
    <n v="0"/>
    <n v="566954746"/>
    <s v="yes"/>
    <n v="171"/>
    <n v="51"/>
    <n v="187"/>
    <n v="1"/>
    <n v="21"/>
    <n v="120"/>
    <s v="B"/>
    <s v="Minor"/>
    <n v="77"/>
    <n v="51"/>
    <n v="79"/>
    <n v="20"/>
    <n v="0"/>
    <n v="26"/>
    <n v="6"/>
  </r>
  <r>
    <x v="398"/>
    <s v="Love Grows (Where My Rosemary Goes)"/>
    <n v="1"/>
    <x v="329"/>
    <n v="2877"/>
    <n v="0"/>
    <s v="BPM110KeyAModeMajorDanceability53Valence75Energy69Acousticness7Instrumentalness0Liveness17Speechiness3"/>
    <s v="yes"/>
    <n v="16"/>
    <n v="0"/>
    <n v="54"/>
    <n v="0"/>
    <n v="0"/>
    <n v="110"/>
    <s v="A"/>
    <s v="Major"/>
    <n v="53"/>
    <n v="75"/>
    <n v="69"/>
    <n v="7"/>
    <n v="0"/>
    <n v="17"/>
    <n v="3"/>
  </r>
  <r>
    <x v="399"/>
    <s v="LA FAMA (with The Weeknd)"/>
    <n v="2"/>
    <x v="330"/>
    <n v="4640"/>
    <n v="3"/>
    <n v="374706940"/>
    <s v="yes"/>
    <n v="81"/>
    <n v="93"/>
    <n v="507"/>
    <n v="6"/>
    <n v="4"/>
    <n v="136"/>
    <m/>
    <s v="Minor"/>
    <n v="77"/>
    <n v="82"/>
    <n v="30"/>
    <n v="95"/>
    <n v="0"/>
    <n v="13"/>
    <n v="5"/>
  </r>
  <r>
    <x v="400"/>
    <s v="The Family Madrigal"/>
    <n v="3"/>
    <x v="289"/>
    <n v="1150"/>
    <n v="0"/>
    <n v="184937148"/>
    <s v="no"/>
    <n v="20"/>
    <n v="38"/>
    <n v="12"/>
    <n v="0"/>
    <n v="0"/>
    <n v="141"/>
    <s v="C#"/>
    <s v="Major"/>
    <n v="59"/>
    <n v="56"/>
    <n v="63"/>
    <n v="12"/>
    <n v="0"/>
    <n v="6"/>
    <n v="36"/>
  </r>
  <r>
    <x v="401"/>
    <s v="Phantom Regret by Jim"/>
    <n v="1"/>
    <x v="286"/>
    <n v="768"/>
    <n v="0"/>
    <n v="31959571"/>
    <s v="no"/>
    <n v="1"/>
    <n v="1"/>
    <n v="3"/>
    <n v="0"/>
    <n v="0"/>
    <n v="108"/>
    <s v="A"/>
    <s v="Minor"/>
    <n v="46"/>
    <n v="23"/>
    <n v="48"/>
    <n v="75"/>
    <n v="30"/>
    <n v="14"/>
    <n v="4"/>
  </r>
  <r>
    <x v="401"/>
    <s v="Dos Oruguitas"/>
    <n v="1"/>
    <x v="289"/>
    <n v="925"/>
    <n v="0"/>
    <n v="167076418"/>
    <s v="no"/>
    <n v="24"/>
    <n v="47"/>
    <n v="74"/>
    <n v="0"/>
    <n v="0"/>
    <n v="94"/>
    <m/>
    <s v="Major"/>
    <n v="42"/>
    <n v="47"/>
    <n v="36"/>
    <n v="76"/>
    <n v="0"/>
    <n v="9"/>
    <n v="5"/>
  </r>
  <r>
    <x v="402"/>
    <s v="Freaks"/>
    <n v="1"/>
    <x v="331"/>
    <n v="3006"/>
    <n v="3"/>
    <n v="824420218"/>
    <s v="yes"/>
    <n v="23"/>
    <n v="21"/>
    <n v="121"/>
    <n v="0"/>
    <n v="13"/>
    <n v="180"/>
    <s v="A"/>
    <s v="Major"/>
    <n v="35"/>
    <n v="41"/>
    <n v="94"/>
    <n v="0"/>
    <n v="63"/>
    <n v="5"/>
    <n v="5"/>
  </r>
  <r>
    <x v="403"/>
    <s v="Acapulco"/>
    <n v="1"/>
    <x v="157"/>
    <n v="3098"/>
    <n v="0"/>
    <n v="363467642"/>
    <s v="yes"/>
    <n v="111"/>
    <n v="5"/>
    <n v="182"/>
    <n v="1"/>
    <n v="0"/>
    <n v="122"/>
    <s v="A#"/>
    <s v="Major"/>
    <n v="77"/>
    <n v="51"/>
    <n v="79"/>
    <n v="5"/>
    <n v="0"/>
    <n v="16"/>
    <n v="5"/>
  </r>
  <r>
    <x v="403"/>
    <s v="Daddy Issues"/>
    <n v="1"/>
    <x v="332"/>
    <n v="9771"/>
    <n v="4"/>
    <n v="1127468248"/>
    <s v="yes"/>
    <n v="42"/>
    <n v="70"/>
    <n v="384"/>
    <n v="0"/>
    <n v="3"/>
    <n v="85"/>
    <s v="A#"/>
    <s v="Major"/>
    <n v="59"/>
    <n v="33"/>
    <n v="52"/>
    <n v="7"/>
    <n v="15"/>
    <n v="12"/>
    <n v="3"/>
  </r>
  <r>
    <x v="403"/>
    <s v="thought i was playing"/>
    <n v="2"/>
    <x v="286"/>
    <n v="807"/>
    <n v="0"/>
    <n v="60680939"/>
    <s v="no"/>
    <n v="3"/>
    <n v="0"/>
    <n v="5"/>
    <n v="0"/>
    <n v="0"/>
    <n v="148"/>
    <s v="C#"/>
    <s v="Major"/>
    <n v="68"/>
    <n v="29"/>
    <n v="73"/>
    <n v="0"/>
    <n v="0"/>
    <n v="7"/>
    <n v="7"/>
  </r>
  <r>
    <x v="403"/>
    <s v="ELEVEN"/>
    <n v="1"/>
    <x v="310"/>
    <n v="521"/>
    <n v="1"/>
    <n v="247737946"/>
    <s v="yes"/>
    <n v="17"/>
    <n v="89"/>
    <n v="11"/>
    <n v="0"/>
    <n v="0"/>
    <n v="120"/>
    <s v="A"/>
    <s v="Major"/>
    <n v="83"/>
    <n v="59"/>
    <n v="73"/>
    <n v="6"/>
    <n v="0"/>
    <n v="5"/>
    <n v="11"/>
  </r>
  <r>
    <x v="403"/>
    <s v="Mood (feat. Iann Dior)"/>
    <n v="2"/>
    <x v="48"/>
    <n v="12854"/>
    <n v="0"/>
    <n v="1699402402"/>
    <s v="yes"/>
    <n v="237"/>
    <n v="27"/>
    <n v="636"/>
    <n v="0"/>
    <m/>
    <n v="91"/>
    <s v="G"/>
    <s v="Minor"/>
    <n v="70"/>
    <n v="76"/>
    <n v="72"/>
    <n v="22"/>
    <n v="0"/>
    <n v="27"/>
    <n v="4"/>
  </r>
  <r>
    <x v="403"/>
    <s v="What Else Can I Do?"/>
    <n v="2"/>
    <x v="289"/>
    <n v="802"/>
    <n v="0"/>
    <n v="154797871"/>
    <s v="no"/>
    <n v="13"/>
    <n v="27"/>
    <n v="8"/>
    <n v="0"/>
    <n v="0"/>
    <n v="120"/>
    <s v="E"/>
    <s v="Major"/>
    <n v="72"/>
    <n v="54"/>
    <n v="71"/>
    <n v="26"/>
    <n v="0"/>
    <n v="10"/>
    <n v="4"/>
  </r>
  <r>
    <x v="403"/>
    <s v="DANCE CRIP"/>
    <n v="1"/>
    <x v="333"/>
    <n v="731"/>
    <n v="0"/>
    <n v="198883004"/>
    <s v="no"/>
    <n v="14"/>
    <n v="14"/>
    <n v="24"/>
    <n v="0"/>
    <n v="4"/>
    <n v="106"/>
    <m/>
    <s v="Major"/>
    <n v="86"/>
    <n v="86"/>
    <n v="79"/>
    <n v="11"/>
    <n v="0"/>
    <n v="8"/>
    <n v="9"/>
  </r>
  <r>
    <x v="403"/>
    <s v="Miserable Man"/>
    <n v="1"/>
    <x v="286"/>
    <n v="788"/>
    <n v="0"/>
    <n v="124407432"/>
    <s v="no"/>
    <n v="13"/>
    <n v="0"/>
    <n v="32"/>
    <n v="1"/>
    <n v="0"/>
    <n v="110"/>
    <s v="A#"/>
    <s v="Major"/>
    <n v="63"/>
    <n v="31"/>
    <n v="35"/>
    <n v="93"/>
    <n v="0"/>
    <n v="29"/>
    <n v="3"/>
  </r>
  <r>
    <x v="403"/>
    <s v="happier"/>
    <n v="1"/>
    <x v="304"/>
    <n v="3069"/>
    <n v="4"/>
    <n v="850608354"/>
    <s v="yes"/>
    <n v="25"/>
    <n v="46"/>
    <n v="105"/>
    <n v="0"/>
    <n v="45"/>
    <n v="169"/>
    <s v="F#"/>
    <s v="Major"/>
    <n v="39"/>
    <n v="36"/>
    <n v="45"/>
    <n v="81"/>
    <n v="0"/>
    <n v="8"/>
    <n v="13"/>
  </r>
  <r>
    <x v="403"/>
    <s v="Praise God"/>
    <n v="1"/>
    <x v="334"/>
    <n v="4651"/>
    <n v="0"/>
    <n v="376333030"/>
    <s v="yes"/>
    <n v="24"/>
    <n v="6"/>
    <n v="105"/>
    <n v="0"/>
    <n v="0"/>
    <n v="118"/>
    <s v="C#"/>
    <s v="Major"/>
    <n v="80"/>
    <n v="21"/>
    <n v="55"/>
    <n v="1"/>
    <n v="0"/>
    <n v="26"/>
    <n v="17"/>
  </r>
  <r>
    <x v="403"/>
    <s v="Get Into It (Yuh)"/>
    <n v="1"/>
    <x v="258"/>
    <n v="4999"/>
    <n v="0"/>
    <n v="516784627"/>
    <s v="yes"/>
    <n v="43"/>
    <n v="19"/>
    <n v="73"/>
    <n v="12"/>
    <n v="0"/>
    <n v="92"/>
    <s v="G#"/>
    <s v="Minor"/>
    <n v="91"/>
    <n v="79"/>
    <n v="66"/>
    <n v="32"/>
    <n v="0"/>
    <n v="9"/>
    <n v="16"/>
  </r>
  <r>
    <x v="404"/>
    <s v="Before You Go"/>
    <n v="1"/>
    <x v="335"/>
    <n v="8327"/>
    <n v="24"/>
    <n v="1608045237"/>
    <s v="yes"/>
    <n v="205"/>
    <n v="130"/>
    <n v="625"/>
    <n v="0"/>
    <n v="25"/>
    <n v="112"/>
    <s v="D#"/>
    <s v="Major"/>
    <n v="45"/>
    <n v="19"/>
    <n v="60"/>
    <n v="63"/>
    <n v="0"/>
    <n v="9"/>
    <n v="6"/>
  </r>
  <r>
    <x v="405"/>
    <s v="Sky"/>
    <n v="1"/>
    <x v="336"/>
    <n v="3297"/>
    <n v="3"/>
    <n v="506778838"/>
    <s v="yes"/>
    <n v="25"/>
    <n v="3"/>
    <n v="52"/>
    <n v="0"/>
    <n v="1"/>
    <n v="140"/>
    <s v="D"/>
    <s v="Major"/>
    <n v="79"/>
    <n v="56"/>
    <n v="91"/>
    <n v="26"/>
    <n v="0"/>
    <n v="13"/>
    <n v="21"/>
  </r>
  <r>
    <x v="406"/>
    <s v="Rolling in the Deep"/>
    <n v="1"/>
    <x v="337"/>
    <n v="35684"/>
    <n v="6"/>
    <n v="1472799873"/>
    <s v="yes"/>
    <n v="195"/>
    <n v="125"/>
    <n v="6280"/>
    <n v="2"/>
    <n v="78"/>
    <n v="105"/>
    <s v="G#"/>
    <s v="Major"/>
    <n v="73"/>
    <n v="52"/>
    <n v="76"/>
    <n v="13"/>
    <n v="0"/>
    <n v="5"/>
    <n v="3"/>
  </r>
  <r>
    <x v="407"/>
    <s v="Sobrio"/>
    <n v="1"/>
    <x v="326"/>
    <n v="3506"/>
    <n v="10"/>
    <n v="513643924"/>
    <s v="yes"/>
    <n v="103"/>
    <n v="76"/>
    <n v="100"/>
    <n v="1"/>
    <n v="1"/>
    <n v="178"/>
    <s v="F"/>
    <s v="Major"/>
    <n v="76"/>
    <n v="63"/>
    <n v="77"/>
    <n v="14"/>
    <n v="0"/>
    <n v="15"/>
    <n v="22"/>
  </r>
  <r>
    <x v="408"/>
    <s v="Peru"/>
    <n v="2"/>
    <x v="338"/>
    <n v="2999"/>
    <n v="0"/>
    <n v="261286503"/>
    <s v="yes"/>
    <n v="60"/>
    <n v="17"/>
    <n v="154"/>
    <n v="0"/>
    <n v="22"/>
    <n v="108"/>
    <s v="G"/>
    <s v="Minor"/>
    <n v="96"/>
    <n v="71"/>
    <n v="42"/>
    <n v="57"/>
    <n v="0"/>
    <n v="8"/>
    <n v="9"/>
  </r>
  <r>
    <x v="409"/>
    <s v="favorite crime"/>
    <n v="1"/>
    <x v="304"/>
    <n v="3681"/>
    <n v="0"/>
    <n v="783706581"/>
    <s v="yes"/>
    <n v="20"/>
    <n v="21"/>
    <n v="99"/>
    <n v="0"/>
    <n v="7"/>
    <n v="173"/>
    <s v="A"/>
    <s v="Major"/>
    <n v="40"/>
    <n v="19"/>
    <n v="29"/>
    <n v="86"/>
    <n v="0"/>
    <n v="34"/>
    <n v="4"/>
  </r>
  <r>
    <x v="410"/>
    <s v="Thunder"/>
    <n v="3"/>
    <x v="339"/>
    <n v="4846"/>
    <n v="10"/>
    <n v="422691058"/>
    <s v="yes"/>
    <n v="54"/>
    <n v="16"/>
    <n v="259"/>
    <n v="0"/>
    <n v="13"/>
    <n v="101"/>
    <s v="C#"/>
    <s v="Major"/>
    <n v="67"/>
    <n v="40"/>
    <n v="90"/>
    <n v="3"/>
    <n v="0"/>
    <n v="34"/>
    <n v="6"/>
  </r>
  <r>
    <x v="410"/>
    <s v="The Business"/>
    <n v="1"/>
    <x v="340"/>
    <n v="14311"/>
    <n v="0"/>
    <n v="1062345656"/>
    <s v="yes"/>
    <n v="255"/>
    <n v="32"/>
    <n v="582"/>
    <n v="0"/>
    <n v="14"/>
    <n v="120"/>
    <s v="G#"/>
    <s v="Minor"/>
    <n v="80"/>
    <n v="24"/>
    <n v="62"/>
    <n v="41"/>
    <n v="2"/>
    <n v="11"/>
    <n v="23"/>
  </r>
  <r>
    <x v="411"/>
    <s v="positions"/>
    <n v="1"/>
    <x v="341"/>
    <n v="8207"/>
    <n v="0"/>
    <n v="1252563873"/>
    <s v="yes"/>
    <n v="175"/>
    <n v="55"/>
    <n v="95"/>
    <n v="0"/>
    <n v="2"/>
    <n v="144"/>
    <m/>
    <s v="Major"/>
    <n v="73"/>
    <n v="66"/>
    <n v="80"/>
    <n v="44"/>
    <n v="0"/>
    <n v="9"/>
    <n v="12"/>
  </r>
  <r>
    <x v="412"/>
    <s v="I WANNA BE YOUR SLAVE"/>
    <n v="1"/>
    <x v="109"/>
    <n v="4873"/>
    <n v="0"/>
    <n v="851070493"/>
    <s v="yes"/>
    <n v="65"/>
    <n v="88"/>
    <n v="434"/>
    <n v="3"/>
    <n v="13"/>
    <n v="133"/>
    <s v="C#"/>
    <s v="Major"/>
    <n v="75"/>
    <n v="96"/>
    <n v="61"/>
    <n v="0"/>
    <n v="0"/>
    <n v="18"/>
    <n v="4"/>
  </r>
  <r>
    <x v="413"/>
    <s v="Vai Lï¿½ï¿½ Em Casa "/>
    <n v="2"/>
    <x v="303"/>
    <n v="772"/>
    <n v="0"/>
    <n v="263894529"/>
    <s v="yes"/>
    <n v="7"/>
    <n v="3"/>
    <n v="89"/>
    <n v="0"/>
    <n v="0"/>
    <n v="158"/>
    <s v="G#"/>
    <s v="Minor"/>
    <n v="46"/>
    <n v="62"/>
    <n v="83"/>
    <n v="53"/>
    <n v="0"/>
    <n v="97"/>
    <n v="28"/>
  </r>
  <r>
    <x v="414"/>
    <s v="The Feels"/>
    <n v="1"/>
    <x v="342"/>
    <n v="1150"/>
    <n v="0"/>
    <n v="345903614"/>
    <s v="yes"/>
    <n v="20"/>
    <n v="99"/>
    <n v="44"/>
    <n v="0"/>
    <n v="2"/>
    <n v="120"/>
    <s v="A"/>
    <s v="Major"/>
    <n v="81"/>
    <n v="92"/>
    <n v="90"/>
    <n v="9"/>
    <n v="0"/>
    <n v="8"/>
    <n v="7"/>
  </r>
  <r>
    <x v="415"/>
    <s v="HEARTBREAK ANNIVERSARY"/>
    <n v="1"/>
    <x v="343"/>
    <n v="5398"/>
    <n v="4"/>
    <n v="951637566"/>
    <s v="yes"/>
    <n v="111"/>
    <n v="127"/>
    <n v="210"/>
    <n v="0"/>
    <n v="37"/>
    <n v="129"/>
    <m/>
    <s v="Major"/>
    <n v="61"/>
    <n v="59"/>
    <n v="46"/>
    <n v="56"/>
    <n v="0"/>
    <n v="13"/>
    <n v="5"/>
  </r>
  <r>
    <x v="416"/>
    <s v="No Lie"/>
    <n v="2"/>
    <x v="344"/>
    <n v="7370"/>
    <n v="0"/>
    <n v="956865266"/>
    <s v="yes"/>
    <n v="92"/>
    <n v="127"/>
    <n v="1219"/>
    <n v="0"/>
    <n v="62"/>
    <n v="102"/>
    <s v="G"/>
    <s v="Major"/>
    <n v="74"/>
    <n v="45"/>
    <n v="89"/>
    <n v="5"/>
    <n v="0"/>
    <n v="26"/>
    <n v="13"/>
  </r>
  <r>
    <x v="417"/>
    <s v="OUT OUT (feat. Charli XCX &amp; Saweetie)"/>
    <n v="4"/>
    <x v="285"/>
    <n v="6890"/>
    <n v="0"/>
    <n v="427486004"/>
    <s v="yes"/>
    <n v="122"/>
    <n v="11"/>
    <n v="201"/>
    <n v="0"/>
    <n v="1"/>
    <n v="124"/>
    <s v="G#"/>
    <s v="Minor"/>
    <n v="79"/>
    <n v="79"/>
    <n v="84"/>
    <n v="2"/>
    <n v="0"/>
    <n v="5"/>
    <n v="5"/>
  </r>
  <r>
    <x v="418"/>
    <s v="Pope Is a Rockstar"/>
    <n v="1"/>
    <x v="345"/>
    <n v="1966"/>
    <n v="0"/>
    <n v="156658366"/>
    <s v="no"/>
    <n v="4"/>
    <n v="2"/>
    <n v="50"/>
    <n v="0"/>
    <n v="0"/>
    <n v="90"/>
    <s v="E"/>
    <s v="Minor"/>
    <n v="73"/>
    <n v="31"/>
    <n v="45"/>
    <n v="85"/>
    <n v="24"/>
    <n v="11"/>
    <n v="3"/>
  </r>
  <r>
    <x v="419"/>
    <n v="2055"/>
    <n v="1"/>
    <x v="346"/>
    <n v="2226"/>
    <n v="0"/>
    <n v="624515457"/>
    <s v="yes"/>
    <n v="29"/>
    <n v="0"/>
    <n v="44"/>
    <n v="0"/>
    <n v="0"/>
    <n v="161"/>
    <s v="F#"/>
    <s v="Minor"/>
    <n v="78"/>
    <n v="65"/>
    <n v="52"/>
    <n v="46"/>
    <n v="0"/>
    <n v="12"/>
    <n v="31"/>
  </r>
  <r>
    <x v="420"/>
    <s v="Bored"/>
    <n v="1"/>
    <x v="347"/>
    <n v="4204"/>
    <n v="0"/>
    <n v="777765388"/>
    <s v="yes"/>
    <n v="39"/>
    <n v="45"/>
    <n v="250"/>
    <n v="0"/>
    <n v="0"/>
    <n v="120"/>
    <s v="G"/>
    <s v="Major"/>
    <n v="60"/>
    <n v="11"/>
    <n v="33"/>
    <n v="90"/>
    <n v="0"/>
    <n v="8"/>
    <n v="5"/>
  </r>
  <r>
    <x v="420"/>
    <s v="Happier Than Ever - Edit"/>
    <n v="1"/>
    <x v="348"/>
    <n v="1959"/>
    <n v="0"/>
    <n v="412795151"/>
    <s v="yes"/>
    <n v="19"/>
    <n v="0"/>
    <n v="38"/>
    <n v="0"/>
    <n v="0"/>
    <n v="81"/>
    <m/>
    <s v="Major"/>
    <n v="45"/>
    <n v="12"/>
    <n v="57"/>
    <n v="7"/>
    <n v="0"/>
    <n v="23"/>
    <n v="3"/>
  </r>
  <r>
    <x v="420"/>
    <s v="Astronaut In The Ocean"/>
    <n v="1"/>
    <x v="349"/>
    <n v="7191"/>
    <n v="0"/>
    <n v="1138474110"/>
    <s v="yes"/>
    <n v="146"/>
    <n v="18"/>
    <n v="478"/>
    <n v="0"/>
    <n v="7"/>
    <n v="150"/>
    <s v="E"/>
    <s v="Minor"/>
    <n v="78"/>
    <n v="47"/>
    <n v="70"/>
    <n v="18"/>
    <n v="0"/>
    <n v="15"/>
    <n v="9"/>
  </r>
  <r>
    <x v="420"/>
    <s v="Ley Seca"/>
    <n v="2"/>
    <x v="350"/>
    <n v="2012"/>
    <n v="0"/>
    <n v="355219175"/>
    <s v="yes"/>
    <n v="101"/>
    <n v="12"/>
    <n v="38"/>
    <n v="0"/>
    <n v="0"/>
    <n v="105"/>
    <s v="G#"/>
    <s v="Major"/>
    <n v="76"/>
    <n v="58"/>
    <n v="84"/>
    <n v="10"/>
    <n v="0"/>
    <n v="13"/>
    <n v="10"/>
  </r>
  <r>
    <x v="420"/>
    <s v="Every Summertime"/>
    <n v="1"/>
    <x v="351"/>
    <n v="1211"/>
    <n v="2"/>
    <n v="290228626"/>
    <s v="yes"/>
    <n v="30"/>
    <n v="2"/>
    <n v="5"/>
    <n v="0"/>
    <n v="6"/>
    <n v="79"/>
    <s v="F#"/>
    <s v="Major"/>
    <n v="63"/>
    <n v="76"/>
    <n v="67"/>
    <n v="38"/>
    <n v="0"/>
    <n v="6"/>
    <n v="4"/>
  </r>
  <r>
    <x v="420"/>
    <s v="Talking To The Moon"/>
    <n v="1"/>
    <x v="352"/>
    <n v="7109"/>
    <n v="2"/>
    <n v="1062956628"/>
    <s v="yes"/>
    <n v="5"/>
    <n v="0"/>
    <n v="862"/>
    <n v="0"/>
    <n v="0"/>
    <n v="146"/>
    <s v="C#"/>
    <s v="Minor"/>
    <n v="52"/>
    <n v="7"/>
    <n v="61"/>
    <n v="51"/>
    <n v="0"/>
    <n v="11"/>
    <n v="3"/>
  </r>
  <r>
    <x v="421"/>
    <s v="you broke me first"/>
    <n v="1"/>
    <x v="353"/>
    <n v="6638"/>
    <n v="0"/>
    <n v="1180094974"/>
    <s v="yes"/>
    <n v="167"/>
    <n v="19"/>
    <n v="318"/>
    <n v="0"/>
    <n v="1"/>
    <n v="124"/>
    <s v="E"/>
    <s v="Major"/>
    <n v="64"/>
    <n v="8"/>
    <n v="37"/>
    <n v="79"/>
    <n v="0"/>
    <n v="9"/>
    <n v="5"/>
  </r>
  <r>
    <x v="422"/>
    <s v="The Nights"/>
    <n v="1"/>
    <x v="32"/>
    <n v="17354"/>
    <n v="8"/>
    <n v="1456081449"/>
    <s v="yes"/>
    <n v="92"/>
    <n v="122"/>
    <n v="1282"/>
    <n v="0"/>
    <n v="55"/>
    <n v="126"/>
    <s v="F#"/>
    <s v="Major"/>
    <n v="53"/>
    <n v="66"/>
    <n v="85"/>
    <n v="2"/>
    <n v="0"/>
    <n v="24"/>
    <n v="4"/>
  </r>
  <r>
    <x v="423"/>
    <s v="Take My Breath"/>
    <n v="1"/>
    <x v="292"/>
    <n v="6392"/>
    <n v="0"/>
    <n v="432702334"/>
    <s v="yes"/>
    <n v="174"/>
    <n v="73"/>
    <n v="344"/>
    <n v="0"/>
    <n v="0"/>
    <n v="121"/>
    <s v="G#"/>
    <s v="Major"/>
    <n v="75"/>
    <n v="53"/>
    <n v="74"/>
    <n v="2"/>
    <n v="0"/>
    <n v="11"/>
    <n v="5"/>
  </r>
  <r>
    <x v="423"/>
    <s v="Way 2 Sexy (with Future &amp; Young Thug)"/>
    <n v="3"/>
    <x v="220"/>
    <n v="5481"/>
    <n v="0"/>
    <n v="489945871"/>
    <s v="yes"/>
    <n v="144"/>
    <n v="30"/>
    <n v="86"/>
    <n v="0"/>
    <n v="0"/>
    <n v="136"/>
    <s v="B"/>
    <s v="Minor"/>
    <n v="80"/>
    <n v="33"/>
    <n v="60"/>
    <n v="0"/>
    <n v="0"/>
    <n v="32"/>
    <n v="14"/>
  </r>
  <r>
    <x v="424"/>
    <s v="Cï¿½ï¿½"/>
    <n v="1"/>
    <x v="258"/>
    <n v="2636"/>
    <n v="3"/>
    <n v="465959382"/>
    <s v="yes"/>
    <n v="36"/>
    <n v="82"/>
    <n v="39"/>
    <n v="0"/>
    <n v="5"/>
    <n v="102"/>
    <s v="A"/>
    <s v="Minor"/>
    <n v="77"/>
    <n v="26"/>
    <n v="63"/>
    <n v="58"/>
    <n v="0"/>
    <n v="11"/>
    <n v="5"/>
  </r>
  <r>
    <x v="425"/>
    <s v="Enemy - from the series Arcane League of Legends"/>
    <n v="3"/>
    <x v="309"/>
    <n v="824"/>
    <n v="0"/>
    <n v="1223481149"/>
    <s v="yes"/>
    <n v="8"/>
    <n v="8"/>
    <n v="8"/>
    <n v="2"/>
    <n v="0"/>
    <n v="77"/>
    <s v="G"/>
    <s v="Major"/>
    <n v="73"/>
    <n v="54"/>
    <n v="74"/>
    <n v="23"/>
    <n v="0"/>
    <n v="41"/>
    <n v="23"/>
  </r>
  <r>
    <x v="426"/>
    <s v="Dance Monkey"/>
    <n v="1"/>
    <x v="101"/>
    <n v="24529"/>
    <n v="0"/>
    <n v="2864791672"/>
    <s v="yes"/>
    <n v="533"/>
    <n v="167"/>
    <n v="3595"/>
    <n v="6"/>
    <m/>
    <n v="98"/>
    <s v="F#"/>
    <s v="Minor"/>
    <n v="82"/>
    <n v="54"/>
    <n v="59"/>
    <n v="69"/>
    <n v="0"/>
    <n v="18"/>
    <n v="10"/>
  </r>
  <r>
    <x v="426"/>
    <s v="Lucid Dreams"/>
    <n v="1"/>
    <x v="354"/>
    <n v="14749"/>
    <n v="0"/>
    <n v="2288695111"/>
    <s v="yes"/>
    <n v="188"/>
    <n v="34"/>
    <n v="710"/>
    <n v="0"/>
    <n v="5"/>
    <n v="84"/>
    <s v="B"/>
    <s v="Minor"/>
    <n v="44"/>
    <n v="22"/>
    <n v="48"/>
    <n v="38"/>
    <n v="0"/>
    <n v="33"/>
    <n v="24"/>
  </r>
  <r>
    <x v="427"/>
    <s v="Quï¿½ï¿½ Mï¿½ï¿"/>
    <n v="2"/>
    <x v="355"/>
    <n v="8087"/>
    <n v="0"/>
    <n v="720825549"/>
    <s v="yes"/>
    <n v="92"/>
    <n v="34"/>
    <n v="131"/>
    <n v="0"/>
    <n v="0"/>
    <n v="102"/>
    <s v="G#"/>
    <s v="Major"/>
    <n v="89"/>
    <n v="77"/>
    <n v="82"/>
    <n v="3"/>
    <n v="0"/>
    <n v="17"/>
    <n v="11"/>
  </r>
  <r>
    <x v="428"/>
    <s v="All of Me"/>
    <n v="1"/>
    <x v="356"/>
    <n v="27221"/>
    <n v="0"/>
    <n v="2086124197"/>
    <s v="yes"/>
    <n v="308"/>
    <n v="118"/>
    <n v="4534"/>
    <n v="2"/>
    <n v="77"/>
    <n v="120"/>
    <s v="G#"/>
    <s v="Major"/>
    <n v="42"/>
    <n v="33"/>
    <n v="26"/>
    <n v="92"/>
    <n v="0"/>
    <n v="13"/>
    <n v="3"/>
  </r>
  <r>
    <x v="429"/>
    <s v="Smells Like Teen Spirit - Remastered 2021"/>
    <n v="1"/>
    <x v="357"/>
    <n v="49991"/>
    <n v="9"/>
    <n v="1690192927"/>
    <s v="yes"/>
    <n v="265"/>
    <n v="121"/>
    <n v="12367"/>
    <n v="4"/>
    <n v="160"/>
    <n v="117"/>
    <s v="C#"/>
    <s v="Major"/>
    <n v="52"/>
    <n v="73"/>
    <n v="91"/>
    <n v="0"/>
    <n v="0"/>
    <n v="11"/>
    <n v="7"/>
  </r>
  <r>
    <x v="430"/>
    <s v="Arcade"/>
    <n v="1"/>
    <x v="358"/>
    <n v="6646"/>
    <n v="0"/>
    <n v="991336132"/>
    <s v="yes"/>
    <n v="107"/>
    <n v="47"/>
    <n v="584"/>
    <n v="1"/>
    <m/>
    <n v="72"/>
    <s v="A"/>
    <s v="Minor"/>
    <n v="45"/>
    <n v="27"/>
    <n v="33"/>
    <n v="82"/>
    <n v="0"/>
    <n v="14"/>
    <n v="4"/>
  </r>
  <r>
    <x v="431"/>
    <s v="Fair Trade (with Travis Scott)"/>
    <n v="2"/>
    <x v="220"/>
    <n v="5403"/>
    <n v="6"/>
    <n v="593917618"/>
    <s v="yes"/>
    <n v="118"/>
    <n v="116"/>
    <n v="96"/>
    <n v="0"/>
    <n v="3"/>
    <n v="168"/>
    <s v="C#"/>
    <s v="Major"/>
    <n v="67"/>
    <n v="29"/>
    <n v="47"/>
    <n v="5"/>
    <n v="0"/>
    <n v="22"/>
    <n v="26"/>
  </r>
  <r>
    <x v="431"/>
    <s v="Bar"/>
    <n v="2"/>
    <x v="330"/>
    <n v="755"/>
    <n v="4"/>
    <n v="200972675"/>
    <s v="yes"/>
    <n v="22"/>
    <n v="3"/>
    <n v="0"/>
    <n v="0"/>
    <n v="0"/>
    <n v="94"/>
    <s v="C#"/>
    <s v="Major"/>
    <n v="52"/>
    <n v="68"/>
    <n v="69"/>
    <n v="13"/>
    <n v="0"/>
    <n v="33"/>
    <n v="8"/>
  </r>
  <r>
    <x v="432"/>
    <s v="The Rumbling (TV Size)"/>
    <n v="1"/>
    <x v="359"/>
    <n v="254"/>
    <n v="0"/>
    <n v="71014967"/>
    <s v="no"/>
    <n v="0"/>
    <n v="4"/>
    <n v="23"/>
    <n v="0"/>
    <n v="0"/>
    <n v="145"/>
    <s v="G#"/>
    <s v="Major"/>
    <n v="41"/>
    <n v="65"/>
    <n v="88"/>
    <n v="0"/>
    <n v="0"/>
    <n v="26"/>
    <n v="5"/>
  </r>
  <r>
    <x v="433"/>
    <s v="family ties (with Kendrick Lamar)"/>
    <n v="2"/>
    <x v="360"/>
    <n v="6308"/>
    <n v="5"/>
    <n v="560222750"/>
    <s v="yes"/>
    <n v="114"/>
    <n v="15"/>
    <n v="63"/>
    <n v="0"/>
    <n v="2"/>
    <n v="134"/>
    <s v="C#"/>
    <s v="Major"/>
    <n v="71"/>
    <n v="14"/>
    <n v="61"/>
    <n v="1"/>
    <n v="0"/>
    <n v="23"/>
    <n v="33"/>
  </r>
  <r>
    <x v="434"/>
    <s v="Mr. Brightside"/>
    <n v="1"/>
    <x v="361"/>
    <n v="51979"/>
    <n v="15"/>
    <n v="1806617704"/>
    <s v="yes"/>
    <n v="306"/>
    <n v="99"/>
    <n v="5063"/>
    <n v="2"/>
    <n v="120"/>
    <n v="148"/>
    <s v="C#"/>
    <s v="Major"/>
    <n v="35"/>
    <n v="24"/>
    <n v="93"/>
    <n v="0"/>
    <n v="0"/>
    <n v="10"/>
    <n v="8"/>
  </r>
  <r>
    <x v="435"/>
    <s v="Blessed-Cursed"/>
    <n v="1"/>
    <x v="359"/>
    <n v="246"/>
    <n v="0"/>
    <n v="77337771"/>
    <s v="no"/>
    <n v="2"/>
    <n v="12"/>
    <n v="10"/>
    <n v="0"/>
    <n v="0"/>
    <n v="127"/>
    <s v="E"/>
    <s v="Minor"/>
    <n v="60"/>
    <n v="40"/>
    <n v="89"/>
    <n v="9"/>
    <n v="0"/>
    <n v="60"/>
    <n v="6"/>
  </r>
  <r>
    <x v="436"/>
    <s v="AM Remix"/>
    <n v="3"/>
    <x v="290"/>
    <n v="6556"/>
    <n v="0"/>
    <n v="528544703"/>
    <s v="yes"/>
    <n v="93"/>
    <n v="5"/>
    <n v="67"/>
    <n v="1"/>
    <n v="0"/>
    <n v="172"/>
    <s v="F#"/>
    <s v="Minor"/>
    <n v="74"/>
    <n v="79"/>
    <n v="66"/>
    <n v="11"/>
    <n v="0"/>
    <n v="8"/>
    <n v="16"/>
  </r>
  <r>
    <x v="437"/>
    <s v="Streets"/>
    <n v="1"/>
    <x v="362"/>
    <n v="5728"/>
    <n v="0"/>
    <n v="865640097"/>
    <s v="yes"/>
    <n v="85"/>
    <n v="87"/>
    <n v="179"/>
    <n v="0"/>
    <n v="12"/>
    <n v="90"/>
    <s v="B"/>
    <s v="Major"/>
    <n v="75"/>
    <n v="19"/>
    <n v="46"/>
    <n v="21"/>
    <n v="4"/>
    <n v="34"/>
    <n v="8"/>
  </r>
  <r>
    <x v="437"/>
    <s v="Shallow"/>
    <n v="2"/>
    <x v="363"/>
    <n v="16636"/>
    <n v="12"/>
    <n v="2159346687"/>
    <s v="yes"/>
    <n v="368"/>
    <n v="155"/>
    <n v="2854"/>
    <n v="6"/>
    <n v="121"/>
    <n v="96"/>
    <s v="G"/>
    <s v="Major"/>
    <n v="57"/>
    <n v="30"/>
    <n v="40"/>
    <n v="38"/>
    <n v="0"/>
    <n v="26"/>
    <n v="3"/>
  </r>
  <r>
    <x v="437"/>
    <s v="Polaroid Love"/>
    <n v="1"/>
    <x v="359"/>
    <n v="461"/>
    <n v="0"/>
    <n v="211372494"/>
    <s v="yes"/>
    <n v="10"/>
    <n v="56"/>
    <n v="17"/>
    <n v="0"/>
    <n v="0"/>
    <n v="138"/>
    <s v="G"/>
    <s v="Minor"/>
    <n v="74"/>
    <n v="65"/>
    <n v="67"/>
    <n v="46"/>
    <n v="0"/>
    <n v="36"/>
    <n v="4"/>
  </r>
  <r>
    <x v="437"/>
    <s v="Leave Before You Love Me (with Jonas Brothers)"/>
    <n v="2"/>
    <x v="364"/>
    <n v="4893"/>
    <n v="4"/>
    <n v="651732901"/>
    <s v="yes"/>
    <n v="143"/>
    <n v="24"/>
    <n v="110"/>
    <n v="0"/>
    <n v="70"/>
    <n v="120"/>
    <s v="G"/>
    <s v="Major"/>
    <n v="72"/>
    <n v="67"/>
    <n v="72"/>
    <n v="0"/>
    <n v="0"/>
    <n v="13"/>
    <n v="4"/>
  </r>
  <r>
    <x v="437"/>
    <s v="Permission to Dance"/>
    <n v="1"/>
    <x v="64"/>
    <n v="1801"/>
    <n v="2"/>
    <n v="608334048"/>
    <s v="yes"/>
    <n v="77"/>
    <n v="134"/>
    <n v="74"/>
    <n v="0"/>
    <n v="2"/>
    <n v="125"/>
    <s v="A"/>
    <s v="Major"/>
    <n v="70"/>
    <n v="65"/>
    <n v="74"/>
    <n v="1"/>
    <n v="0"/>
    <n v="34"/>
    <n v="4"/>
  </r>
  <r>
    <x v="437"/>
    <s v="Friday (feat. Mufasa &amp; Hypeman) - Dopamine Re-Edit"/>
    <n v="4"/>
    <x v="365"/>
    <n v="12043"/>
    <n v="0"/>
    <n v="863756573"/>
    <s v="yes"/>
    <n v="209"/>
    <n v="54"/>
    <n v="710"/>
    <n v="0"/>
    <n v="18"/>
    <n v="123"/>
    <s v="D"/>
    <s v="Major"/>
    <n v="82"/>
    <n v="80"/>
    <n v="86"/>
    <n v="1"/>
    <n v="0"/>
    <n v="30"/>
    <n v="13"/>
  </r>
  <r>
    <x v="437"/>
    <s v="RAPSTAR"/>
    <n v="1"/>
    <x v="132"/>
    <n v="4731"/>
    <n v="0"/>
    <n v="797402345"/>
    <s v="yes"/>
    <n v="141"/>
    <n v="12"/>
    <n v="78"/>
    <n v="0"/>
    <n v="0"/>
    <n v="81"/>
    <s v="F#"/>
    <s v="Major"/>
    <n v="79"/>
    <n v="44"/>
    <n v="54"/>
    <n v="41"/>
    <n v="0"/>
    <n v="13"/>
    <n v="24"/>
  </r>
  <r>
    <x v="438"/>
    <s v="'Till I Collapse"/>
    <n v="2"/>
    <x v="186"/>
    <n v="22923"/>
    <n v="0"/>
    <n v="1695712020"/>
    <s v="yes"/>
    <n v="78"/>
    <n v="46"/>
    <n v="2515"/>
    <n v="1"/>
    <n v="0"/>
    <n v="171"/>
    <s v="C#"/>
    <s v="Major"/>
    <n v="55"/>
    <n v="10"/>
    <n v="85"/>
    <n v="7"/>
    <n v="0"/>
    <n v="8"/>
    <n v="20"/>
  </r>
  <r>
    <x v="439"/>
    <s v="Memories"/>
    <n v="1"/>
    <x v="366"/>
    <n v="9974"/>
    <n v="2"/>
    <n v="1759567999"/>
    <s v="yes"/>
    <n v="272"/>
    <n v="67"/>
    <n v="1066"/>
    <n v="1"/>
    <n v="19"/>
    <n v="91"/>
    <s v="B"/>
    <s v="Major"/>
    <n v="77"/>
    <n v="60"/>
    <n v="32"/>
    <n v="84"/>
    <n v="0"/>
    <n v="8"/>
    <n v="5"/>
  </r>
  <r>
    <x v="440"/>
    <s v="Se Le Ve"/>
    <n v="8"/>
    <x v="367"/>
    <n v="1560"/>
    <n v="0"/>
    <n v="223319934"/>
    <s v="yes"/>
    <n v="72"/>
    <n v="0"/>
    <n v="0"/>
    <n v="0"/>
    <n v="0"/>
    <n v="84"/>
    <s v="G"/>
    <s v="Minor"/>
    <n v="56"/>
    <n v="61"/>
    <n v="76"/>
    <n v="10"/>
    <n v="0"/>
    <n v="14"/>
    <n v="11"/>
  </r>
  <r>
    <x v="440"/>
    <s v="25k jacket (feat. Lil Baby)"/>
    <n v="2"/>
    <x v="286"/>
    <n v="620"/>
    <n v="0"/>
    <n v="54937991"/>
    <s v="no"/>
    <n v="17"/>
    <n v="3"/>
    <n v="3"/>
    <n v="0"/>
    <n v="0"/>
    <n v="115"/>
    <s v="F"/>
    <s v="Minor"/>
    <n v="90"/>
    <n v="74"/>
    <n v="54"/>
    <n v="16"/>
    <n v="0"/>
    <n v="13"/>
    <n v="28"/>
  </r>
  <r>
    <x v="441"/>
    <s v="When Iï¿½ï¿½ï¿½m Gone (with Katy "/>
    <n v="2"/>
    <x v="317"/>
    <n v="3270"/>
    <n v="0"/>
    <n v="226897599"/>
    <s v="yes"/>
    <n v="89"/>
    <n v="21"/>
    <n v="65"/>
    <n v="0"/>
    <n v="0"/>
    <n v="125"/>
    <m/>
    <s v="Major"/>
    <n v="69"/>
    <n v="70"/>
    <n v="89"/>
    <n v="4"/>
    <n v="0"/>
    <n v="49"/>
    <n v="3"/>
  </r>
  <r>
    <x v="442"/>
    <s v="Esqueï¿½ï¿½a-Me Se For C"/>
    <n v="2"/>
    <x v="159"/>
    <n v="580"/>
    <n v="0"/>
    <n v="258316038"/>
    <s v="yes"/>
    <n v="24"/>
    <n v="92"/>
    <n v="93"/>
    <n v="0"/>
    <n v="0"/>
    <n v="122"/>
    <s v="F#"/>
    <s v="Minor"/>
    <n v="80"/>
    <n v="62"/>
    <n v="69"/>
    <n v="28"/>
    <n v="0"/>
    <n v="13"/>
    <n v="7"/>
  </r>
  <r>
    <x v="443"/>
    <s v="Miï¿½ï¿½n"/>
    <n v="2"/>
    <x v="368"/>
    <n v="3406"/>
    <n v="16"/>
    <n v="596152090"/>
    <s v="yes"/>
    <n v="61"/>
    <n v="23"/>
    <n v="70"/>
    <n v="1"/>
    <n v="0"/>
    <n v="92"/>
    <s v="D"/>
    <s v="Major"/>
    <n v="85"/>
    <n v="92"/>
    <n v="54"/>
    <n v="16"/>
    <n v="0"/>
    <n v="29"/>
    <n v="7"/>
  </r>
  <r>
    <x v="444"/>
    <s v="Sï¿½ï¿½"/>
    <n v="3"/>
    <x v="308"/>
    <n v="903"/>
    <n v="0"/>
    <n v="177129919"/>
    <s v="no"/>
    <n v="30"/>
    <n v="26"/>
    <n v="15"/>
    <n v="0"/>
    <n v="0"/>
    <n v="90"/>
    <s v="F#"/>
    <s v="Minor"/>
    <n v="63"/>
    <n v="75"/>
    <n v="75"/>
    <n v="17"/>
    <n v="0"/>
    <n v="11"/>
    <n v="8"/>
  </r>
  <r>
    <x v="445"/>
    <s v="MAMIII"/>
    <n v="2"/>
    <x v="369"/>
    <n v="6809"/>
    <n v="28"/>
    <n v="716591492"/>
    <s v="yes"/>
    <n v="151"/>
    <n v="102"/>
    <n v="175"/>
    <n v="5"/>
    <n v="29"/>
    <n v="94"/>
    <s v="E"/>
    <s v="Minor"/>
    <n v="84"/>
    <n v="90"/>
    <n v="70"/>
    <n v="9"/>
    <n v="0"/>
    <n v="14"/>
    <n v="8"/>
  </r>
  <r>
    <x v="446"/>
    <s v="Still D.R.E."/>
    <n v="2"/>
    <x v="53"/>
    <n v="33966"/>
    <n v="0"/>
    <n v="1210599487"/>
    <s v="yes"/>
    <n v="141"/>
    <n v="78"/>
    <n v="6591"/>
    <n v="1"/>
    <n v="0"/>
    <n v="93"/>
    <s v="B"/>
    <s v="Major"/>
    <n v="81"/>
    <n v="53"/>
    <n v="78"/>
    <n v="18"/>
    <n v="0"/>
    <n v="6"/>
    <n v="24"/>
  </r>
  <r>
    <x v="447"/>
    <s v="Stay Alive (Prod. SUGA of BTS)"/>
    <n v="1"/>
    <x v="370"/>
    <n v="590"/>
    <n v="5"/>
    <n v="246376690"/>
    <s v="yes"/>
    <n v="4"/>
    <n v="113"/>
    <n v="20"/>
    <n v="0"/>
    <n v="1"/>
    <n v="130"/>
    <s v="D"/>
    <s v="Minor"/>
    <n v="51"/>
    <n v="50"/>
    <n v="76"/>
    <n v="30"/>
    <n v="0"/>
    <n v="10"/>
    <n v="7"/>
  </r>
  <r>
    <x v="448"/>
    <s v="Boyfriend"/>
    <n v="1"/>
    <x v="370"/>
    <n v="3766"/>
    <n v="0"/>
    <n v="496311364"/>
    <s v="yes"/>
    <n v="76"/>
    <n v="0"/>
    <n v="102"/>
    <n v="0"/>
    <n v="2"/>
    <n v="180"/>
    <s v="G"/>
    <s v="Minor"/>
    <n v="35"/>
    <n v="23"/>
    <n v="61"/>
    <n v="23"/>
    <n v="0"/>
    <n v="19"/>
    <n v="6"/>
  </r>
  <r>
    <x v="449"/>
    <s v="The Joker And The Queen (feat. Taylor Swift)"/>
    <n v="2"/>
    <x v="370"/>
    <n v="1430"/>
    <n v="0"/>
    <n v="146789379"/>
    <s v="no"/>
    <n v="46"/>
    <n v="1"/>
    <n v="34"/>
    <n v="0"/>
    <n v="0"/>
    <n v="134"/>
    <m/>
    <s v="Major"/>
    <n v="53"/>
    <n v="31"/>
    <n v="31"/>
    <n v="92"/>
    <n v="0"/>
    <n v="28"/>
    <n v="3"/>
  </r>
  <r>
    <x v="450"/>
    <s v="The Next Episode"/>
    <n v="2"/>
    <x v="53"/>
    <n v="31762"/>
    <n v="0"/>
    <n v="843309044"/>
    <s v="yes"/>
    <n v="142"/>
    <n v="40"/>
    <n v="5451"/>
    <n v="1"/>
    <n v="953"/>
    <n v="95"/>
    <s v="D#"/>
    <s v="Minor"/>
    <n v="92"/>
    <n v="31"/>
    <n v="89"/>
    <n v="3"/>
    <n v="0"/>
    <n v="8"/>
    <n v="25"/>
  </r>
  <r>
    <x v="451"/>
    <s v="Light Switch"/>
    <n v="1"/>
    <x v="371"/>
    <n v="4049"/>
    <n v="0"/>
    <n v="500340342"/>
    <s v="yes"/>
    <n v="119"/>
    <n v="6"/>
    <n v="85"/>
    <n v="1"/>
    <n v="1"/>
    <n v="184"/>
    <s v="F#"/>
    <s v="Major"/>
    <n v="69"/>
    <n v="91"/>
    <n v="63"/>
    <n v="11"/>
    <n v="0"/>
    <n v="9"/>
    <n v="31"/>
  </r>
  <r>
    <x v="451"/>
    <s v="City of Gods"/>
    <n v="3"/>
    <x v="370"/>
    <n v="2096"/>
    <n v="0"/>
    <n v="107255472"/>
    <s v="no"/>
    <n v="34"/>
    <n v="3"/>
    <n v="30"/>
    <n v="0"/>
    <n v="0"/>
    <n v="147"/>
    <s v="G#"/>
    <s v="Minor"/>
    <n v="47"/>
    <n v="50"/>
    <n v="80"/>
    <n v="10"/>
    <n v="0"/>
    <n v="32"/>
    <n v="38"/>
  </r>
  <r>
    <x v="452"/>
    <s v="Brividi"/>
    <n v="2"/>
    <x v="372"/>
    <n v="1175"/>
    <n v="0"/>
    <n v="135079152"/>
    <s v="no"/>
    <n v="34"/>
    <n v="1"/>
    <n v="31"/>
    <n v="0"/>
    <n v="0"/>
    <n v="123"/>
    <s v="G"/>
    <s v="Major"/>
    <n v="52"/>
    <n v="44"/>
    <n v="60"/>
    <n v="40"/>
    <n v="0"/>
    <n v="26"/>
    <n v="3"/>
  </r>
  <r>
    <x v="453"/>
    <s v="Lost"/>
    <n v="1"/>
    <x v="76"/>
    <n v="29499"/>
    <n v="11"/>
    <n v="822239726"/>
    <s v="yes"/>
    <n v="124"/>
    <n v="27"/>
    <n v="587"/>
    <n v="0"/>
    <n v="4"/>
    <n v="123"/>
    <s v="A#"/>
    <s v="Minor"/>
    <n v="91"/>
    <n v="49"/>
    <n v="61"/>
    <n v="3"/>
    <n v="0"/>
    <n v="17"/>
    <n v="22"/>
  </r>
  <r>
    <x v="454"/>
    <s v="In Da Club"/>
    <n v="1"/>
    <x v="100"/>
    <n v="30427"/>
    <n v="7"/>
    <n v="1202722675"/>
    <s v="yes"/>
    <n v="235"/>
    <n v="106"/>
    <n v="5221"/>
    <n v="1"/>
    <n v="35"/>
    <n v="90"/>
    <s v="F#"/>
    <s v="Minor"/>
    <n v="90"/>
    <n v="79"/>
    <n v="71"/>
    <n v="26"/>
    <n v="0"/>
    <n v="7"/>
    <n v="37"/>
  </r>
  <r>
    <x v="454"/>
    <s v="she's all i wanna be"/>
    <n v="1"/>
    <x v="373"/>
    <n v="2711"/>
    <n v="0"/>
    <n v="343197054"/>
    <s v="yes"/>
    <n v="105"/>
    <n v="12"/>
    <n v="51"/>
    <n v="0"/>
    <n v="12"/>
    <n v="160"/>
    <s v="D"/>
    <s v="Minor"/>
    <n v="61"/>
    <n v="65"/>
    <n v="64"/>
    <n v="1"/>
    <n v="0"/>
    <n v="12"/>
    <n v="4"/>
  </r>
  <r>
    <x v="455"/>
    <s v="Ginseng Strip 2002"/>
    <n v="1"/>
    <x v="374"/>
    <n v="4310"/>
    <n v="0"/>
    <n v="240769997"/>
    <s v="yes"/>
    <n v="13"/>
    <n v="0"/>
    <n v="113"/>
    <n v="1"/>
    <n v="3"/>
    <n v="115"/>
    <s v="C#"/>
    <s v="Major"/>
    <n v="60"/>
    <n v="37"/>
    <n v="71"/>
    <n v="8"/>
    <n v="0"/>
    <n v="48"/>
    <n v="4"/>
  </r>
  <r>
    <x v="456"/>
    <s v="All For Us - from the HBO Original Series Euphoria"/>
    <n v="2"/>
    <x v="375"/>
    <n v="5342"/>
    <n v="0"/>
    <n v="426204830"/>
    <s v="yes"/>
    <n v="33"/>
    <n v="123"/>
    <n v="7"/>
    <n v="0"/>
    <n v="4"/>
    <n v="141"/>
    <s v="D#"/>
    <s v="Major"/>
    <n v="37"/>
    <n v="17"/>
    <n v="67"/>
    <n v="2"/>
    <n v="0"/>
    <n v="34"/>
    <n v="9"/>
  </r>
  <r>
    <x v="457"/>
    <s v="Notion"/>
    <n v="1"/>
    <x v="376"/>
    <n v="2393"/>
    <n v="0"/>
    <n v="421135627"/>
    <s v="yes"/>
    <n v="22"/>
    <n v="13"/>
    <n v="65"/>
    <n v="0"/>
    <n v="6"/>
    <n v="160"/>
    <s v="A"/>
    <s v="Major"/>
    <n v="31"/>
    <n v="30"/>
    <n v="88"/>
    <n v="7"/>
    <n v="0"/>
    <n v="8"/>
    <n v="8"/>
  </r>
  <r>
    <x v="458"/>
    <s v="Formula"/>
    <n v="1"/>
    <x v="110"/>
    <n v="3444"/>
    <n v="7"/>
    <n v="554875730"/>
    <s v="yes"/>
    <n v="24"/>
    <n v="85"/>
    <n v="102"/>
    <n v="0"/>
    <n v="1"/>
    <n v="145"/>
    <s v="B"/>
    <s v="Major"/>
    <n v="57"/>
    <n v="23"/>
    <n v="66"/>
    <n v="4"/>
    <n v="6"/>
    <n v="15"/>
    <n v="4"/>
  </r>
  <r>
    <x v="459"/>
    <s v="Mount Everest"/>
    <n v="1"/>
    <x v="377"/>
    <n v="5443"/>
    <n v="0"/>
    <n v="467727006"/>
    <s v="yes"/>
    <n v="45"/>
    <n v="1"/>
    <n v="80"/>
    <n v="0"/>
    <n v="12"/>
    <n v="89"/>
    <m/>
    <s v="Minor"/>
    <n v="46"/>
    <n v="43"/>
    <n v="43"/>
    <n v="23"/>
    <n v="8"/>
    <n v="8"/>
    <n v="22"/>
  </r>
  <r>
    <x v="460"/>
    <s v="Excuses"/>
    <n v="3"/>
    <x v="48"/>
    <n v="272"/>
    <n v="4"/>
    <n v="327498031"/>
    <s v="yes"/>
    <n v="7"/>
    <n v="21"/>
    <n v="2"/>
    <n v="0"/>
    <n v="0"/>
    <n v="95"/>
    <s v="F"/>
    <s v="Minor"/>
    <n v="84"/>
    <n v="49"/>
    <n v="72"/>
    <n v="8"/>
    <n v="0"/>
    <n v="15"/>
    <n v="8"/>
  </r>
  <r>
    <x v="461"/>
    <s v="Cigarettes"/>
    <n v="1"/>
    <x v="161"/>
    <n v="975"/>
    <n v="0"/>
    <n v="185408548"/>
    <s v="no"/>
    <n v="11"/>
    <n v="0"/>
    <n v="10"/>
    <n v="0"/>
    <n v="0"/>
    <n v="160"/>
    <s v="D"/>
    <s v="Major"/>
    <n v="60"/>
    <n v="47"/>
    <n v="62"/>
    <n v="3"/>
    <n v="0"/>
    <n v="38"/>
    <n v="4"/>
  </r>
  <r>
    <x v="462"/>
    <s v="Cayï¿½ï¿½ La Noche (feat. Cruz Cafunï¿½ï¿½, Abhir Hathi, Bejo, EL IMA)"/>
    <n v="7"/>
    <x v="378"/>
    <n v="1034"/>
    <n v="1"/>
    <n v="245400167"/>
    <s v="yes"/>
    <n v="19"/>
    <n v="5"/>
    <n v="12"/>
    <n v="0"/>
    <n v="0"/>
    <n v="174"/>
    <s v="F"/>
    <s v="Minor"/>
    <n v="67"/>
    <n v="74"/>
    <n v="75"/>
    <n v="44"/>
    <n v="0"/>
    <n v="7"/>
    <n v="30"/>
  </r>
  <r>
    <x v="463"/>
    <s v="California Love - Original Version (Explicit)"/>
    <n v="3"/>
    <x v="379"/>
    <n v="18773"/>
    <n v="0"/>
    <n v="579395142"/>
    <s v="yes"/>
    <n v="128"/>
    <n v="17"/>
    <n v="1663"/>
    <n v="0"/>
    <n v="0"/>
    <n v="92"/>
    <s v="G"/>
    <s v="Major"/>
    <n v="77"/>
    <n v="76"/>
    <n v="84"/>
    <n v="3"/>
    <n v="0"/>
    <n v="38"/>
    <n v="4"/>
  </r>
  <r>
    <x v="464"/>
    <s v="Forgot About Dre"/>
    <n v="2"/>
    <x v="53"/>
    <n v="19067"/>
    <n v="0"/>
    <n v="675039469"/>
    <s v="yes"/>
    <n v="78"/>
    <n v="15"/>
    <n v="1674"/>
    <n v="0"/>
    <n v="3"/>
    <n v="134"/>
    <s v="G#"/>
    <s v="Major"/>
    <n v="93"/>
    <n v="61"/>
    <n v="74"/>
    <n v="9"/>
    <n v="0"/>
    <n v="17"/>
    <n v="8"/>
  </r>
  <r>
    <x v="465"/>
    <s v="Down Under (feat. Colin Hay)"/>
    <n v="2"/>
    <x v="289"/>
    <n v="3541"/>
    <n v="2"/>
    <n v="252871192"/>
    <s v="yes"/>
    <n v="57"/>
    <n v="13"/>
    <n v="50"/>
    <n v="1"/>
    <n v="7"/>
    <n v="172"/>
    <s v="B"/>
    <s v="Minor"/>
    <n v="31"/>
    <n v="4"/>
    <n v="86"/>
    <n v="1"/>
    <n v="0"/>
    <n v="28"/>
    <n v="17"/>
  </r>
  <r>
    <x v="466"/>
    <s v="Mujeriego"/>
    <n v="1"/>
    <x v="380"/>
    <n v="1492"/>
    <n v="0"/>
    <n v="231996128"/>
    <s v="yes"/>
    <n v="44"/>
    <n v="63"/>
    <n v="91"/>
    <n v="0"/>
    <n v="24"/>
    <n v="80"/>
    <s v="A"/>
    <s v="Major"/>
    <n v="76"/>
    <n v="92"/>
    <n v="62"/>
    <n v="6"/>
    <n v="0"/>
    <n v="8"/>
    <n v="13"/>
  </r>
  <r>
    <x v="467"/>
    <s v="HUMBLE."/>
    <n v="1"/>
    <x v="347"/>
    <n v="33206"/>
    <n v="1"/>
    <n v="1929770265"/>
    <s v="yes"/>
    <n v="284"/>
    <n v="114"/>
    <n v="1481"/>
    <n v="0"/>
    <n v="5"/>
    <n v="150"/>
    <s v="C#"/>
    <s v="Minor"/>
    <n v="91"/>
    <n v="42"/>
    <n v="60"/>
    <n v="0"/>
    <n v="0"/>
    <n v="9"/>
    <n v="12"/>
  </r>
  <r>
    <x v="467"/>
    <s v="Stan"/>
    <n v="2"/>
    <x v="381"/>
    <n v="17115"/>
    <n v="0"/>
    <n v="918915401"/>
    <s v="yes"/>
    <n v="83"/>
    <n v="63"/>
    <n v="4180"/>
    <n v="0"/>
    <n v="0"/>
    <n v="80"/>
    <s v="F#"/>
    <s v="Minor"/>
    <n v="78"/>
    <n v="53"/>
    <n v="74"/>
    <n v="4"/>
    <n v="0"/>
    <n v="45"/>
    <n v="21"/>
  </r>
  <r>
    <x v="467"/>
    <s v="Contection"/>
    <n v="2"/>
    <x v="382"/>
    <n v="6955"/>
    <n v="0"/>
    <n v="1180896317"/>
    <s v="yes"/>
    <n v="65"/>
    <n v="45"/>
    <n v="398"/>
    <n v="0"/>
    <n v="1"/>
    <n v="166"/>
    <s v="A#"/>
    <s v="Minor"/>
    <n v="81"/>
    <n v="83"/>
    <n v="75"/>
    <n v="14"/>
    <n v="0"/>
    <n v="29"/>
    <n v="34"/>
  </r>
  <r>
    <x v="468"/>
    <s v="Swim"/>
    <n v="1"/>
    <x v="383"/>
    <n v="2742"/>
    <n v="0"/>
    <n v="498960285"/>
    <s v="yes"/>
    <n v="5"/>
    <n v="1"/>
    <n v="62"/>
    <n v="0"/>
    <n v="0"/>
    <n v="120"/>
    <s v="G#"/>
    <s v="Major"/>
    <n v="67"/>
    <n v="8"/>
    <n v="54"/>
    <n v="27"/>
    <n v="0"/>
    <n v="8"/>
    <n v="4"/>
  </r>
  <r>
    <x v="469"/>
    <s v="A Tu Merced"/>
    <n v="1"/>
    <x v="384"/>
    <n v="4214"/>
    <n v="11"/>
    <n v="685071800"/>
    <s v="yes"/>
    <n v="21"/>
    <n v="20"/>
    <n v="40"/>
    <n v="0"/>
    <n v="0"/>
    <n v="92"/>
    <m/>
    <s v="Major"/>
    <n v="86"/>
    <n v="89"/>
    <n v="79"/>
    <n v="17"/>
    <n v="0"/>
    <n v="11"/>
    <n v="6"/>
  </r>
  <r>
    <x v="470"/>
    <s v="Numb Little Bug"/>
    <n v="1"/>
    <x v="385"/>
    <n v="2026"/>
    <n v="0"/>
    <n v="258714692"/>
    <s v="yes"/>
    <n v="47"/>
    <n v="3"/>
    <n v="42"/>
    <n v="12"/>
    <n v="6"/>
    <n v="85"/>
    <s v="G#"/>
    <s v="Minor"/>
    <n v="74"/>
    <n v="61"/>
    <n v="52"/>
    <n v="30"/>
    <n v="0"/>
    <n v="26"/>
    <n v="9"/>
  </r>
  <r>
    <x v="471"/>
    <n v="212"/>
    <n v="2"/>
    <x v="386"/>
    <n v="352"/>
    <n v="0"/>
    <n v="143139338"/>
    <s v="no"/>
    <n v="10"/>
    <n v="0"/>
    <n v="39"/>
    <n v="0"/>
    <n v="0"/>
    <n v="154"/>
    <s v="D"/>
    <s v="Minor"/>
    <n v="79"/>
    <n v="86"/>
    <n v="52"/>
    <n v="66"/>
    <n v="0"/>
    <n v="9"/>
    <n v="7"/>
  </r>
  <r>
    <x v="472"/>
    <s v="Problemï¿½"/>
    <n v="2"/>
    <x v="303"/>
    <n v="1517"/>
    <n v="0"/>
    <n v="209768491"/>
    <s v="yes"/>
    <n v="42"/>
    <n v="7"/>
    <n v="15"/>
    <n v="0"/>
    <n v="4"/>
    <n v="92"/>
    <s v="D"/>
    <s v="Minor"/>
    <n v="73"/>
    <n v="37"/>
    <n v="74"/>
    <n v="28"/>
    <n v="0"/>
    <n v="14"/>
    <n v="6"/>
  </r>
  <r>
    <x v="473"/>
    <s v="Bussin"/>
    <n v="2"/>
    <x v="370"/>
    <n v="847"/>
    <n v="0"/>
    <n v="64714573"/>
    <s v="no"/>
    <n v="25"/>
    <n v="0"/>
    <n v="14"/>
    <n v="0"/>
    <n v="0"/>
    <n v="140"/>
    <s v="B"/>
    <s v="Major"/>
    <n v="89"/>
    <n v="75"/>
    <n v="70"/>
    <n v="6"/>
    <n v="0"/>
    <n v="13"/>
    <n v="5"/>
  </r>
  <r>
    <x v="474"/>
    <s v="Worst Day"/>
    <n v="1"/>
    <x v="370"/>
    <n v="910"/>
    <n v="0"/>
    <n v="50746620"/>
    <s v="no"/>
    <n v="20"/>
    <n v="3"/>
    <n v="24"/>
    <n v="0"/>
    <n v="0"/>
    <n v="89"/>
    <s v="C#"/>
    <s v="Major"/>
    <n v="65"/>
    <n v="60"/>
    <n v="60"/>
    <n v="11"/>
    <n v="0"/>
    <n v="10"/>
    <n v="40"/>
  </r>
  <r>
    <x v="475"/>
    <s v="Malvada"/>
    <n v="1"/>
    <x v="385"/>
    <n v="601"/>
    <n v="0"/>
    <n v="154119539"/>
    <s v="no"/>
    <n v="28"/>
    <n v="73"/>
    <n v="64"/>
    <n v="0"/>
    <n v="0"/>
    <n v="135"/>
    <s v="F"/>
    <s v="Minor"/>
    <n v="89"/>
    <n v="89"/>
    <n v="86"/>
    <n v="16"/>
    <n v="0"/>
    <n v="8"/>
    <n v="5"/>
  </r>
  <r>
    <x v="475"/>
    <s v="Hrs and Hrs"/>
    <n v="1"/>
    <x v="289"/>
    <n v="1800"/>
    <n v="0"/>
    <n v="181328253"/>
    <s v="no"/>
    <n v="43"/>
    <n v="36"/>
    <n v="46"/>
    <n v="13"/>
    <n v="4"/>
    <n v="140"/>
    <s v="G#"/>
    <s v="Minor"/>
    <n v="51"/>
    <n v="66"/>
    <n v="53"/>
    <n v="60"/>
    <n v="0"/>
    <n v="11"/>
    <n v="18"/>
  </r>
  <r>
    <x v="475"/>
    <s v="Alien Blues"/>
    <n v="1"/>
    <x v="387"/>
    <n v="1930"/>
    <n v="0"/>
    <n v="370068639"/>
    <s v="yes"/>
    <n v="3"/>
    <n v="0"/>
    <n v="28"/>
    <n v="0"/>
    <n v="1"/>
    <n v="82"/>
    <s v="D#"/>
    <s v="Major"/>
    <n v="47"/>
    <n v="44"/>
    <n v="76"/>
    <n v="8"/>
    <n v="91"/>
    <n v="9"/>
    <n v="3"/>
  </r>
  <r>
    <x v="475"/>
    <s v="Thinking Out Loud"/>
    <n v="1"/>
    <x v="32"/>
    <n v="33032"/>
    <n v="0"/>
    <n v="2280566092"/>
    <s v="yes"/>
    <n v="363"/>
    <n v="129"/>
    <n v="3895"/>
    <n v="0"/>
    <n v="28"/>
    <n v="79"/>
    <s v="D"/>
    <s v="Major"/>
    <n v="78"/>
    <n v="58"/>
    <n v="45"/>
    <n v="47"/>
    <n v="0"/>
    <n v="18"/>
    <n v="3"/>
  </r>
  <r>
    <x v="476"/>
    <s v="Still Don't Know My Name"/>
    <n v="1"/>
    <x v="110"/>
    <n v="6332"/>
    <n v="0"/>
    <n v="563902868"/>
    <s v="yes"/>
    <n v="47"/>
    <n v="116"/>
    <n v="266"/>
    <n v="0"/>
    <n v="0"/>
    <n v="88"/>
    <s v="F"/>
    <s v="Major"/>
    <n v="31"/>
    <n v="31"/>
    <n v="63"/>
    <n v="47"/>
    <n v="27"/>
    <n v="21"/>
    <n v="12"/>
  </r>
  <r>
    <x v="477"/>
    <s v="Christmas Tree"/>
    <n v="1"/>
    <x v="192"/>
    <n v="509"/>
    <n v="9"/>
    <n v="317622165"/>
    <s v="yes"/>
    <n v="8"/>
    <n v="106"/>
    <n v="6"/>
    <n v="0"/>
    <n v="8"/>
    <n v="139"/>
    <s v="F"/>
    <s v="Major"/>
    <n v="44"/>
    <n v="18"/>
    <n v="38"/>
    <n v="70"/>
    <n v="0"/>
    <n v="12"/>
    <n v="4"/>
  </r>
  <r>
    <x v="478"/>
    <s v="Mal Feito - Ao Vivo"/>
    <n v="2"/>
    <x v="378"/>
    <n v="971"/>
    <n v="2"/>
    <n v="291709698"/>
    <s v="yes"/>
    <n v="35"/>
    <n v="104"/>
    <n v="93"/>
    <n v="1"/>
    <n v="0"/>
    <n v="124"/>
    <m/>
    <s v="Minor"/>
    <n v="73"/>
    <n v="68"/>
    <n v="83"/>
    <n v="55"/>
    <n v="0"/>
    <n v="90"/>
    <n v="7"/>
  </r>
  <r>
    <x v="479"/>
    <s v="When I R.I.P."/>
    <n v="1"/>
    <x v="110"/>
    <n v="2578"/>
    <n v="0"/>
    <n v="203680270"/>
    <s v="yes"/>
    <n v="8"/>
    <n v="67"/>
    <n v="66"/>
    <n v="0"/>
    <n v="0"/>
    <n v="80"/>
    <s v="G#"/>
    <s v="Minor"/>
    <n v="39"/>
    <n v="45"/>
    <n v="55"/>
    <n v="73"/>
    <n v="0"/>
    <n v="9"/>
    <n v="21"/>
  </r>
  <r>
    <x v="480"/>
    <s v="Do We Have A Problem?"/>
    <n v="2"/>
    <x v="373"/>
    <n v="1064"/>
    <n v="0"/>
    <n v="81350745"/>
    <s v="no"/>
    <n v="42"/>
    <n v="1"/>
    <n v="26"/>
    <n v="0"/>
    <n v="0"/>
    <n v="120"/>
    <s v="C#"/>
    <s v="Minor"/>
    <n v="84"/>
    <n v="54"/>
    <n v="51"/>
    <n v="47"/>
    <n v="0"/>
    <n v="12"/>
    <n v="40"/>
  </r>
  <r>
    <x v="480"/>
    <s v="Forever"/>
    <n v="1"/>
    <x v="110"/>
    <n v="3618"/>
    <n v="0"/>
    <n v="282883169"/>
    <s v="yes"/>
    <n v="21"/>
    <n v="86"/>
    <n v="138"/>
    <n v="0"/>
    <n v="2"/>
    <n v="80"/>
    <s v="E"/>
    <s v="Minor"/>
    <n v="56"/>
    <n v="19"/>
    <n v="46"/>
    <n v="92"/>
    <n v="72"/>
    <n v="11"/>
    <n v="3"/>
  </r>
  <r>
    <x v="481"/>
    <s v="Gospel (with Eminem)"/>
    <n v="2"/>
    <x v="373"/>
    <n v="1040"/>
    <n v="0"/>
    <n v="64787943"/>
    <s v="no"/>
    <n v="8"/>
    <n v="0"/>
    <n v="29"/>
    <n v="0"/>
    <n v="0"/>
    <n v="117"/>
    <s v="C#"/>
    <s v="Major"/>
    <n v="92"/>
    <n v="62"/>
    <n v="86"/>
    <n v="11"/>
    <n v="0"/>
    <n v="24"/>
    <n v="24"/>
  </r>
  <r>
    <x v="481"/>
    <s v="Seï¿½ï¿½o"/>
    <n v="2"/>
    <x v="388"/>
    <n v="15010"/>
    <n v="2"/>
    <n v="2484812918"/>
    <s v="yes"/>
    <n v="453"/>
    <n v="50"/>
    <n v="1785"/>
    <n v="1"/>
    <n v="8"/>
    <n v="117"/>
    <s v="A"/>
    <s v="Minor"/>
    <n v="76"/>
    <n v="77"/>
    <n v="52"/>
    <n v="4"/>
    <n v="0"/>
    <n v="8"/>
    <n v="3"/>
  </r>
  <r>
    <x v="482"/>
    <s v="NEW MAGIC WAND"/>
    <n v="2"/>
    <x v="389"/>
    <n v="4708"/>
    <n v="0"/>
    <n v="461437791"/>
    <s v="yes"/>
    <n v="13"/>
    <n v="7"/>
    <n v="55"/>
    <n v="0"/>
    <n v="1"/>
    <n v="140"/>
    <s v="F"/>
    <s v="Minor"/>
    <n v="62"/>
    <n v="46"/>
    <n v="73"/>
    <n v="10"/>
    <n v="0"/>
    <n v="67"/>
    <n v="11"/>
  </r>
  <r>
    <x v="483"/>
    <s v="Adore You"/>
    <n v="1"/>
    <x v="390"/>
    <n v="13454"/>
    <n v="1"/>
    <n v="1439191367"/>
    <s v="yes"/>
    <n v="246"/>
    <n v="71"/>
    <n v="519"/>
    <n v="2"/>
    <n v="5"/>
    <n v="99"/>
    <s v="G#"/>
    <s v="Major"/>
    <n v="68"/>
    <n v="57"/>
    <n v="77"/>
    <n v="2"/>
    <n v="0"/>
    <n v="10"/>
    <n v="5"/>
  </r>
  <r>
    <x v="484"/>
    <s v="La Santa"/>
    <n v="2"/>
    <x v="384"/>
    <n v="4890"/>
    <n v="20"/>
    <n v="759208783"/>
    <s v="yes"/>
    <n v="52"/>
    <n v="42"/>
    <n v="100"/>
    <n v="0"/>
    <n v="0"/>
    <n v="93"/>
    <s v="C#"/>
    <s v="Major"/>
    <n v="74"/>
    <n v="59"/>
    <n v="87"/>
    <n v="3"/>
    <n v="0"/>
    <n v="8"/>
    <n v="5"/>
  </r>
  <r>
    <x v="484"/>
    <s v="Something In The Way - Remastered 2021"/>
    <n v="1"/>
    <x v="391"/>
    <n v="9514"/>
    <n v="0"/>
    <n v="368646862"/>
    <s v="yes"/>
    <n v="45"/>
    <n v="27"/>
    <n v="1197"/>
    <n v="0"/>
    <n v="43"/>
    <n v="106"/>
    <s v="G#"/>
    <s v="Major"/>
    <n v="44"/>
    <n v="8"/>
    <n v="20"/>
    <n v="74"/>
    <n v="42"/>
    <n v="11"/>
    <n v="3"/>
  </r>
  <r>
    <x v="485"/>
    <s v="Sweetest Pie"/>
    <n v="2"/>
    <x v="392"/>
    <n v="3501"/>
    <n v="0"/>
    <n v="299634472"/>
    <s v="yes"/>
    <n v="69"/>
    <n v="2"/>
    <n v="51"/>
    <n v="11"/>
    <n v="0"/>
    <n v="124"/>
    <s v="G"/>
    <s v="Major"/>
    <n v="81"/>
    <n v="68"/>
    <n v="63"/>
    <n v="17"/>
    <n v="0"/>
    <n v="10"/>
    <n v="22"/>
  </r>
  <r>
    <x v="486"/>
    <s v="Bam Bam (feat. Ed Sheeran)"/>
    <n v="2"/>
    <x v="393"/>
    <n v="6111"/>
    <n v="4"/>
    <n v="756907987"/>
    <s v="yes"/>
    <n v="185"/>
    <n v="40"/>
    <n v="492"/>
    <n v="9"/>
    <n v="35"/>
    <n v="95"/>
    <s v="G#"/>
    <s v="Major"/>
    <n v="76"/>
    <n v="96"/>
    <n v="70"/>
    <n v="18"/>
    <n v="0"/>
    <n v="33"/>
    <n v="4"/>
  </r>
  <r>
    <x v="487"/>
    <s v="Una Noche en Medellï¿½"/>
    <n v="1"/>
    <x v="198"/>
    <n v="5415"/>
    <n v="32"/>
    <n v="682475162"/>
    <s v="yes"/>
    <n v="46"/>
    <n v="16"/>
    <n v="53"/>
    <n v="1"/>
    <n v="2"/>
    <n v="96"/>
    <s v="A#"/>
    <s v="Minor"/>
    <n v="87"/>
    <n v="82"/>
    <n v="53"/>
    <n v="10"/>
    <n v="0"/>
    <n v="5"/>
    <n v="8"/>
  </r>
  <r>
    <x v="488"/>
    <s v="Envolver"/>
    <n v="1"/>
    <x v="330"/>
    <n v="4673"/>
    <n v="2"/>
    <n v="546191065"/>
    <s v="yes"/>
    <n v="123"/>
    <n v="113"/>
    <n v="180"/>
    <n v="1"/>
    <n v="4"/>
    <n v="92"/>
    <s v="E"/>
    <s v="Minor"/>
    <n v="81"/>
    <n v="40"/>
    <n v="73"/>
    <n v="15"/>
    <n v="0"/>
    <n v="9"/>
    <n v="8"/>
  </r>
  <r>
    <x v="489"/>
    <s v="Starlight"/>
    <n v="1"/>
    <x v="394"/>
    <n v="1856"/>
    <n v="3"/>
    <n v="229473310"/>
    <s v="yes"/>
    <n v="29"/>
    <n v="40"/>
    <n v="31"/>
    <n v="1"/>
    <n v="1"/>
    <n v="124"/>
    <s v="G"/>
    <s v="Major"/>
    <n v="95"/>
    <n v="36"/>
    <n v="37"/>
    <n v="35"/>
    <n v="0"/>
    <n v="10"/>
    <n v="28"/>
  </r>
  <r>
    <x v="490"/>
    <s v="Hati-Hati di Jalan"/>
    <n v="1"/>
    <x v="394"/>
    <n v="200"/>
    <n v="2"/>
    <n v="202677468"/>
    <s v="yes"/>
    <n v="12"/>
    <n v="4"/>
    <n v="0"/>
    <n v="0"/>
    <n v="0"/>
    <n v="72"/>
    <s v="F#"/>
    <s v="Major"/>
    <n v="64"/>
    <n v="76"/>
    <n v="44"/>
    <n v="70"/>
    <n v="9"/>
    <n v="12"/>
    <n v="4"/>
  </r>
  <r>
    <x v="491"/>
    <s v="I'm Tired - From &quot;Euphoria&quot; An Original HBO Series"/>
    <n v="1"/>
    <x v="373"/>
    <n v="1888"/>
    <n v="0"/>
    <n v="121913181"/>
    <s v="no"/>
    <n v="26"/>
    <n v="1"/>
    <n v="58"/>
    <n v="0"/>
    <n v="0"/>
    <n v="71"/>
    <m/>
    <s v="Minor"/>
    <n v="28"/>
    <n v="26"/>
    <n v="20"/>
    <n v="19"/>
    <n v="0"/>
    <n v="30"/>
    <n v="3"/>
  </r>
  <r>
    <x v="492"/>
    <s v="DANï¿½ï¿½A"/>
    <n v="2"/>
    <x v="395"/>
    <n v="911"/>
    <n v="2"/>
    <n v="208166039"/>
    <s v="yes"/>
    <n v="45"/>
    <n v="0"/>
    <n v="99"/>
    <n v="1"/>
    <n v="1"/>
    <n v="135"/>
    <s v="A"/>
    <s v="Minor"/>
    <n v="78"/>
    <n v="55"/>
    <n v="57"/>
    <n v="4"/>
    <n v="0"/>
    <n v="10"/>
    <n v="8"/>
  </r>
  <r>
    <x v="493"/>
    <s v="Yo Voy (feat. Daddy Yankee)"/>
    <n v="1"/>
    <x v="396"/>
    <n v="2954"/>
    <n v="2"/>
    <n v="527033089"/>
    <s v="yes"/>
    <n v="18"/>
    <n v="82"/>
    <n v="0"/>
    <n v="0"/>
    <n v="5"/>
    <n v="95"/>
    <s v="A#"/>
    <s v="Major"/>
    <n v="81"/>
    <n v="56"/>
    <n v="70"/>
    <n v="4"/>
    <n v="0"/>
    <n v="5"/>
    <n v="24"/>
  </r>
  <r>
    <x v="494"/>
    <s v="Residente: Bzrp Music Sessions, Vol. 49"/>
    <n v="2"/>
    <x v="394"/>
    <n v="461"/>
    <n v="0"/>
    <n v="94616487"/>
    <s v="no"/>
    <n v="7"/>
    <n v="11"/>
    <n v="13"/>
    <n v="0"/>
    <n v="0"/>
    <n v="71"/>
    <s v="C#"/>
    <s v="Minor"/>
    <n v="59"/>
    <n v="70"/>
    <n v="74"/>
    <n v="56"/>
    <n v="0"/>
    <n v="11"/>
    <n v="40"/>
  </r>
  <r>
    <x v="495"/>
    <s v="Jordan"/>
    <n v="1"/>
    <x v="397"/>
    <n v="2844"/>
    <n v="2"/>
    <n v="394030335"/>
    <s v="yes"/>
    <n v="29"/>
    <n v="2"/>
    <n v="35"/>
    <n v="1"/>
    <n v="0"/>
    <n v="180"/>
    <s v="A#"/>
    <s v="Minor"/>
    <n v="80"/>
    <n v="71"/>
    <n v="68"/>
    <n v="6"/>
    <n v="0"/>
    <n v="10"/>
    <n v="37"/>
  </r>
  <r>
    <x v="496"/>
    <s v="Nail Tech"/>
    <n v="1"/>
    <x v="398"/>
    <n v="2939"/>
    <n v="0"/>
    <n v="193443895"/>
    <s v="no"/>
    <n v="42"/>
    <n v="0"/>
    <n v="24"/>
    <n v="0"/>
    <n v="0"/>
    <n v="150"/>
    <s v="E"/>
    <s v="Minor"/>
    <n v="65"/>
    <n v="11"/>
    <n v="58"/>
    <n v="0"/>
    <n v="0"/>
    <n v="12"/>
    <n v="9"/>
  </r>
  <r>
    <x v="497"/>
    <s v="Chale"/>
    <n v="1"/>
    <x v="398"/>
    <n v="695"/>
    <n v="11"/>
    <n v="299648208"/>
    <s v="yes"/>
    <n v="16"/>
    <n v="41"/>
    <n v="13"/>
    <n v="1"/>
    <n v="1"/>
    <n v="189"/>
    <s v="G#"/>
    <s v="Major"/>
    <n v="55"/>
    <n v="86"/>
    <n v="44"/>
    <n v="40"/>
    <n v="0"/>
    <n v="7"/>
    <n v="4"/>
  </r>
  <r>
    <x v="497"/>
    <s v="DARARI"/>
    <n v="1"/>
    <x v="399"/>
    <n v="328"/>
    <n v="0"/>
    <n v="182978249"/>
    <s v="no"/>
    <n v="10"/>
    <n v="21"/>
    <n v="7"/>
    <n v="0"/>
    <n v="9"/>
    <n v="85"/>
    <m/>
    <s v="Major"/>
    <n v="72"/>
    <n v="55"/>
    <n v="64"/>
    <n v="49"/>
    <n v="0"/>
    <n v="7"/>
    <n v="4"/>
  </r>
  <r>
    <x v="498"/>
    <s v="Ya No Somos Ni Seremos"/>
    <n v="1"/>
    <x v="398"/>
    <n v="866"/>
    <n v="16"/>
    <n v="319757142"/>
    <s v="yes"/>
    <n v="27"/>
    <n v="84"/>
    <n v="32"/>
    <n v="7"/>
    <n v="11"/>
    <n v="140"/>
    <s v="G"/>
    <s v="Major"/>
    <n v="59"/>
    <n v="73"/>
    <n v="45"/>
    <n v="44"/>
    <n v="0"/>
    <n v="34"/>
    <n v="3"/>
  </r>
  <r>
    <x v="499"/>
    <s v="Thinking with My Dick"/>
    <n v="2"/>
    <x v="400"/>
    <n v="1550"/>
    <n v="0"/>
    <n v="109091573"/>
    <s v="no"/>
    <n v="0"/>
    <n v="0"/>
    <n v="14"/>
    <n v="0"/>
    <n v="0"/>
    <n v="81"/>
    <m/>
    <s v="Major"/>
    <n v="77"/>
    <n v="68"/>
    <n v="70"/>
    <n v="6"/>
    <n v="0"/>
    <n v="17"/>
    <n v="20"/>
  </r>
  <r>
    <x v="499"/>
    <s v="Freaky Deaky"/>
    <n v="2"/>
    <x v="401"/>
    <n v="1729"/>
    <n v="0"/>
    <n v="153240879"/>
    <s v="no"/>
    <n v="26"/>
    <n v="1"/>
    <n v="19"/>
    <n v="0"/>
    <n v="0"/>
    <n v="104"/>
    <s v="D"/>
    <s v="Minor"/>
    <n v="80"/>
    <n v="24"/>
    <n v="65"/>
    <n v="2"/>
    <n v="0"/>
    <n v="9"/>
    <n v="4"/>
  </r>
  <r>
    <x v="500"/>
    <s v="this is what falling in love feels like"/>
    <n v="1"/>
    <x v="220"/>
    <n v="2005"/>
    <n v="0"/>
    <n v="346127840"/>
    <s v="yes"/>
    <n v="16"/>
    <n v="5"/>
    <n v="43"/>
    <n v="0"/>
    <n v="7"/>
    <n v="129"/>
    <s v="B"/>
    <s v="Major"/>
    <n v="42"/>
    <n v="33"/>
    <n v="44"/>
    <n v="62"/>
    <n v="0"/>
    <n v="8"/>
    <n v="6"/>
  </r>
  <r>
    <x v="501"/>
    <s v="La Zona"/>
    <n v="1"/>
    <x v="384"/>
    <n v="1188"/>
    <n v="0"/>
    <n v="312622938"/>
    <s v="yes"/>
    <n v="13"/>
    <n v="1"/>
    <n v="15"/>
    <n v="0"/>
    <n v="1"/>
    <n v="94"/>
    <s v="C#"/>
    <s v="Minor"/>
    <n v="76"/>
    <n v="81"/>
    <n v="80"/>
    <n v="20"/>
    <n v="0"/>
    <n v="25"/>
    <n v="4"/>
  </r>
  <r>
    <x v="501"/>
    <s v="Bohemian Rhapsody - Remastered 2011"/>
    <n v="1"/>
    <x v="402"/>
    <n v="40112"/>
    <n v="3"/>
    <n v="2197010679"/>
    <s v="yes"/>
    <n v="321"/>
    <n v="162"/>
    <n v="5691"/>
    <n v="8"/>
    <n v="17"/>
    <n v="71"/>
    <m/>
    <s v="Minor"/>
    <n v="41"/>
    <n v="23"/>
    <n v="40"/>
    <n v="27"/>
    <n v="0"/>
    <n v="30"/>
    <n v="5"/>
  </r>
  <r>
    <x v="502"/>
    <s v="Hope"/>
    <n v="1"/>
    <x v="403"/>
    <n v="3659"/>
    <n v="0"/>
    <n v="1200808494"/>
    <s v="yes"/>
    <n v="11"/>
    <n v="10"/>
    <n v="267"/>
    <n v="0"/>
    <n v="7"/>
    <n v="146"/>
    <s v="A"/>
    <s v="Minor"/>
    <n v="59"/>
    <n v="23"/>
    <n v="46"/>
    <n v="66"/>
    <n v="0"/>
    <n v="15"/>
    <n v="6"/>
  </r>
  <r>
    <x v="503"/>
    <s v="Levitating"/>
    <n v="1"/>
    <x v="257"/>
    <n v="9833"/>
    <n v="0"/>
    <n v="797196073"/>
    <s v="yes"/>
    <n v="233"/>
    <n v="82"/>
    <n v="531"/>
    <n v="1"/>
    <n v="1"/>
    <n v="103"/>
    <s v="F#"/>
    <s v="Minor"/>
    <n v="69"/>
    <n v="90"/>
    <n v="88"/>
    <n v="5"/>
    <n v="0"/>
    <n v="29"/>
    <n v="8"/>
  </r>
  <r>
    <x v="504"/>
    <s v="Wake Me Up - Radio Edit"/>
    <n v="1"/>
    <x v="20"/>
    <n v="50887"/>
    <n v="34"/>
    <n v="1970673297"/>
    <s v="yes"/>
    <n v="315"/>
    <n v="160"/>
    <n v="6284"/>
    <n v="1"/>
    <n v="46"/>
    <n v="124"/>
    <s v="D"/>
    <s v="Major"/>
    <n v="53"/>
    <n v="66"/>
    <n v="78"/>
    <n v="0"/>
    <n v="0"/>
    <n v="16"/>
    <n v="5"/>
  </r>
  <r>
    <x v="505"/>
    <s v="jealousy, jealousy"/>
    <n v="1"/>
    <x v="304"/>
    <n v="3257"/>
    <n v="0"/>
    <n v="665765558"/>
    <s v="yes"/>
    <n v="10"/>
    <n v="0"/>
    <n v="70"/>
    <n v="0"/>
    <n v="0"/>
    <n v="164"/>
    <s v="A#"/>
    <s v="Minor"/>
    <n v="70"/>
    <n v="71"/>
    <n v="58"/>
    <n v="24"/>
    <n v="0"/>
    <n v="7"/>
    <n v="13"/>
  </r>
  <r>
    <x v="506"/>
    <s v="Monï¿½ï¿½y so"/>
    <n v="1"/>
    <x v="301"/>
    <n v="1473"/>
    <n v="0"/>
    <n v="263779030"/>
    <s v="yes"/>
    <n v="2"/>
    <n v="0"/>
    <n v="12"/>
    <n v="0"/>
    <n v="10"/>
    <n v="138"/>
    <s v="D"/>
    <s v="Major"/>
    <n v="69"/>
    <n v="35"/>
    <n v="57"/>
    <n v="12"/>
    <n v="0"/>
    <n v="10"/>
    <n v="9"/>
  </r>
  <r>
    <x v="507"/>
    <s v="Demasiadas Mujeres"/>
    <n v="1"/>
    <x v="404"/>
    <n v="2226"/>
    <n v="0"/>
    <n v="339473453"/>
    <s v="yes"/>
    <n v="36"/>
    <n v="2"/>
    <n v="11"/>
    <n v="0"/>
    <n v="14"/>
    <n v="126"/>
    <s v="A"/>
    <s v="Minor"/>
    <n v="67"/>
    <n v="37"/>
    <n v="46"/>
    <n v="13"/>
    <n v="0"/>
    <n v="10"/>
    <n v="39"/>
  </r>
  <r>
    <x v="508"/>
    <s v="Something Just Like This"/>
    <n v="2"/>
    <x v="405"/>
    <n v="23375"/>
    <n v="21"/>
    <n v="2204080728"/>
    <s v="yes"/>
    <n v="336"/>
    <n v="188"/>
    <n v="2692"/>
    <n v="3"/>
    <n v="30"/>
    <n v="103"/>
    <s v="B"/>
    <s v="Minor"/>
    <n v="61"/>
    <n v="47"/>
    <n v="65"/>
    <n v="3"/>
    <n v="0"/>
    <n v="17"/>
    <n v="4"/>
  </r>
  <r>
    <x v="509"/>
    <s v="Closer"/>
    <n v="2"/>
    <x v="406"/>
    <n v="28032"/>
    <n v="0"/>
    <n v="2591224264"/>
    <s v="yes"/>
    <n v="315"/>
    <n v="159"/>
    <n v="2179"/>
    <n v="0"/>
    <n v="44"/>
    <n v="95"/>
    <s v="G#"/>
    <s v="Major"/>
    <n v="75"/>
    <n v="64"/>
    <n v="52"/>
    <n v="41"/>
    <n v="0"/>
    <n v="11"/>
    <n v="3"/>
  </r>
  <r>
    <x v="510"/>
    <s v="O.O"/>
    <n v="1"/>
    <x v="407"/>
    <n v="290"/>
    <n v="0"/>
    <n v="135444283"/>
    <s v="no"/>
    <n v="9"/>
    <n v="66"/>
    <n v="10"/>
    <n v="0"/>
    <n v="0"/>
    <n v="200"/>
    <s v="B"/>
    <s v="Minor"/>
    <n v="39"/>
    <n v="28"/>
    <n v="77"/>
    <n v="4"/>
    <n v="0"/>
    <n v="6"/>
    <n v="29"/>
  </r>
  <r>
    <x v="511"/>
    <s v="Somebody That I Used To Know"/>
    <n v="2"/>
    <x v="74"/>
    <n v="42798"/>
    <n v="0"/>
    <n v="1457139296"/>
    <s v="yes"/>
    <n v="217"/>
    <n v="136"/>
    <n v="6508"/>
    <n v="1"/>
    <m/>
    <n v="129"/>
    <m/>
    <s v="Major"/>
    <n v="86"/>
    <n v="75"/>
    <n v="52"/>
    <n v="54"/>
    <n v="0"/>
    <n v="10"/>
    <n v="4"/>
  </r>
  <r>
    <x v="512"/>
    <s v="Tom's Diner"/>
    <n v="2"/>
    <x v="223"/>
    <n v="2605"/>
    <n v="0"/>
    <n v="236872197"/>
    <s v="yes"/>
    <n v="15"/>
    <n v="48"/>
    <n v="50"/>
    <n v="0"/>
    <n v="3"/>
    <n v="98"/>
    <s v="F#"/>
    <s v="Minor"/>
    <n v="68"/>
    <n v="33"/>
    <n v="43"/>
    <n v="38"/>
    <n v="0"/>
    <n v="36"/>
    <n v="14"/>
  </r>
  <r>
    <x v="513"/>
    <s v="First Class"/>
    <n v="1"/>
    <x v="165"/>
    <n v="8737"/>
    <n v="0"/>
    <n v="694525298"/>
    <s v="yes"/>
    <n v="163"/>
    <n v="32"/>
    <n v="137"/>
    <n v="15"/>
    <n v="12"/>
    <n v="107"/>
    <s v="G#"/>
    <s v="Major"/>
    <n v="91"/>
    <n v="32"/>
    <n v="56"/>
    <n v="3"/>
    <n v="0"/>
    <n v="11"/>
    <n v="10"/>
  </r>
  <r>
    <x v="513"/>
    <s v="Plan A"/>
    <n v="1"/>
    <x v="408"/>
    <n v="1105"/>
    <n v="0"/>
    <n v="240661097"/>
    <s v="yes"/>
    <n v="32"/>
    <n v="0"/>
    <n v="19"/>
    <n v="0"/>
    <n v="0"/>
    <n v="174"/>
    <m/>
    <s v="Major"/>
    <n v="58"/>
    <n v="56"/>
    <n v="83"/>
    <n v="5"/>
    <n v="0"/>
    <n v="7"/>
    <n v="4"/>
  </r>
  <r>
    <x v="514"/>
    <s v="Fuera del mercado"/>
    <n v="1"/>
    <x v="409"/>
    <n v="2499"/>
    <n v="21"/>
    <n v="421365166"/>
    <s v="yes"/>
    <n v="68"/>
    <n v="24"/>
    <n v="43"/>
    <n v="1"/>
    <n v="0"/>
    <n v="92"/>
    <s v="G#"/>
    <s v="Major"/>
    <n v="45"/>
    <n v="27"/>
    <n v="67"/>
    <n v="32"/>
    <n v="0"/>
    <n v="13"/>
    <n v="14"/>
  </r>
  <r>
    <x v="515"/>
    <s v="X ï¿½ï¿½LTIMA"/>
    <n v="2"/>
    <x v="23"/>
    <n v="2697"/>
    <n v="1"/>
    <n v="349746291"/>
    <s v="yes"/>
    <n v="55"/>
    <n v="3"/>
    <n v="32"/>
    <n v="0"/>
    <n v="0"/>
    <n v="90"/>
    <s v="G"/>
    <s v="Major"/>
    <n v="81"/>
    <n v="59"/>
    <n v="83"/>
    <n v="9"/>
    <n v="0"/>
    <n v="11"/>
    <n v="5"/>
  </r>
  <r>
    <x v="516"/>
    <s v="When You're Gone"/>
    <n v="1"/>
    <x v="13"/>
    <n v="2092"/>
    <n v="0"/>
    <n v="255120451"/>
    <s v="yes"/>
    <n v="75"/>
    <n v="11"/>
    <n v="44"/>
    <n v="0"/>
    <n v="14"/>
    <n v="147"/>
    <s v="F"/>
    <s v="Major"/>
    <n v="60"/>
    <n v="58"/>
    <n v="69"/>
    <n v="2"/>
    <n v="0"/>
    <n v="58"/>
    <n v="4"/>
  </r>
  <r>
    <x v="517"/>
    <s v="In My Head"/>
    <n v="1"/>
    <x v="196"/>
    <n v="1185"/>
    <n v="0"/>
    <n v="190981339"/>
    <s v="no"/>
    <n v="21"/>
    <n v="0"/>
    <n v="31"/>
    <n v="0"/>
    <n v="0"/>
    <n v="143"/>
    <s v="C#"/>
    <s v="Major"/>
    <n v="68"/>
    <n v="41"/>
    <n v="55"/>
    <n v="16"/>
    <n v="0"/>
    <n v="10"/>
    <n v="12"/>
  </r>
  <r>
    <x v="518"/>
    <s v="Wait a Minute!"/>
    <n v="1"/>
    <x v="410"/>
    <n v="11985"/>
    <n v="0"/>
    <n v="924193303"/>
    <s v="yes"/>
    <n v="79"/>
    <n v="80"/>
    <n v="250"/>
    <n v="3"/>
    <n v="10"/>
    <n v="101"/>
    <s v="D#"/>
    <s v="Minor"/>
    <n v="76"/>
    <n v="63"/>
    <n v="71"/>
    <n v="3"/>
    <n v="0"/>
    <n v="10"/>
    <n v="3"/>
  </r>
  <r>
    <x v="519"/>
    <s v="LOVE DIVE"/>
    <n v="1"/>
    <x v="411"/>
    <n v="753"/>
    <n v="8"/>
    <n v="305771063"/>
    <s v="yes"/>
    <n v="28"/>
    <n v="124"/>
    <n v="13"/>
    <n v="0"/>
    <n v="1"/>
    <n v="118"/>
    <s v="C#"/>
    <s v="Minor"/>
    <n v="70"/>
    <n v="54"/>
    <n v="71"/>
    <n v="0"/>
    <n v="0"/>
    <n v="33"/>
    <n v="4"/>
  </r>
  <r>
    <x v="520"/>
    <s v="Pantysito"/>
    <n v="3"/>
    <x v="412"/>
    <n v="2995"/>
    <n v="0"/>
    <n v="273005485"/>
    <s v="yes"/>
    <n v="49"/>
    <n v="17"/>
    <n v="30"/>
    <n v="0"/>
    <n v="0"/>
    <n v="98"/>
    <s v="G"/>
    <s v="Minor"/>
    <n v="83"/>
    <n v="63"/>
    <n v="74"/>
    <n v="14"/>
    <n v="0"/>
    <n v="16"/>
    <n v="6"/>
  </r>
  <r>
    <x v="521"/>
    <s v="Chance"/>
    <n v="1"/>
    <x v="413"/>
    <n v="225"/>
    <n v="0"/>
    <n v="89566512"/>
    <s v="no"/>
    <n v="11"/>
    <n v="0"/>
    <n v="7"/>
    <n v="0"/>
    <n v="0"/>
    <n v="138"/>
    <s v="C#"/>
    <s v="Minor"/>
    <n v="72"/>
    <n v="22"/>
    <n v="46"/>
    <n v="24"/>
    <n v="0"/>
    <n v="9"/>
    <n v="6"/>
  </r>
  <r>
    <x v="522"/>
    <s v="Cool for the Summer"/>
    <n v="1"/>
    <x v="234"/>
    <n v="9243"/>
    <n v="0"/>
    <n v="677389855"/>
    <s v="yes"/>
    <n v="155"/>
    <n v="5"/>
    <n v="577"/>
    <n v="0"/>
    <n v="6"/>
    <n v="114"/>
    <s v="F"/>
    <s v="Minor"/>
    <n v="59"/>
    <n v="30"/>
    <n v="62"/>
    <n v="1"/>
    <n v="0"/>
    <n v="8"/>
    <n v="4"/>
  </r>
  <r>
    <x v="523"/>
    <s v="psychofreak (feat. WILLOW)"/>
    <n v="2"/>
    <x v="414"/>
    <n v="918"/>
    <n v="0"/>
    <n v="75476209"/>
    <s v="no"/>
    <n v="24"/>
    <n v="0"/>
    <n v="52"/>
    <n v="0"/>
    <n v="0"/>
    <n v="180"/>
    <s v="G"/>
    <s v="Minor"/>
    <n v="63"/>
    <n v="45"/>
    <n v="64"/>
    <n v="34"/>
    <n v="0"/>
    <n v="9"/>
    <n v="8"/>
  </r>
  <r>
    <x v="524"/>
    <s v="Angel Baby"/>
    <n v="1"/>
    <x v="171"/>
    <n v="1959"/>
    <n v="9"/>
    <n v="408843328"/>
    <s v="yes"/>
    <n v="52"/>
    <n v="25"/>
    <n v="32"/>
    <n v="0"/>
    <n v="10"/>
    <n v="145"/>
    <s v="B"/>
    <s v="Major"/>
    <n v="56"/>
    <n v="41"/>
    <n v="57"/>
    <n v="1"/>
    <n v="0"/>
    <n v="13"/>
    <n v="3"/>
  </r>
  <r>
    <x v="525"/>
    <s v="Vampiro"/>
    <n v="3"/>
    <x v="415"/>
    <n v="540"/>
    <n v="4"/>
    <n v="187772591"/>
    <s v="no"/>
    <n v="26"/>
    <n v="3"/>
    <n v="39"/>
    <n v="0"/>
    <n v="0"/>
    <n v="115"/>
    <s v="G#"/>
    <s v="Minor"/>
    <n v="78"/>
    <n v="63"/>
    <n v="64"/>
    <n v="1"/>
    <n v="0"/>
    <n v="7"/>
    <n v="4"/>
  </r>
  <r>
    <x v="525"/>
    <s v="Si Quieren Frontear"/>
    <n v="3"/>
    <x v="13"/>
    <n v="859"/>
    <n v="0"/>
    <n v="178512385"/>
    <s v="no"/>
    <n v="14"/>
    <n v="0"/>
    <n v="11"/>
    <n v="0"/>
    <n v="0"/>
    <n v="82"/>
    <s v="A#"/>
    <s v="Major"/>
    <n v="79"/>
    <n v="48"/>
    <n v="84"/>
    <n v="13"/>
    <n v="0"/>
    <n v="21"/>
    <n v="23"/>
  </r>
  <r>
    <x v="525"/>
    <s v="Right On"/>
    <n v="1"/>
    <x v="165"/>
    <n v="1116"/>
    <n v="0"/>
    <n v="101780047"/>
    <s v="no"/>
    <n v="31"/>
    <n v="9"/>
    <n v="15"/>
    <n v="0"/>
    <n v="1"/>
    <n v="166"/>
    <s v="D"/>
    <s v="Major"/>
    <n v="70"/>
    <n v="22"/>
    <n v="61"/>
    <n v="2"/>
    <n v="0"/>
    <n v="10"/>
    <n v="34"/>
  </r>
  <r>
    <x v="526"/>
    <s v="Me Arrepentï¿"/>
    <n v="3"/>
    <x v="416"/>
    <n v="273"/>
    <n v="2"/>
    <n v="118381354"/>
    <s v="no"/>
    <n v="12"/>
    <n v="2"/>
    <n v="4"/>
    <n v="0"/>
    <n v="0"/>
    <n v="92"/>
    <m/>
    <s v="Major"/>
    <n v="86"/>
    <n v="91"/>
    <n v="79"/>
    <n v="29"/>
    <n v="0"/>
    <n v="60"/>
    <n v="16"/>
  </r>
  <r>
    <x v="527"/>
    <s v="That's Hilarious"/>
    <n v="1"/>
    <x v="165"/>
    <n v="686"/>
    <n v="2"/>
    <n v="146363130"/>
    <s v="no"/>
    <n v="11"/>
    <n v="6"/>
    <n v="12"/>
    <n v="0"/>
    <n v="15"/>
    <n v="108"/>
    <s v="F#"/>
    <s v="Major"/>
    <n v="71"/>
    <n v="55"/>
    <n v="44"/>
    <n v="74"/>
    <n v="0"/>
    <n v="11"/>
    <n v="6"/>
  </r>
  <r>
    <x v="528"/>
    <s v="Soy El Unico"/>
    <n v="1"/>
    <x v="23"/>
    <n v="226"/>
    <n v="0"/>
    <n v="126443991"/>
    <s v="no"/>
    <n v="5"/>
    <n v="0"/>
    <n v="4"/>
    <n v="0"/>
    <n v="1"/>
    <n v="84"/>
    <s v="E"/>
    <s v="Minor"/>
    <n v="71"/>
    <n v="63"/>
    <n v="45"/>
    <n v="45"/>
    <n v="0"/>
    <n v="11"/>
    <n v="3"/>
  </r>
  <r>
    <x v="528"/>
    <s v="RUMBATï¿½"/>
    <n v="1"/>
    <x v="23"/>
    <n v="1264"/>
    <n v="0"/>
    <n v="157990698"/>
    <s v="no"/>
    <n v="20"/>
    <n v="4"/>
    <n v="52"/>
    <n v="0"/>
    <n v="1"/>
    <n v="95"/>
    <s v="D#"/>
    <s v="Minor"/>
    <n v="69"/>
    <n v="90"/>
    <n v="91"/>
    <n v="6"/>
    <n v="0"/>
    <n v="35"/>
    <n v="4"/>
  </r>
  <r>
    <x v="529"/>
    <s v="sentaDONA (Remix) s2"/>
    <n v="4"/>
    <x v="417"/>
    <n v="870"/>
    <n v="0"/>
    <n v="176290831"/>
    <s v="no"/>
    <n v="32"/>
    <n v="0"/>
    <n v="49"/>
    <n v="0"/>
    <n v="0"/>
    <n v="135"/>
    <s v="D#"/>
    <s v="Minor"/>
    <n v="93"/>
    <n v="77"/>
    <n v="45"/>
    <n v="25"/>
    <n v="0"/>
    <n v="13"/>
    <n v="27"/>
  </r>
  <r>
    <x v="530"/>
    <s v="Falling"/>
    <n v="1"/>
    <x v="418"/>
    <n v="7556"/>
    <n v="0"/>
    <n v="1023187129"/>
    <s v="yes"/>
    <n v="124"/>
    <n v="24"/>
    <n v="254"/>
    <n v="0"/>
    <n v="8"/>
    <n v="110"/>
    <s v="E"/>
    <s v="Major"/>
    <n v="57"/>
    <n v="6"/>
    <n v="27"/>
    <n v="84"/>
    <n v="0"/>
    <n v="9"/>
    <n v="3"/>
  </r>
  <r>
    <x v="531"/>
    <s v="Sigue"/>
    <n v="2"/>
    <x v="419"/>
    <n v="1370"/>
    <n v="0"/>
    <n v="106933107"/>
    <s v="no"/>
    <n v="46"/>
    <n v="8"/>
    <n v="60"/>
    <n v="0"/>
    <n v="0"/>
    <n v="88"/>
    <s v="G"/>
    <s v="Major"/>
    <n v="89"/>
    <n v="59"/>
    <n v="64"/>
    <n v="5"/>
    <n v="0"/>
    <n v="19"/>
    <n v="7"/>
  </r>
  <r>
    <x v="532"/>
    <s v="Fim de Semana no Rio"/>
    <n v="1"/>
    <x v="416"/>
    <n v="315"/>
    <n v="2"/>
    <n v="139193812"/>
    <s v="no"/>
    <n v="27"/>
    <n v="2"/>
    <n v="31"/>
    <n v="0"/>
    <n v="0"/>
    <n v="119"/>
    <s v="C#"/>
    <s v="Minor"/>
    <n v="87"/>
    <n v="28"/>
    <n v="50"/>
    <n v="12"/>
    <n v="0"/>
    <n v="10"/>
    <n v="10"/>
  </r>
  <r>
    <x v="533"/>
    <s v="MANIAC"/>
    <n v="1"/>
    <x v="412"/>
    <n v="651"/>
    <n v="0"/>
    <n v="212234990"/>
    <s v="yes"/>
    <n v="6"/>
    <n v="188"/>
    <n v="20"/>
    <n v="0"/>
    <n v="0"/>
    <n v="120"/>
    <s v="C#"/>
    <s v="Major"/>
    <n v="58"/>
    <n v="71"/>
    <n v="80"/>
    <n v="15"/>
    <n v="0"/>
    <n v="7"/>
    <n v="41"/>
  </r>
  <r>
    <x v="534"/>
    <s v="There's Nothing Holdin' Me Back"/>
    <n v="1"/>
    <x v="420"/>
    <n v="12382"/>
    <n v="0"/>
    <n v="1714490998"/>
    <s v="yes"/>
    <n v="229"/>
    <n v="57"/>
    <n v="1370"/>
    <n v="2"/>
    <n v="71"/>
    <n v="122"/>
    <s v="D"/>
    <s v="Major"/>
    <n v="86"/>
    <n v="97"/>
    <n v="80"/>
    <n v="36"/>
    <n v="0"/>
    <n v="9"/>
    <n v="6"/>
  </r>
  <r>
    <x v="535"/>
    <s v="IDGAF (with blackbear)"/>
    <n v="2"/>
    <x v="412"/>
    <n v="625"/>
    <n v="0"/>
    <n v="197643795"/>
    <s v="no"/>
    <n v="10"/>
    <n v="2"/>
    <n v="13"/>
    <n v="0"/>
    <n v="1"/>
    <n v="98"/>
    <s v="F"/>
    <s v="Major"/>
    <n v="78"/>
    <n v="83"/>
    <n v="75"/>
    <n v="41"/>
    <n v="0"/>
    <n v="27"/>
    <n v="8"/>
  </r>
  <r>
    <x v="536"/>
    <s v="Golden"/>
    <n v="1"/>
    <x v="418"/>
    <n v="8429"/>
    <n v="1"/>
    <n v="807015863"/>
    <s v="yes"/>
    <n v="85"/>
    <n v="24"/>
    <n v="200"/>
    <n v="0"/>
    <n v="2"/>
    <n v="140"/>
    <s v="E"/>
    <s v="Minor"/>
    <n v="45"/>
    <n v="25"/>
    <n v="84"/>
    <n v="21"/>
    <n v="0"/>
    <n v="13"/>
    <n v="6"/>
  </r>
  <r>
    <x v="537"/>
    <s v="Get Lucky - Radio Edit"/>
    <n v="3"/>
    <x v="20"/>
    <n v="52898"/>
    <n v="0"/>
    <n v="933815613"/>
    <s v="yes"/>
    <n v="203"/>
    <n v="1"/>
    <n v="8215"/>
    <n v="0"/>
    <n v="0"/>
    <n v="116"/>
    <s v="F#"/>
    <s v="Minor"/>
    <n v="79"/>
    <n v="87"/>
    <n v="81"/>
    <n v="4"/>
    <n v="0"/>
    <n v="10"/>
    <n v="4"/>
  </r>
  <r>
    <x v="538"/>
    <s v="Ain't Shit"/>
    <n v="1"/>
    <x v="258"/>
    <n v="3436"/>
    <n v="0"/>
    <n v="499710590"/>
    <s v="yes"/>
    <n v="32"/>
    <n v="6"/>
    <n v="46"/>
    <n v="0"/>
    <n v="1"/>
    <n v="124"/>
    <s v="D#"/>
    <s v="Major"/>
    <n v="86"/>
    <n v="62"/>
    <n v="49"/>
    <n v="51"/>
    <n v="0"/>
    <n v="35"/>
    <n v="21"/>
  </r>
  <r>
    <x v="539"/>
    <s v="Nobody Like U - From &quot;Turning Red&quot;"/>
    <n v="6"/>
    <x v="401"/>
    <n v="918"/>
    <n v="0"/>
    <n v="120847157"/>
    <s v="no"/>
    <n v="34"/>
    <n v="39"/>
    <n v="30"/>
    <n v="0"/>
    <n v="0"/>
    <n v="105"/>
    <s v="A"/>
    <s v="Minor"/>
    <n v="91"/>
    <n v="73"/>
    <n v="72"/>
    <n v="13"/>
    <n v="0"/>
    <n v="9"/>
    <n v="15"/>
  </r>
  <r>
    <x v="540"/>
    <s v="Still Life"/>
    <n v="1"/>
    <x v="411"/>
    <n v="181"/>
    <n v="0"/>
    <n v="53909146"/>
    <s v="no"/>
    <n v="16"/>
    <n v="14"/>
    <n v="7"/>
    <n v="0"/>
    <n v="0"/>
    <n v="118"/>
    <s v="G#"/>
    <s v="Major"/>
    <n v="68"/>
    <n v="24"/>
    <n v="58"/>
    <n v="44"/>
    <n v="0"/>
    <n v="6"/>
    <n v="3"/>
  </r>
  <r>
    <x v="541"/>
    <s v="Photograph"/>
    <n v="1"/>
    <x v="421"/>
    <n v="18778"/>
    <n v="3"/>
    <n v="2236667932"/>
    <s v="yes"/>
    <n v="228"/>
    <n v="105"/>
    <n v="2453"/>
    <n v="0"/>
    <n v="84"/>
    <n v="108"/>
    <s v="E"/>
    <s v="Major"/>
    <n v="61"/>
    <n v="20"/>
    <n v="38"/>
    <n v="61"/>
    <n v="0"/>
    <n v="10"/>
    <n v="5"/>
  </r>
  <r>
    <x v="542"/>
    <s v="Love Yourself"/>
    <n v="1"/>
    <x v="422"/>
    <n v="22730"/>
    <n v="5"/>
    <n v="2123309722"/>
    <s v="yes"/>
    <n v="289"/>
    <n v="87"/>
    <n v="2430"/>
    <n v="0"/>
    <n v="36"/>
    <n v="100"/>
    <s v="E"/>
    <s v="Major"/>
    <n v="61"/>
    <n v="53"/>
    <n v="38"/>
    <n v="84"/>
    <n v="0"/>
    <n v="28"/>
    <n v="44"/>
  </r>
  <r>
    <x v="543"/>
    <s v="N95"/>
    <n v="1"/>
    <x v="40"/>
    <n v="5542"/>
    <n v="0"/>
    <n v="301242089"/>
    <s v="yes"/>
    <n v="52"/>
    <n v="16"/>
    <n v="65"/>
    <n v="0"/>
    <n v="206"/>
    <n v="140"/>
    <s v="D#"/>
    <s v="Minor"/>
    <n v="81"/>
    <n v="39"/>
    <n v="66"/>
    <n v="38"/>
    <n v="0"/>
    <n v="12"/>
    <n v="14"/>
  </r>
  <r>
    <x v="544"/>
    <s v="About Damn Time"/>
    <n v="1"/>
    <x v="423"/>
    <n v="9021"/>
    <n v="0"/>
    <n v="723894473"/>
    <s v="yes"/>
    <n v="242"/>
    <n v="49"/>
    <n v="272"/>
    <n v="21"/>
    <n v="24"/>
    <n v="109"/>
    <s v="A#"/>
    <s v="Minor"/>
    <n v="84"/>
    <n v="72"/>
    <n v="74"/>
    <n v="10"/>
    <n v="0"/>
    <n v="34"/>
    <n v="7"/>
  </r>
  <r>
    <x v="544"/>
    <s v="Die Hard"/>
    <n v="3"/>
    <x v="40"/>
    <n v="4627"/>
    <n v="0"/>
    <n v="237351106"/>
    <s v="yes"/>
    <n v="38"/>
    <n v="13"/>
    <n v="32"/>
    <n v="0"/>
    <n v="0"/>
    <n v="101"/>
    <s v="C#"/>
    <s v="Minor"/>
    <n v="78"/>
    <n v="40"/>
    <n v="74"/>
    <n v="36"/>
    <n v="0"/>
    <n v="17"/>
    <n v="27"/>
  </r>
  <r>
    <x v="544"/>
    <s v="Despuï¿½ï¿½s de la P"/>
    <n v="1"/>
    <x v="67"/>
    <n v="2229"/>
    <n v="0"/>
    <n v="461558540"/>
    <s v="yes"/>
    <n v="27"/>
    <n v="44"/>
    <n v="24"/>
    <n v="0"/>
    <n v="5"/>
    <n v="78"/>
    <s v="F"/>
    <s v="Major"/>
    <n v="56"/>
    <n v="61"/>
    <n v="90"/>
    <n v="36"/>
    <n v="0"/>
    <n v="18"/>
    <n v="31"/>
  </r>
  <r>
    <x v="545"/>
    <s v="Un Ratito"/>
    <n v="1"/>
    <x v="67"/>
    <n v="1112"/>
    <n v="6"/>
    <n v="417230415"/>
    <s v="yes"/>
    <n v="7"/>
    <n v="30"/>
    <n v="13"/>
    <n v="1"/>
    <n v="1"/>
    <n v="93"/>
    <m/>
    <s v="Minor"/>
    <n v="79"/>
    <n v="22"/>
    <n v="55"/>
    <n v="31"/>
    <n v="0"/>
    <n v="12"/>
    <n v="5"/>
  </r>
  <r>
    <x v="545"/>
    <s v="United In Grief"/>
    <n v="1"/>
    <x v="40"/>
    <n v="2575"/>
    <n v="0"/>
    <n v="156898322"/>
    <s v="no"/>
    <n v="4"/>
    <n v="5"/>
    <n v="12"/>
    <n v="0"/>
    <n v="51"/>
    <n v="87"/>
    <s v="G#"/>
    <s v="Major"/>
    <n v="52"/>
    <n v="32"/>
    <n v="83"/>
    <n v="24"/>
    <n v="0"/>
    <n v="17"/>
    <n v="43"/>
  </r>
  <r>
    <x v="546"/>
    <s v="Father Time (feat. Sampha)"/>
    <n v="2"/>
    <x v="40"/>
    <n v="3107"/>
    <n v="0"/>
    <n v="127309180"/>
    <s v="no"/>
    <n v="4"/>
    <n v="0"/>
    <n v="22"/>
    <n v="0"/>
    <n v="0"/>
    <n v="153"/>
    <s v="A#"/>
    <s v="Minor"/>
    <n v="55"/>
    <n v="50"/>
    <n v="78"/>
    <n v="19"/>
    <n v="0"/>
    <n v="11"/>
    <n v="35"/>
  </r>
  <r>
    <x v="547"/>
    <s v="Yo No Soy Celoso"/>
    <n v="1"/>
    <x v="67"/>
    <n v="1179"/>
    <n v="0"/>
    <n v="313113297"/>
    <s v="yes"/>
    <n v="7"/>
    <n v="21"/>
    <n v="11"/>
    <n v="0"/>
    <n v="0"/>
    <n v="142"/>
    <m/>
    <s v="Major"/>
    <n v="87"/>
    <n v="93"/>
    <n v="59"/>
    <n v="28"/>
    <n v="0"/>
    <n v="17"/>
    <n v="5"/>
  </r>
  <r>
    <x v="548"/>
    <s v="Rich Spirit"/>
    <n v="1"/>
    <x v="40"/>
    <n v="3486"/>
    <n v="0"/>
    <n v="173702135"/>
    <s v="no"/>
    <n v="20"/>
    <n v="10"/>
    <n v="33"/>
    <n v="0"/>
    <n v="0"/>
    <n v="96"/>
    <s v="A#"/>
    <s v="Minor"/>
    <n v="85"/>
    <n v="41"/>
    <n v="43"/>
    <n v="39"/>
    <n v="0"/>
    <n v="12"/>
    <n v="21"/>
  </r>
  <r>
    <x v="549"/>
    <s v="Cooped Up (with Roddy Ricch)"/>
    <n v="2"/>
    <x v="424"/>
    <n v="2942"/>
    <n v="0"/>
    <n v="271666301"/>
    <s v="yes"/>
    <n v="42"/>
    <n v="28"/>
    <n v="43"/>
    <n v="0"/>
    <n v="0"/>
    <n v="125"/>
    <m/>
    <s v="Major"/>
    <n v="50"/>
    <n v="39"/>
    <n v="78"/>
    <n v="4"/>
    <n v="0"/>
    <n v="11"/>
    <n v="33"/>
  </r>
  <r>
    <x v="550"/>
    <s v="Me Fui de Vacaciones"/>
    <n v="1"/>
    <x v="67"/>
    <n v="1443"/>
    <n v="0"/>
    <n v="305650299"/>
    <s v="yes"/>
    <n v="9"/>
    <n v="11"/>
    <n v="22"/>
    <n v="1"/>
    <n v="0"/>
    <n v="85"/>
    <s v="A#"/>
    <s v="Major"/>
    <n v="71"/>
    <n v="43"/>
    <n v="65"/>
    <n v="23"/>
    <n v="0"/>
    <n v="9"/>
    <n v="5"/>
  </r>
  <r>
    <x v="551"/>
    <s v="Silent Hill"/>
    <n v="2"/>
    <x v="40"/>
    <n v="3028"/>
    <n v="0"/>
    <n v="123216717"/>
    <s v="no"/>
    <n v="22"/>
    <n v="0"/>
    <n v="23"/>
    <n v="0"/>
    <n v="0"/>
    <n v="140"/>
    <s v="C#"/>
    <s v="Minor"/>
    <n v="92"/>
    <n v="78"/>
    <n v="57"/>
    <n v="46"/>
    <n v="0"/>
    <n v="14"/>
    <n v="9"/>
  </r>
  <r>
    <x v="552"/>
    <s v="La Corriente"/>
    <n v="2"/>
    <x v="67"/>
    <n v="1796"/>
    <n v="8"/>
    <n v="479655659"/>
    <s v="yes"/>
    <n v="8"/>
    <n v="25"/>
    <n v="18"/>
    <n v="1"/>
    <n v="0"/>
    <n v="196"/>
    <s v="B"/>
    <s v="Minor"/>
    <n v="66"/>
    <n v="58"/>
    <n v="79"/>
    <n v="23"/>
    <n v="0"/>
    <n v="22"/>
    <n v="20"/>
  </r>
  <r>
    <x v="552"/>
    <s v="Count Me Out"/>
    <n v="1"/>
    <x v="40"/>
    <n v="2729"/>
    <n v="0"/>
    <n v="126191104"/>
    <s v="no"/>
    <n v="3"/>
    <n v="7"/>
    <n v="13"/>
    <n v="0"/>
    <n v="1"/>
    <n v="134"/>
    <s v="G"/>
    <s v="Major"/>
    <n v="78"/>
    <n v="51"/>
    <n v="43"/>
    <n v="69"/>
    <n v="0"/>
    <n v="14"/>
    <n v="9"/>
  </r>
  <r>
    <x v="552"/>
    <s v="Andrea"/>
    <n v="2"/>
    <x v="67"/>
    <n v="1195"/>
    <n v="0"/>
    <n v="344055883"/>
    <s v="yes"/>
    <n v="8"/>
    <n v="30"/>
    <n v="13"/>
    <n v="1"/>
    <n v="1"/>
    <n v="103"/>
    <s v="C#"/>
    <s v="Minor"/>
    <n v="80"/>
    <n v="45"/>
    <n v="62"/>
    <n v="76"/>
    <n v="0"/>
    <n v="10"/>
    <n v="38"/>
  </r>
  <r>
    <x v="552"/>
    <s v="Dos Mil 16"/>
    <n v="1"/>
    <x v="67"/>
    <n v="892"/>
    <n v="3"/>
    <n v="338422004"/>
    <s v="yes"/>
    <n v="10"/>
    <n v="24"/>
    <n v="11"/>
    <n v="0"/>
    <n v="0"/>
    <n v="130"/>
    <s v="C#"/>
    <s v="Major"/>
    <n v="82"/>
    <n v="50"/>
    <n v="67"/>
    <n v="12"/>
    <n v="0"/>
    <n v="13"/>
    <n v="5"/>
  </r>
  <r>
    <x v="552"/>
    <s v="We Cry Together"/>
    <n v="2"/>
    <x v="40"/>
    <n v="1635"/>
    <n v="0"/>
    <n v="68895644"/>
    <s v="no"/>
    <n v="4"/>
    <n v="1"/>
    <n v="6"/>
    <n v="0"/>
    <n v="0"/>
    <n v="108"/>
    <s v="B"/>
    <s v="Major"/>
    <n v="65"/>
    <n v="52"/>
    <n v="69"/>
    <n v="31"/>
    <n v="0"/>
    <n v="8"/>
    <n v="36"/>
  </r>
  <r>
    <x v="552"/>
    <s v="Savior"/>
    <n v="3"/>
    <x v="40"/>
    <n v="2291"/>
    <n v="0"/>
    <n v="86176890"/>
    <s v="no"/>
    <n v="9"/>
    <n v="0"/>
    <n v="8"/>
    <n v="0"/>
    <n v="0"/>
    <n v="123"/>
    <s v="G#"/>
    <s v="Major"/>
    <n v="61"/>
    <n v="66"/>
    <n v="71"/>
    <n v="53"/>
    <n v="0"/>
    <n v="32"/>
    <n v="46"/>
  </r>
  <r>
    <x v="552"/>
    <s v="Un Coco"/>
    <n v="1"/>
    <x v="67"/>
    <n v="1029"/>
    <n v="28"/>
    <n v="403231558"/>
    <s v="yes"/>
    <n v="5"/>
    <n v="28"/>
    <n v="9"/>
    <n v="0"/>
    <n v="0"/>
    <n v="152"/>
    <s v="B"/>
    <s v="Major"/>
    <n v="84"/>
    <n v="74"/>
    <n v="69"/>
    <n v="21"/>
    <n v="0"/>
    <n v="18"/>
    <n v="6"/>
  </r>
  <r>
    <x v="552"/>
    <s v="Otro Atardecer"/>
    <n v="2"/>
    <x v="67"/>
    <n v="1681"/>
    <n v="7"/>
    <n v="319546754"/>
    <s v="yes"/>
    <n v="10"/>
    <n v="30"/>
    <n v="13"/>
    <n v="0"/>
    <n v="33"/>
    <n v="108"/>
    <s v="D"/>
    <s v="Major"/>
    <n v="78"/>
    <n v="55"/>
    <n v="60"/>
    <n v="59"/>
    <n v="0"/>
    <n v="7"/>
    <n v="4"/>
  </r>
  <r>
    <x v="552"/>
    <s v="Worldwide Steppers"/>
    <n v="1"/>
    <x v="40"/>
    <n v="1480"/>
    <n v="0"/>
    <n v="61739839"/>
    <s v="no"/>
    <n v="1"/>
    <n v="0"/>
    <n v="5"/>
    <n v="0"/>
    <n v="0"/>
    <n v="72"/>
    <s v="A#"/>
    <s v="Minor"/>
    <n v="56"/>
    <n v="56"/>
    <n v="47"/>
    <n v="76"/>
    <n v="0"/>
    <n v="8"/>
    <n v="36"/>
  </r>
  <r>
    <x v="552"/>
    <s v="Aguacero"/>
    <n v="1"/>
    <x v="67"/>
    <n v="829"/>
    <n v="0"/>
    <n v="283359161"/>
    <s v="yes"/>
    <n v="4"/>
    <n v="15"/>
    <n v="10"/>
    <n v="0"/>
    <n v="0"/>
    <n v="121"/>
    <s v="F#"/>
    <s v="Minor"/>
    <n v="86"/>
    <n v="67"/>
    <n v="65"/>
    <n v="42"/>
    <n v="0"/>
    <n v="35"/>
    <n v="7"/>
  </r>
  <r>
    <x v="552"/>
    <s v="Purple Hearts"/>
    <n v="3"/>
    <x v="40"/>
    <n v="2308"/>
    <n v="0"/>
    <n v="76831876"/>
    <s v="no"/>
    <n v="7"/>
    <n v="0"/>
    <n v="7"/>
    <n v="0"/>
    <n v="0"/>
    <n v="138"/>
    <s v="D#"/>
    <s v="Minor"/>
    <n v="57"/>
    <n v="71"/>
    <n v="82"/>
    <n v="19"/>
    <n v="0"/>
    <n v="15"/>
    <n v="29"/>
  </r>
  <r>
    <x v="552"/>
    <s v="Un Verano Sin Ti"/>
    <n v="1"/>
    <x v="67"/>
    <n v="1004"/>
    <n v="1"/>
    <n v="283332261"/>
    <s v="yes"/>
    <n v="8"/>
    <n v="12"/>
    <n v="9"/>
    <n v="0"/>
    <n v="0"/>
    <n v="188"/>
    <s v="F"/>
    <s v="Minor"/>
    <n v="50"/>
    <n v="41"/>
    <n v="50"/>
    <n v="69"/>
    <n v="0"/>
    <n v="12"/>
    <n v="6"/>
  </r>
  <r>
    <x v="552"/>
    <s v="ULTRA SOLO"/>
    <n v="2"/>
    <x v="425"/>
    <n v="1367"/>
    <n v="0"/>
    <n v="307752576"/>
    <s v="yes"/>
    <n v="48"/>
    <n v="4"/>
    <n v="34"/>
    <n v="1"/>
    <n v="0"/>
    <n v="110"/>
    <s v="C#"/>
    <s v="Major"/>
    <n v="80"/>
    <n v="26"/>
    <n v="85"/>
    <n v="23"/>
    <n v="0"/>
    <n v="11"/>
    <n v="21"/>
  </r>
  <r>
    <x v="552"/>
    <s v="Ensï¿½ï¿½ï¿½ï¿½ame "/>
    <n v="1"/>
    <x v="67"/>
    <n v="1112"/>
    <n v="3"/>
    <n v="279737940"/>
    <s v="yes"/>
    <n v="7"/>
    <n v="25"/>
    <n v="12"/>
    <n v="0"/>
    <n v="0"/>
    <n v="105"/>
    <s v="G#"/>
    <s v="Major"/>
    <n v="81"/>
    <n v="77"/>
    <n v="79"/>
    <n v="19"/>
    <n v="0"/>
    <n v="47"/>
    <n v="8"/>
  </r>
  <r>
    <x v="552"/>
    <s v="El Apagï¿½"/>
    <n v="1"/>
    <x v="67"/>
    <n v="1209"/>
    <n v="0"/>
    <n v="212351890"/>
    <s v="yes"/>
    <n v="9"/>
    <n v="7"/>
    <n v="14"/>
    <n v="0"/>
    <n v="1"/>
    <n v="118"/>
    <s v="G#"/>
    <s v="Major"/>
    <n v="63"/>
    <n v="60"/>
    <n v="70"/>
    <n v="5"/>
    <n v="0"/>
    <n v="9"/>
    <n v="31"/>
  </r>
  <r>
    <x v="552"/>
    <s v="Callaita"/>
    <n v="2"/>
    <x v="426"/>
    <n v="9539"/>
    <n v="15"/>
    <n v="1304313953"/>
    <s v="yes"/>
    <n v="162"/>
    <n v="116"/>
    <n v="355"/>
    <n v="7"/>
    <n v="0"/>
    <n v="176"/>
    <s v="D"/>
    <s v="Major"/>
    <n v="61"/>
    <n v="24"/>
    <n v="62"/>
    <n v="60"/>
    <n v="0"/>
    <n v="24"/>
    <n v="31"/>
  </r>
  <r>
    <x v="552"/>
    <s v="Dua Lipa"/>
    <n v="1"/>
    <x v="67"/>
    <n v="1992"/>
    <n v="0"/>
    <n v="150500965"/>
    <s v="no"/>
    <n v="35"/>
    <n v="0"/>
    <n v="3"/>
    <n v="0"/>
    <n v="0"/>
    <n v="158"/>
    <s v="B"/>
    <s v="Major"/>
    <n v="83"/>
    <n v="41"/>
    <n v="65"/>
    <n v="0"/>
    <n v="10"/>
    <n v="11"/>
    <n v="8"/>
  </r>
  <r>
    <x v="552"/>
    <s v="Agosto"/>
    <n v="1"/>
    <x v="67"/>
    <n v="897"/>
    <n v="0"/>
    <n v="246127838"/>
    <s v="yes"/>
    <n v="6"/>
    <n v="20"/>
    <n v="8"/>
    <n v="0"/>
    <n v="0"/>
    <n v="115"/>
    <s v="C#"/>
    <s v="Minor"/>
    <n v="85"/>
    <n v="72"/>
    <n v="58"/>
    <n v="9"/>
    <n v="0"/>
    <n v="49"/>
    <n v="12"/>
  </r>
  <r>
    <x v="552"/>
    <s v="House Of Memories"/>
    <n v="1"/>
    <x v="427"/>
    <n v="2948"/>
    <n v="0"/>
    <n v="582863434"/>
    <s v="yes"/>
    <n v="10"/>
    <n v="2"/>
    <n v="150"/>
    <n v="0"/>
    <n v="0"/>
    <n v="110"/>
    <s v="B"/>
    <s v="Minor"/>
    <n v="51"/>
    <n v="48"/>
    <n v="82"/>
    <n v="0"/>
    <n v="0"/>
    <n v="5"/>
    <n v="3"/>
  </r>
  <r>
    <x v="553"/>
    <s v="Mr. Morale"/>
    <n v="2"/>
    <x v="40"/>
    <n v="1860"/>
    <n v="0"/>
    <n v="58687425"/>
    <s v="no"/>
    <n v="1"/>
    <n v="0"/>
    <n v="3"/>
    <n v="0"/>
    <n v="0"/>
    <n v="174"/>
    <s v="A"/>
    <s v="Major"/>
    <n v="73"/>
    <n v="26"/>
    <n v="54"/>
    <n v="30"/>
    <n v="0"/>
    <n v="34"/>
    <n v="32"/>
  </r>
  <r>
    <x v="554"/>
    <s v="That That (prod. &amp; feat. SUGA of BTS)"/>
    <n v="2"/>
    <x v="428"/>
    <n v="802"/>
    <n v="0"/>
    <n v="212109195"/>
    <s v="yes"/>
    <n v="16"/>
    <n v="81"/>
    <n v="23"/>
    <n v="0"/>
    <n v="0"/>
    <n v="130"/>
    <s v="E"/>
    <s v="Major"/>
    <n v="91"/>
    <n v="91"/>
    <n v="96"/>
    <n v="3"/>
    <n v="0"/>
    <n v="3"/>
    <n v="9"/>
  </r>
  <r>
    <x v="555"/>
    <s v="In The Stars"/>
    <n v="1"/>
    <x v="428"/>
    <n v="2224"/>
    <n v="8"/>
    <n v="382199619"/>
    <s v="yes"/>
    <n v="48"/>
    <n v="40"/>
    <n v="87"/>
    <n v="1"/>
    <n v="210"/>
    <n v="78"/>
    <s v="A#"/>
    <s v="Major"/>
    <n v="36"/>
    <n v="30"/>
    <n v="54"/>
    <n v="34"/>
    <n v="0"/>
    <n v="14"/>
    <n v="5"/>
  </r>
  <r>
    <x v="556"/>
    <s v="Rich - Interlude"/>
    <n v="1"/>
    <x v="40"/>
    <n v="1103"/>
    <n v="0"/>
    <n v="41210087"/>
    <s v="no"/>
    <n v="0"/>
    <n v="0"/>
    <n v="0"/>
    <n v="0"/>
    <n v="0"/>
    <n v="104"/>
    <s v="G"/>
    <s v="Major"/>
    <n v="44"/>
    <n v="74"/>
    <n v="42"/>
    <n v="88"/>
    <n v="0"/>
    <n v="9"/>
    <n v="9"/>
  </r>
  <r>
    <x v="557"/>
    <s v="SUPERMODEL"/>
    <n v="1"/>
    <x v="40"/>
    <n v="2265"/>
    <n v="0"/>
    <n v="231657891"/>
    <s v="yes"/>
    <n v="93"/>
    <n v="12"/>
    <n v="173"/>
    <n v="11"/>
    <n v="3"/>
    <n v="121"/>
    <s v="G"/>
    <s v="Major"/>
    <n v="64"/>
    <n v="80"/>
    <n v="88"/>
    <n v="0"/>
    <n v="0"/>
    <n v="12"/>
    <n v="6"/>
  </r>
  <r>
    <x v="558"/>
    <s v="Stefania (Kalush Orchestra)"/>
    <n v="1"/>
    <x v="429"/>
    <n v="555"/>
    <n v="0"/>
    <n v="53729194"/>
    <s v="no"/>
    <n v="10"/>
    <n v="4"/>
    <n v="4"/>
    <n v="0"/>
    <n v="0"/>
    <n v="105"/>
    <s v="D"/>
    <s v="Major"/>
    <n v="83"/>
    <n v="32"/>
    <n v="82"/>
    <n v="14"/>
    <n v="0"/>
    <n v="12"/>
    <n v="4"/>
  </r>
  <r>
    <x v="559"/>
    <s v="Thousand Miles"/>
    <n v="1"/>
    <x v="63"/>
    <n v="2050"/>
    <n v="0"/>
    <n v="244741137"/>
    <s v="yes"/>
    <n v="52"/>
    <n v="9"/>
    <n v="46"/>
    <n v="0"/>
    <n v="1"/>
    <n v="81"/>
    <s v="G"/>
    <s v="Major"/>
    <n v="38"/>
    <n v="20"/>
    <n v="66"/>
    <n v="9"/>
    <n v="0"/>
    <n v="9"/>
    <n v="8"/>
  </r>
  <r>
    <x v="560"/>
    <s v="Crown"/>
    <n v="1"/>
    <x v="40"/>
    <n v="1493"/>
    <n v="0"/>
    <n v="42485571"/>
    <s v="no"/>
    <n v="2"/>
    <n v="0"/>
    <n v="10"/>
    <n v="0"/>
    <n v="0"/>
    <n v="170"/>
    <s v="C#"/>
    <s v="Minor"/>
    <n v="37"/>
    <n v="14"/>
    <n v="24"/>
    <n v="80"/>
    <n v="0"/>
    <n v="11"/>
    <n v="4"/>
  </r>
  <r>
    <x v="561"/>
    <s v="Auntie Diaries"/>
    <n v="1"/>
    <x v="40"/>
    <n v="1545"/>
    <n v="0"/>
    <n v="37778188"/>
    <s v="no"/>
    <n v="1"/>
    <n v="0"/>
    <n v="4"/>
    <n v="0"/>
    <n v="0"/>
    <n v="78"/>
    <s v="G"/>
    <s v="Major"/>
    <n v="43"/>
    <n v="60"/>
    <n v="38"/>
    <n v="76"/>
    <n v="1"/>
    <n v="48"/>
    <n v="38"/>
  </r>
  <r>
    <x v="561"/>
    <s v="PUFFIN ON ZOOTIEZ"/>
    <n v="1"/>
    <x v="428"/>
    <n v="2350"/>
    <n v="0"/>
    <n v="254218729"/>
    <s v="yes"/>
    <n v="28"/>
    <n v="42"/>
    <n v="23"/>
    <n v="0"/>
    <n v="0"/>
    <n v="125"/>
    <s v="G#"/>
    <s v="Major"/>
    <n v="88"/>
    <n v="28"/>
    <n v="66"/>
    <n v="6"/>
    <n v="0"/>
    <n v="13"/>
    <n v="31"/>
  </r>
  <r>
    <x v="562"/>
    <s v="Mirror"/>
    <n v="1"/>
    <x v="40"/>
    <n v="1929"/>
    <n v="0"/>
    <n v="53603447"/>
    <s v="no"/>
    <n v="2"/>
    <n v="0"/>
    <n v="4"/>
    <n v="0"/>
    <n v="0"/>
    <n v="92"/>
    <s v="E"/>
    <s v="Minor"/>
    <n v="66"/>
    <n v="29"/>
    <n v="65"/>
    <n v="23"/>
    <n v="0"/>
    <n v="8"/>
    <n v="7"/>
  </r>
  <r>
    <x v="562"/>
    <s v="Beautiful Girl"/>
    <n v="1"/>
    <x v="63"/>
    <n v="710"/>
    <n v="4"/>
    <n v="160035717"/>
    <s v="no"/>
    <n v="16"/>
    <n v="11"/>
    <n v="18"/>
    <n v="0"/>
    <n v="0"/>
    <n v="140"/>
    <s v="B"/>
    <s v="Minor"/>
    <n v="84"/>
    <n v="61"/>
    <n v="42"/>
    <n v="31"/>
    <n v="0"/>
    <n v="9"/>
    <n v="9"/>
  </r>
  <r>
    <x v="562"/>
    <s v="Paulo Londra: Bzrp Music Sessions, Vol. 23"/>
    <n v="2"/>
    <x v="430"/>
    <n v="928"/>
    <n v="0"/>
    <n v="164163229"/>
    <s v="no"/>
    <n v="19"/>
    <n v="0"/>
    <n v="7"/>
    <n v="0"/>
    <n v="0"/>
    <n v="96"/>
    <m/>
    <s v="Major"/>
    <n v="61"/>
    <n v="32"/>
    <n v="90"/>
    <n v="25"/>
    <n v="0"/>
    <n v="10"/>
    <n v="9"/>
  </r>
  <r>
    <x v="562"/>
    <s v="Savior - Interlude"/>
    <n v="1"/>
    <x v="40"/>
    <n v="1194"/>
    <n v="0"/>
    <n v="37091576"/>
    <s v="no"/>
    <n v="0"/>
    <n v="0"/>
    <n v="3"/>
    <n v="0"/>
    <n v="0"/>
    <n v="118"/>
    <s v="F"/>
    <s v="Minor"/>
    <n v="66"/>
    <n v="83"/>
    <n v="43"/>
    <n v="84"/>
    <n v="0"/>
    <n v="19"/>
    <n v="19"/>
  </r>
  <r>
    <x v="562"/>
    <s v="Pasoori"/>
    <n v="2"/>
    <x v="431"/>
    <n v="349"/>
    <n v="6"/>
    <n v="284249832"/>
    <s v="yes"/>
    <n v="10"/>
    <n v="22"/>
    <n v="3"/>
    <n v="0"/>
    <n v="0"/>
    <n v="92"/>
    <s v="B"/>
    <s v="Minor"/>
    <n v="71"/>
    <n v="67"/>
    <n v="60"/>
    <n v="7"/>
    <n v="0"/>
    <n v="6"/>
    <n v="4"/>
  </r>
  <r>
    <x v="562"/>
    <s v="Mother I Sober (feat. Beth Gibbons of Portishead)"/>
    <n v="2"/>
    <x v="40"/>
    <n v="1890"/>
    <n v="0"/>
    <n v="33381454"/>
    <s v="no"/>
    <n v="3"/>
    <n v="0"/>
    <n v="2"/>
    <n v="0"/>
    <n v="0"/>
    <n v="140"/>
    <s v="G#"/>
    <s v="Minor"/>
    <n v="49"/>
    <n v="50"/>
    <n v="37"/>
    <n v="87"/>
    <n v="0"/>
    <n v="11"/>
    <n v="35"/>
  </r>
  <r>
    <x v="562"/>
    <s v="TUS Lï¿½ï¿½GR"/>
    <n v="2"/>
    <x v="196"/>
    <n v="1308"/>
    <n v="2"/>
    <n v="184622518"/>
    <s v="no"/>
    <n v="23"/>
    <n v="16"/>
    <n v="9"/>
    <n v="0"/>
    <n v="5"/>
    <n v="174"/>
    <s v="C#"/>
    <s v="Major"/>
    <n v="68"/>
    <n v="45"/>
    <n v="71"/>
    <n v="18"/>
    <n v="0"/>
    <n v="11"/>
    <n v="25"/>
  </r>
  <r>
    <x v="562"/>
    <s v="Where Did You Go?"/>
    <n v="2"/>
    <x v="432"/>
    <n v="4531"/>
    <n v="0"/>
    <n v="300983101"/>
    <s v="yes"/>
    <n v="135"/>
    <n v="74"/>
    <n v="119"/>
    <n v="1"/>
    <n v="18"/>
    <n v="127"/>
    <s v="A#"/>
    <s v="Major"/>
    <n v="77"/>
    <n v="53"/>
    <n v="78"/>
    <n v="19"/>
    <n v="0"/>
    <n v="29"/>
    <n v="4"/>
  </r>
  <r>
    <x v="562"/>
    <s v="I Tried to Tell Y'all"/>
    <n v="2"/>
    <x v="67"/>
    <n v="1657"/>
    <n v="0"/>
    <n v="121077868"/>
    <s v="no"/>
    <n v="15"/>
    <n v="3"/>
    <n v="3"/>
    <n v="0"/>
    <n v="0"/>
    <n v="96"/>
    <s v="B"/>
    <s v="Major"/>
    <n v="71"/>
    <n v="37"/>
    <n v="52"/>
    <n v="62"/>
    <n v="0"/>
    <n v="11"/>
    <n v="36"/>
  </r>
  <r>
    <x v="562"/>
    <s v="Honest (feat. Don Toliver)"/>
    <n v="2"/>
    <x v="428"/>
    <n v="1351"/>
    <n v="0"/>
    <n v="106919680"/>
    <s v="no"/>
    <n v="26"/>
    <n v="1"/>
    <n v="17"/>
    <n v="0"/>
    <n v="0"/>
    <n v="150"/>
    <s v="G#"/>
    <s v="Minor"/>
    <n v="82"/>
    <n v="82"/>
    <n v="66"/>
    <n v="13"/>
    <n v="0"/>
    <n v="11"/>
    <n v="6"/>
  </r>
  <r>
    <x v="562"/>
    <s v="ZOOM"/>
    <n v="1"/>
    <x v="433"/>
    <n v="608"/>
    <n v="0"/>
    <n v="136996305"/>
    <s v="no"/>
    <n v="5"/>
    <n v="29"/>
    <n v="14"/>
    <n v="0"/>
    <n v="0"/>
    <n v="100"/>
    <s v="F#"/>
    <s v="Major"/>
    <n v="87"/>
    <n v="46"/>
    <n v="60"/>
    <n v="1"/>
    <n v="0"/>
    <n v="13"/>
    <n v="16"/>
  </r>
  <r>
    <x v="562"/>
    <s v="SloMo"/>
    <n v="1"/>
    <x v="192"/>
    <n v="1211"/>
    <n v="0"/>
    <n v="65719930"/>
    <s v="no"/>
    <n v="31"/>
    <n v="0"/>
    <n v="19"/>
    <n v="0"/>
    <n v="2"/>
    <n v="105"/>
    <s v="C#"/>
    <s v="Minor"/>
    <n v="73"/>
    <n v="59"/>
    <n v="81"/>
    <n v="13"/>
    <n v="0"/>
    <n v="9"/>
    <n v="6"/>
  </r>
  <r>
    <x v="562"/>
    <s v="FEARLESS"/>
    <n v="1"/>
    <x v="434"/>
    <n v="629"/>
    <n v="0"/>
    <n v="229497852"/>
    <s v="yes"/>
    <n v="18"/>
    <n v="75"/>
    <n v="9"/>
    <n v="0"/>
    <n v="0"/>
    <n v="104"/>
    <s v="G"/>
    <s v="Major"/>
    <n v="86"/>
    <n v="43"/>
    <n v="62"/>
    <n v="5"/>
    <n v="0"/>
    <n v="13"/>
    <n v="14"/>
  </r>
  <r>
    <x v="562"/>
    <s v="10 Things I Hate About You"/>
    <n v="1"/>
    <x v="408"/>
    <n v="1301"/>
    <n v="0"/>
    <n v="185550869"/>
    <s v="no"/>
    <n v="23"/>
    <n v="1"/>
    <n v="15"/>
    <n v="0"/>
    <n v="0"/>
    <n v="154"/>
    <s v="G#"/>
    <s v="Major"/>
    <n v="54"/>
    <n v="45"/>
    <n v="79"/>
    <n v="1"/>
    <n v="0"/>
    <n v="17"/>
    <n v="5"/>
  </r>
  <r>
    <x v="562"/>
    <s v="SPACE MAN"/>
    <n v="1"/>
    <x v="407"/>
    <n v="1329"/>
    <n v="0"/>
    <n v="54682594"/>
    <s v="no"/>
    <n v="42"/>
    <n v="51"/>
    <n v="32"/>
    <n v="0"/>
    <n v="0"/>
    <n v="80"/>
    <s v="B"/>
    <s v="Major"/>
    <n v="47"/>
    <n v="33"/>
    <n v="83"/>
    <n v="18"/>
    <n v="0"/>
    <n v="10"/>
    <n v="5"/>
  </r>
  <r>
    <x v="562"/>
    <s v="With you"/>
    <n v="2"/>
    <x v="435"/>
    <n v="343"/>
    <n v="2"/>
    <n v="240580042"/>
    <s v="yes"/>
    <n v="4"/>
    <n v="35"/>
    <n v="11"/>
    <n v="1"/>
    <n v="1"/>
    <n v="150"/>
    <s v="D#"/>
    <s v="Major"/>
    <n v="53"/>
    <n v="14"/>
    <n v="43"/>
    <n v="64"/>
    <n v="0"/>
    <n v="13"/>
    <n v="3"/>
  </r>
  <r>
    <x v="562"/>
    <s v="Iris"/>
    <n v="1"/>
    <x v="436"/>
    <n v="13101"/>
    <n v="9"/>
    <n v="1284942608"/>
    <s v="yes"/>
    <n v="137"/>
    <n v="5"/>
    <n v="582"/>
    <n v="0"/>
    <n v="0"/>
    <n v="156"/>
    <s v="B"/>
    <s v="Minor"/>
    <n v="32"/>
    <n v="49"/>
    <n v="72"/>
    <n v="0"/>
    <n v="0"/>
    <n v="9"/>
    <n v="4"/>
  </r>
  <r>
    <x v="562"/>
    <s v="The Heart Part 5"/>
    <n v="1"/>
    <x v="437"/>
    <n v="2939"/>
    <n v="0"/>
    <n v="71423324"/>
    <s v="no"/>
    <n v="29"/>
    <n v="0"/>
    <n v="30"/>
    <n v="0"/>
    <n v="0"/>
    <n v="98"/>
    <s v="G#"/>
    <s v="Minor"/>
    <n v="76"/>
    <n v="79"/>
    <n v="81"/>
    <n v="18"/>
    <n v="0"/>
    <n v="6"/>
    <n v="34"/>
  </r>
  <r>
    <x v="562"/>
    <s v="San Lucas"/>
    <n v="1"/>
    <x v="362"/>
    <n v="407"/>
    <n v="1"/>
    <n v="244891912"/>
    <s v="yes"/>
    <n v="5"/>
    <n v="0"/>
    <n v="5"/>
    <n v="0"/>
    <n v="0"/>
    <n v="92"/>
    <s v="G"/>
    <s v="Major"/>
    <n v="58"/>
    <n v="27"/>
    <n v="36"/>
    <n v="86"/>
    <n v="0"/>
    <n v="9"/>
    <n v="3"/>
  </r>
  <r>
    <x v="562"/>
    <s v="This Love (Taylorï¿½ï¿½ï¿½s Ve"/>
    <n v="1"/>
    <x v="67"/>
    <n v="1492"/>
    <n v="0"/>
    <n v="132171975"/>
    <s v="no"/>
    <n v="26"/>
    <n v="2"/>
    <n v="15"/>
    <n v="0"/>
    <n v="2"/>
    <n v="144"/>
    <s v="E"/>
    <s v="Major"/>
    <n v="47"/>
    <n v="7"/>
    <n v="50"/>
    <n v="32"/>
    <n v="0"/>
    <n v="7"/>
    <n v="4"/>
  </r>
  <r>
    <x v="562"/>
    <s v="Good Looking"/>
    <n v="1"/>
    <x v="438"/>
    <n v="2264"/>
    <n v="0"/>
    <n v="184706613"/>
    <s v="no"/>
    <n v="11"/>
    <n v="6"/>
    <n v="25"/>
    <n v="0"/>
    <n v="1"/>
    <n v="150"/>
    <s v="E"/>
    <s v="Major"/>
    <n v="37"/>
    <n v="27"/>
    <n v="56"/>
    <n v="8"/>
    <n v="0"/>
    <n v="13"/>
    <n v="3"/>
  </r>
  <r>
    <x v="562"/>
    <s v="Flowers"/>
    <n v="1"/>
    <x v="439"/>
    <n v="801"/>
    <n v="0"/>
    <n v="184826429"/>
    <s v="no"/>
    <n v="42"/>
    <n v="9"/>
    <n v="24"/>
    <n v="1"/>
    <n v="1"/>
    <n v="138"/>
    <s v="D#"/>
    <s v="Major"/>
    <n v="70"/>
    <n v="31"/>
    <n v="44"/>
    <n v="84"/>
    <n v="0"/>
    <n v="9"/>
    <n v="39"/>
  </r>
  <r>
    <x v="562"/>
    <s v="Yet To Come"/>
    <n v="1"/>
    <x v="162"/>
    <n v="829"/>
    <n v="0"/>
    <n v="302006641"/>
    <s v="yes"/>
    <n v="32"/>
    <n v="110"/>
    <n v="26"/>
    <n v="0"/>
    <n v="0"/>
    <n v="172"/>
    <s v="C#"/>
    <s v="Major"/>
    <n v="56"/>
    <n v="68"/>
    <n v="89"/>
    <n v="4"/>
    <n v="0"/>
    <n v="33"/>
    <n v="19"/>
  </r>
  <r>
    <x v="562"/>
    <s v="Run BTS"/>
    <n v="1"/>
    <x v="162"/>
    <n v="736"/>
    <n v="0"/>
    <n v="330881149"/>
    <s v="yes"/>
    <n v="5"/>
    <n v="132"/>
    <n v="17"/>
    <n v="0"/>
    <n v="3"/>
    <n v="77"/>
    <s v="G#"/>
    <s v="Major"/>
    <n v="72"/>
    <n v="70"/>
    <n v="82"/>
    <n v="2"/>
    <n v="0"/>
    <n v="4"/>
    <n v="17"/>
  </r>
  <r>
    <x v="562"/>
    <s v="Music For a Sushi Restaurant"/>
    <n v="1"/>
    <x v="193"/>
    <n v="4449"/>
    <n v="1"/>
    <n v="334733572"/>
    <s v="yes"/>
    <n v="80"/>
    <n v="11"/>
    <n v="66"/>
    <n v="0"/>
    <n v="1"/>
    <n v="107"/>
    <s v="B"/>
    <s v="Major"/>
    <n v="72"/>
    <n v="36"/>
    <n v="72"/>
    <n v="26"/>
    <n v="6"/>
    <n v="11"/>
    <n v="4"/>
  </r>
  <r>
    <x v="562"/>
    <s v="Matilda"/>
    <n v="1"/>
    <x v="193"/>
    <n v="3218"/>
    <n v="3"/>
    <n v="366214458"/>
    <s v="yes"/>
    <n v="29"/>
    <n v="10"/>
    <n v="79"/>
    <n v="0"/>
    <n v="0"/>
    <n v="114"/>
    <s v="D"/>
    <s v="Major"/>
    <n v="51"/>
    <n v="39"/>
    <n v="29"/>
    <n v="90"/>
    <n v="0"/>
    <n v="10"/>
    <n v="4"/>
  </r>
  <r>
    <x v="562"/>
    <s v="For Youth"/>
    <n v="1"/>
    <x v="162"/>
    <n v="327"/>
    <n v="0"/>
    <n v="114546317"/>
    <s v="no"/>
    <n v="5"/>
    <n v="40"/>
    <n v="12"/>
    <n v="0"/>
    <n v="0"/>
    <n v="117"/>
    <s v="D"/>
    <s v="Major"/>
    <n v="63"/>
    <n v="29"/>
    <n v="51"/>
    <n v="43"/>
    <n v="0"/>
    <n v="25"/>
    <n v="4"/>
  </r>
  <r>
    <x v="562"/>
    <s v="Daylight"/>
    <n v="1"/>
    <x v="193"/>
    <n v="2775"/>
    <n v="0"/>
    <n v="290833204"/>
    <s v="yes"/>
    <n v="21"/>
    <n v="11"/>
    <n v="40"/>
    <n v="0"/>
    <n v="0"/>
    <n v="146"/>
    <m/>
    <s v="Major"/>
    <n v="69"/>
    <n v="63"/>
    <n v="45"/>
    <n v="48"/>
    <n v="0"/>
    <n v="18"/>
    <n v="4"/>
  </r>
  <r>
    <x v="562"/>
    <s v="Vegas (From the Original Motion Picture Soundtrack ELVIS)"/>
    <n v="1"/>
    <x v="67"/>
    <n v="4576"/>
    <n v="0"/>
    <n v="448500832"/>
    <s v="yes"/>
    <n v="79"/>
    <n v="13"/>
    <n v="93"/>
    <n v="0"/>
    <n v="17"/>
    <n v="160"/>
    <s v="G#"/>
    <s v="Minor"/>
    <n v="80"/>
    <n v="74"/>
    <n v="60"/>
    <n v="8"/>
    <n v="0"/>
    <n v="14"/>
    <n v="26"/>
  </r>
  <r>
    <x v="562"/>
    <s v="Cash In Cash Out"/>
    <n v="4"/>
    <x v="162"/>
    <n v="2313"/>
    <n v="0"/>
    <n v="136676504"/>
    <s v="no"/>
    <n v="34"/>
    <n v="0"/>
    <n v="29"/>
    <n v="0"/>
    <n v="0"/>
    <n v="120"/>
    <s v="G"/>
    <s v="Major"/>
    <n v="88"/>
    <n v="15"/>
    <n v="56"/>
    <n v="1"/>
    <n v="0"/>
    <n v="8"/>
    <n v="6"/>
  </r>
  <r>
    <x v="562"/>
    <s v="Potion (with Dua Lipa &amp; Young Thug)"/>
    <n v="3"/>
    <x v="440"/>
    <n v="3983"/>
    <n v="0"/>
    <n v="190625045"/>
    <s v="no"/>
    <n v="73"/>
    <n v="45"/>
    <n v="119"/>
    <n v="0"/>
    <n v="0"/>
    <n v="100"/>
    <s v="B"/>
    <s v="Minor"/>
    <n v="82"/>
    <n v="76"/>
    <n v="70"/>
    <n v="16"/>
    <n v="0"/>
    <n v="8"/>
    <n v="5"/>
  </r>
  <r>
    <x v="562"/>
    <s v="Born Singer"/>
    <n v="1"/>
    <x v="162"/>
    <n v="279"/>
    <n v="0"/>
    <n v="79095270"/>
    <s v="no"/>
    <n v="0"/>
    <n v="18"/>
    <n v="6"/>
    <n v="0"/>
    <n v="0"/>
    <n v="158"/>
    <s v="G#"/>
    <s v="Minor"/>
    <n v="60"/>
    <n v="68"/>
    <n v="84"/>
    <n v="4"/>
    <n v="0"/>
    <n v="24"/>
    <n v="11"/>
  </r>
  <r>
    <x v="562"/>
    <s v="Little Freak"/>
    <n v="1"/>
    <x v="193"/>
    <n v="2302"/>
    <n v="0"/>
    <n v="273194684"/>
    <s v="yes"/>
    <n v="20"/>
    <n v="3"/>
    <n v="39"/>
    <n v="0"/>
    <n v="0"/>
    <n v="142"/>
    <s v="D#"/>
    <s v="Major"/>
    <n v="56"/>
    <n v="40"/>
    <n v="54"/>
    <n v="72"/>
    <n v="0"/>
    <n v="10"/>
    <n v="4"/>
  </r>
  <r>
    <x v="562"/>
    <s v="La Llevo Al Cielo (Ft. ï¿½ï¿½engo F"/>
    <n v="4"/>
    <x v="193"/>
    <n v="3559"/>
    <n v="3"/>
    <n v="333146475"/>
    <s v="yes"/>
    <n v="36"/>
    <n v="1"/>
    <n v="31"/>
    <n v="0"/>
    <n v="1"/>
    <n v="170"/>
    <s v="A"/>
    <s v="Minor"/>
    <n v="80"/>
    <n v="77"/>
    <n v="85"/>
    <n v="11"/>
    <n v="0"/>
    <n v="17"/>
    <n v="14"/>
  </r>
  <r>
    <x v="563"/>
    <s v="True Love"/>
    <n v="2"/>
    <x v="440"/>
    <n v="2129"/>
    <n v="0"/>
    <n v="194902696"/>
    <s v="no"/>
    <n v="23"/>
    <n v="1"/>
    <n v="44"/>
    <n v="1"/>
    <n v="0"/>
    <n v="84"/>
    <s v="F"/>
    <s v="Minor"/>
    <n v="71"/>
    <n v="39"/>
    <n v="86"/>
    <n v="2"/>
    <n v="0"/>
    <n v="51"/>
    <n v="25"/>
  </r>
  <r>
    <x v="564"/>
    <s v="Satellite"/>
    <n v="1"/>
    <x v="193"/>
    <n v="3291"/>
    <n v="5"/>
    <n v="311482393"/>
    <s v="yes"/>
    <n v="43"/>
    <n v="28"/>
    <n v="79"/>
    <n v="0"/>
    <n v="208"/>
    <n v="139"/>
    <m/>
    <s v="Major"/>
    <n v="58"/>
    <n v="30"/>
    <n v="46"/>
    <n v="14"/>
    <n v="0"/>
    <n v="9"/>
    <n v="3"/>
  </r>
  <r>
    <x v="565"/>
    <s v="Pass The Dutchie"/>
    <n v="1"/>
    <x v="441"/>
    <n v="5328"/>
    <n v="0"/>
    <n v="195918494"/>
    <s v="no"/>
    <n v="54"/>
    <n v="76"/>
    <n v="900"/>
    <n v="0"/>
    <n v="0"/>
    <n v="151"/>
    <s v="G"/>
    <s v="Major"/>
    <n v="73"/>
    <n v="88"/>
    <n v="67"/>
    <n v="20"/>
    <n v="0"/>
    <n v="32"/>
    <n v="5"/>
  </r>
  <r>
    <x v="566"/>
    <s v="Villano Antillano: Bzrp Music Sessions, Vol. 51"/>
    <n v="2"/>
    <x v="442"/>
    <n v="1401"/>
    <n v="0"/>
    <n v="248511839"/>
    <s v="yes"/>
    <n v="26"/>
    <n v="16"/>
    <n v="17"/>
    <n v="0"/>
    <n v="1"/>
    <n v="128"/>
    <s v="C#"/>
    <s v="Minor"/>
    <n v="82"/>
    <n v="42"/>
    <n v="75"/>
    <n v="6"/>
    <n v="0"/>
    <n v="63"/>
    <n v="6"/>
  </r>
  <r>
    <x v="567"/>
    <s v="Love Of My Life"/>
    <n v="1"/>
    <x v="193"/>
    <n v="1933"/>
    <n v="0"/>
    <n v="233671263"/>
    <s v="yes"/>
    <n v="13"/>
    <n v="2"/>
    <n v="31"/>
    <n v="0"/>
    <n v="0"/>
    <n v="118"/>
    <s v="G"/>
    <s v="Major"/>
    <n v="56"/>
    <n v="20"/>
    <n v="54"/>
    <n v="67"/>
    <n v="0"/>
    <n v="6"/>
    <n v="5"/>
  </r>
  <r>
    <x v="568"/>
    <s v="Grapejuice"/>
    <n v="1"/>
    <x v="193"/>
    <n v="1986"/>
    <n v="0"/>
    <n v="199587884"/>
    <s v="no"/>
    <n v="7"/>
    <n v="1"/>
    <n v="15"/>
    <n v="0"/>
    <n v="0"/>
    <n v="183"/>
    <s v="F"/>
    <s v="Major"/>
    <n v="65"/>
    <n v="88"/>
    <n v="72"/>
    <n v="36"/>
    <n v="14"/>
    <n v="20"/>
    <n v="3"/>
  </r>
  <r>
    <x v="569"/>
    <s v="So Good"/>
    <n v="1"/>
    <x v="443"/>
    <n v="1057"/>
    <n v="0"/>
    <n v="91781263"/>
    <s v="no"/>
    <n v="51"/>
    <n v="14"/>
    <n v="19"/>
    <n v="0"/>
    <n v="0"/>
    <n v="83"/>
    <s v="D#"/>
    <s v="Minor"/>
    <n v="63"/>
    <n v="29"/>
    <n v="62"/>
    <n v="4"/>
    <n v="0"/>
    <n v="18"/>
    <n v="4"/>
  </r>
  <r>
    <x v="570"/>
    <s v="Belly Dancer"/>
    <n v="2"/>
    <x v="398"/>
    <n v="5115"/>
    <n v="13"/>
    <n v="383835984"/>
    <s v="yes"/>
    <n v="109"/>
    <n v="38"/>
    <n v="301"/>
    <n v="1"/>
    <n v="33"/>
    <n v="122"/>
    <s v="C#"/>
    <s v="Major"/>
    <n v="85"/>
    <n v="42"/>
    <n v="80"/>
    <n v="6"/>
    <n v="0"/>
    <n v="17"/>
    <n v="14"/>
  </r>
  <r>
    <x v="571"/>
    <s v="Keep Driving"/>
    <n v="1"/>
    <x v="193"/>
    <n v="2094"/>
    <n v="1"/>
    <n v="236060709"/>
    <s v="yes"/>
    <n v="8"/>
    <n v="1"/>
    <n v="18"/>
    <n v="0"/>
    <n v="0"/>
    <n v="165"/>
    <s v="A"/>
    <s v="Major"/>
    <n v="72"/>
    <n v="90"/>
    <n v="48"/>
    <n v="32"/>
    <n v="0"/>
    <n v="18"/>
    <n v="23"/>
  </r>
  <r>
    <x v="571"/>
    <s v="Cinema"/>
    <n v="1"/>
    <x v="193"/>
    <n v="2171"/>
    <n v="0"/>
    <n v="189236868"/>
    <s v="no"/>
    <n v="18"/>
    <n v="1"/>
    <n v="28"/>
    <n v="0"/>
    <n v="0"/>
    <n v="106"/>
    <s v="A"/>
    <s v="Minor"/>
    <n v="83"/>
    <n v="90"/>
    <n v="64"/>
    <n v="35"/>
    <n v="5"/>
    <n v="9"/>
    <n v="4"/>
  </r>
  <r>
    <x v="572"/>
    <s v="Die Young (feat. 347aidan)"/>
    <n v="2"/>
    <x v="444"/>
    <n v="896"/>
    <n v="0"/>
    <n v="160845341"/>
    <s v="no"/>
    <n v="19"/>
    <n v="0"/>
    <n v="15"/>
    <n v="0"/>
    <n v="0"/>
    <n v="77"/>
    <s v="B"/>
    <s v="Major"/>
    <n v="81"/>
    <n v="68"/>
    <n v="58"/>
    <n v="83"/>
    <n v="0"/>
    <n v="11"/>
    <n v="34"/>
  </r>
  <r>
    <x v="573"/>
    <s v="Only Love Can Hurt Like This"/>
    <n v="1"/>
    <x v="32"/>
    <n v="5148"/>
    <n v="0"/>
    <n v="588955257"/>
    <s v="yes"/>
    <n v="90"/>
    <n v="22"/>
    <n v="365"/>
    <n v="0"/>
    <n v="114"/>
    <n v="91"/>
    <s v="G#"/>
    <s v="Major"/>
    <n v="57"/>
    <n v="30"/>
    <n v="89"/>
    <n v="10"/>
    <n v="0"/>
    <n v="33"/>
    <n v="8"/>
  </r>
  <r>
    <x v="573"/>
    <s v="Hold My Hand"/>
    <n v="1"/>
    <x v="445"/>
    <n v="2528"/>
    <n v="0"/>
    <n v="238350348"/>
    <s v="yes"/>
    <n v="63"/>
    <n v="8"/>
    <n v="270"/>
    <n v="2"/>
    <n v="105"/>
    <n v="148"/>
    <s v="G"/>
    <s v="Major"/>
    <n v="51"/>
    <n v="21"/>
    <n v="63"/>
    <n v="5"/>
    <n v="0"/>
    <n v="41"/>
    <n v="3"/>
  </r>
  <r>
    <x v="573"/>
    <s v="Daydreaming"/>
    <n v="1"/>
    <x v="193"/>
    <n v="1900"/>
    <n v="1"/>
    <n v="187703102"/>
    <s v="no"/>
    <n v="15"/>
    <n v="1"/>
    <n v="23"/>
    <n v="0"/>
    <n v="0"/>
    <n v="114"/>
    <s v="E"/>
    <s v="Minor"/>
    <n v="71"/>
    <n v="90"/>
    <n v="81"/>
    <n v="31"/>
    <n v="2"/>
    <n v="13"/>
    <n v="3"/>
  </r>
  <r>
    <x v="574"/>
    <s v="Numb"/>
    <n v="2"/>
    <x v="162"/>
    <n v="3879"/>
    <n v="2"/>
    <n v="295307001"/>
    <s v="yes"/>
    <n v="107"/>
    <n v="76"/>
    <n v="86"/>
    <n v="1"/>
    <n v="9"/>
    <n v="120"/>
    <m/>
    <s v="Minor"/>
    <n v="91"/>
    <n v="63"/>
    <n v="77"/>
    <n v="12"/>
    <n v="1"/>
    <n v="10"/>
    <n v="5"/>
  </r>
  <r>
    <x v="575"/>
    <s v="Nos Comemos (feat. Ozuna)"/>
    <n v="2"/>
    <x v="446"/>
    <n v="896"/>
    <n v="0"/>
    <n v="138334433"/>
    <s v="no"/>
    <n v="0"/>
    <n v="0"/>
    <n v="2"/>
    <n v="0"/>
    <n v="0"/>
    <n v="92"/>
    <s v="F#"/>
    <s v="Major"/>
    <n v="83"/>
    <n v="56"/>
    <n v="82"/>
    <n v="10"/>
    <n v="0"/>
    <n v="9"/>
    <n v="5"/>
  </r>
  <r>
    <x v="576"/>
    <s v="Me and Your Mama"/>
    <n v="1"/>
    <x v="447"/>
    <n v="8775"/>
    <n v="0"/>
    <n v="445590495"/>
    <s v="yes"/>
    <n v="33"/>
    <n v="60"/>
    <n v="107"/>
    <n v="1"/>
    <n v="0"/>
    <n v="118"/>
    <s v="F"/>
    <s v="Major"/>
    <n v="56"/>
    <n v="25"/>
    <n v="45"/>
    <n v="1"/>
    <n v="3"/>
    <n v="7"/>
    <n v="3"/>
  </r>
  <r>
    <x v="577"/>
    <s v="Crazy What Love Can Do"/>
    <n v="3"/>
    <x v="412"/>
    <n v="5290"/>
    <n v="0"/>
    <n v="286739476"/>
    <s v="yes"/>
    <n v="139"/>
    <n v="73"/>
    <n v="142"/>
    <n v="0"/>
    <n v="5"/>
    <n v="123"/>
    <s v="E"/>
    <s v="Minor"/>
    <n v="60"/>
    <n v="46"/>
    <n v="71"/>
    <n v="3"/>
    <n v="0"/>
    <n v="16"/>
    <n v="4"/>
  </r>
  <r>
    <x v="578"/>
    <s v="SLOW DANCING IN THE DARK"/>
    <n v="1"/>
    <x v="448"/>
    <n v="10211"/>
    <n v="0"/>
    <n v="1122364376"/>
    <s v="yes"/>
    <n v="38"/>
    <n v="79"/>
    <n v="65"/>
    <n v="0"/>
    <n v="1"/>
    <n v="89"/>
    <s v="D#"/>
    <s v="Major"/>
    <n v="52"/>
    <n v="28"/>
    <n v="48"/>
    <n v="54"/>
    <n v="1"/>
    <n v="19"/>
    <n v="3"/>
  </r>
  <r>
    <x v="578"/>
    <s v="Antes de Perderte"/>
    <n v="1"/>
    <x v="446"/>
    <n v="584"/>
    <n v="8"/>
    <n v="157136970"/>
    <s v="no"/>
    <n v="12"/>
    <n v="1"/>
    <n v="8"/>
    <n v="0"/>
    <n v="1"/>
    <n v="110"/>
    <s v="F"/>
    <s v="Minor"/>
    <n v="81"/>
    <n v="61"/>
    <n v="93"/>
    <n v="49"/>
    <n v="0"/>
    <n v="12"/>
    <n v="11"/>
  </r>
  <r>
    <x v="578"/>
    <s v="Boyfriends"/>
    <n v="1"/>
    <x v="193"/>
    <n v="1517"/>
    <n v="0"/>
    <n v="137070925"/>
    <s v="no"/>
    <n v="26"/>
    <n v="2"/>
    <n v="30"/>
    <n v="0"/>
    <n v="0"/>
    <n v="118"/>
    <m/>
    <s v="Major"/>
    <n v="42"/>
    <n v="32"/>
    <n v="20"/>
    <n v="94"/>
    <n v="0"/>
    <n v="11"/>
    <n v="4"/>
  </r>
  <r>
    <x v="578"/>
    <n v="295"/>
    <n v="1"/>
    <x v="449"/>
    <n v="246"/>
    <n v="4"/>
    <n v="183273246"/>
    <s v="no"/>
    <n v="4"/>
    <n v="106"/>
    <n v="0"/>
    <n v="0"/>
    <n v="7"/>
    <n v="90"/>
    <s v="B"/>
    <s v="Minor"/>
    <n v="68"/>
    <n v="54"/>
    <n v="76"/>
    <n v="21"/>
    <n v="0"/>
    <n v="11"/>
    <n v="20"/>
  </r>
  <r>
    <x v="578"/>
    <s v="Tak Ingin Usai"/>
    <n v="1"/>
    <x v="40"/>
    <n v="220"/>
    <n v="4"/>
    <n v="184807630"/>
    <s v="no"/>
    <n v="16"/>
    <n v="5"/>
    <n v="0"/>
    <n v="0"/>
    <n v="6"/>
    <n v="130"/>
    <m/>
    <s v="Major"/>
    <n v="49"/>
    <n v="14"/>
    <n v="40"/>
    <n v="82"/>
    <n v="0"/>
    <n v="11"/>
    <n v="3"/>
  </r>
  <r>
    <x v="578"/>
    <s v="En El Radio Un Cochinero"/>
    <n v="1"/>
    <x v="40"/>
    <n v="514"/>
    <n v="0"/>
    <n v="164856284"/>
    <s v="no"/>
    <n v="5"/>
    <n v="36"/>
    <n v="1"/>
    <n v="0"/>
    <n v="0"/>
    <n v="154"/>
    <s v="F#"/>
    <s v="Minor"/>
    <n v="70"/>
    <n v="97"/>
    <n v="62"/>
    <n v="47"/>
    <n v="0"/>
    <n v="10"/>
    <n v="4"/>
  </r>
  <r>
    <x v="578"/>
    <s v="Master of Puppets (Remastered)"/>
    <n v="1"/>
    <x v="450"/>
    <n v="6080"/>
    <n v="0"/>
    <n v="704171068"/>
    <s v="yes"/>
    <n v="112"/>
    <n v="198"/>
    <n v="406"/>
    <n v="1"/>
    <n v="0"/>
    <n v="105"/>
    <s v="E"/>
    <s v="Minor"/>
    <n v="54"/>
    <n v="59"/>
    <n v="83"/>
    <n v="0"/>
    <n v="44"/>
    <n v="20"/>
    <n v="4"/>
  </r>
  <r>
    <x v="578"/>
    <s v="BREAK MY SOUL"/>
    <n v="1"/>
    <x v="451"/>
    <n v="9724"/>
    <n v="0"/>
    <n v="354614964"/>
    <s v="yes"/>
    <n v="222"/>
    <n v="61"/>
    <n v="259"/>
    <n v="14"/>
    <n v="2"/>
    <n v="115"/>
    <s v="C#"/>
    <s v="Minor"/>
    <n v="70"/>
    <n v="87"/>
    <n v="88"/>
    <n v="4"/>
    <n v="0"/>
    <n v="26"/>
    <n v="8"/>
  </r>
  <r>
    <x v="578"/>
    <s v="ULTRA SOLO REMIX"/>
    <n v="5"/>
    <x v="452"/>
    <n v="2341"/>
    <n v="0"/>
    <n v="279717388"/>
    <s v="yes"/>
    <n v="37"/>
    <n v="2"/>
    <n v="38"/>
    <n v="2"/>
    <n v="0"/>
    <n v="110"/>
    <s v="C#"/>
    <s v="Major"/>
    <n v="91"/>
    <n v="59"/>
    <n v="82"/>
    <n v="8"/>
    <n v="0"/>
    <n v="6"/>
    <n v="8"/>
  </r>
  <r>
    <x v="578"/>
    <s v="Massive"/>
    <n v="1"/>
    <x v="108"/>
    <n v="5263"/>
    <n v="0"/>
    <n v="195628667"/>
    <s v="no"/>
    <n v="66"/>
    <n v="89"/>
    <n v="61"/>
    <n v="0"/>
    <n v="11"/>
    <n v="125"/>
    <s v="E"/>
    <s v="Minor"/>
    <n v="51"/>
    <n v="5"/>
    <n v="68"/>
    <n v="12"/>
    <n v="2"/>
    <n v="15"/>
    <n v="6"/>
  </r>
  <r>
    <x v="578"/>
    <s v="Betty (Get Money)"/>
    <n v="1"/>
    <x v="162"/>
    <n v="2402"/>
    <n v="0"/>
    <n v="221752937"/>
    <s v="yes"/>
    <n v="45"/>
    <n v="2"/>
    <n v="26"/>
    <n v="0"/>
    <n v="1"/>
    <n v="102"/>
    <s v="C#"/>
    <s v="Major"/>
    <n v="73"/>
    <n v="62"/>
    <n v="75"/>
    <n v="0"/>
    <n v="0"/>
    <n v="34"/>
    <n v="8"/>
  </r>
  <r>
    <x v="578"/>
    <s v="Ojos Marrones"/>
    <n v="1"/>
    <x v="431"/>
    <n v="795"/>
    <n v="11"/>
    <n v="263280370"/>
    <s v="yes"/>
    <n v="26"/>
    <n v="18"/>
    <n v="15"/>
    <n v="1"/>
    <n v="4"/>
    <n v="120"/>
    <s v="G#"/>
    <s v="Minor"/>
    <n v="81"/>
    <n v="72"/>
    <n v="65"/>
    <n v="4"/>
    <n v="0"/>
    <n v="14"/>
    <n v="4"/>
  </r>
  <r>
    <x v="578"/>
    <s v="POP!"/>
    <n v="1"/>
    <x v="51"/>
    <n v="571"/>
    <n v="0"/>
    <n v="213505179"/>
    <s v="yes"/>
    <n v="19"/>
    <n v="21"/>
    <n v="14"/>
    <n v="0"/>
    <n v="2"/>
    <n v="97"/>
    <s v="D"/>
    <s v="Major"/>
    <n v="80"/>
    <n v="36"/>
    <n v="86"/>
    <n v="4"/>
    <n v="0"/>
    <n v="3"/>
    <n v="5"/>
  </r>
  <r>
    <x v="578"/>
    <s v="Layla"/>
    <n v="2"/>
    <x v="453"/>
    <n v="832"/>
    <n v="3"/>
    <n v="130419412"/>
    <s v="no"/>
    <n v="18"/>
    <n v="124"/>
    <n v="24"/>
    <n v="1"/>
    <n v="0"/>
    <n v="140"/>
    <s v="F"/>
    <s v="Minor"/>
    <n v="44"/>
    <n v="41"/>
    <n v="92"/>
    <n v="0"/>
    <n v="0"/>
    <n v="44"/>
    <n v="7"/>
  </r>
  <r>
    <x v="578"/>
    <s v="MORE"/>
    <n v="1"/>
    <x v="454"/>
    <n v="565"/>
    <n v="0"/>
    <n v="155795783"/>
    <s v="no"/>
    <n v="6"/>
    <n v="52"/>
    <n v="11"/>
    <n v="0"/>
    <n v="0"/>
    <n v="97"/>
    <s v="D"/>
    <s v="Major"/>
    <n v="78"/>
    <n v="31"/>
    <n v="72"/>
    <n v="1"/>
    <n v="0"/>
    <n v="11"/>
    <n v="4"/>
  </r>
  <r>
    <x v="578"/>
    <s v="Sweet Child O' Mine"/>
    <n v="1"/>
    <x v="455"/>
    <n v="41231"/>
    <n v="1"/>
    <n v="1553497987"/>
    <s v="yes"/>
    <n v="228"/>
    <n v="151"/>
    <n v="6720"/>
    <n v="3"/>
    <n v="99"/>
    <n v="125"/>
    <s v="F#"/>
    <s v="Major"/>
    <n v="45"/>
    <n v="67"/>
    <n v="90"/>
    <n v="9"/>
    <n v="11"/>
    <n v="10"/>
    <n v="5"/>
  </r>
  <r>
    <x v="578"/>
    <s v="Last Last"/>
    <n v="1"/>
    <x v="424"/>
    <n v="4526"/>
    <n v="12"/>
    <n v="293466523"/>
    <s v="yes"/>
    <n v="156"/>
    <n v="275"/>
    <n v="150"/>
    <n v="3"/>
    <n v="128"/>
    <n v="88"/>
    <s v="D#"/>
    <s v="Minor"/>
    <n v="80"/>
    <n v="55"/>
    <n v="56"/>
    <n v="13"/>
    <n v="0"/>
    <n v="8"/>
    <n v="9"/>
  </r>
  <r>
    <x v="578"/>
    <s v="SNAP"/>
    <n v="1"/>
    <x v="121"/>
    <n v="1818"/>
    <n v="0"/>
    <n v="711366595"/>
    <s v="yes"/>
    <n v="3"/>
    <n v="0"/>
    <n v="63"/>
    <n v="0"/>
    <n v="353"/>
    <n v="170"/>
    <m/>
    <s v="Major"/>
    <n v="56"/>
    <n v="52"/>
    <n v="64"/>
    <n v="11"/>
    <n v="0"/>
    <n v="45"/>
    <n v="7"/>
  </r>
  <r>
    <x v="578"/>
    <s v="Sticky"/>
    <n v="1"/>
    <x v="108"/>
    <n v="2814"/>
    <n v="0"/>
    <n v="191448892"/>
    <s v="no"/>
    <n v="38"/>
    <n v="105"/>
    <n v="25"/>
    <n v="0"/>
    <n v="2"/>
    <n v="137"/>
    <s v="A#"/>
    <s v="Minor"/>
    <n v="88"/>
    <n v="8"/>
    <n v="49"/>
    <n v="9"/>
    <n v="0"/>
    <n v="9"/>
    <n v="14"/>
  </r>
  <r>
    <x v="578"/>
    <s v="Hot Shit (feat. Ye &amp; Lil Durk)"/>
    <n v="3"/>
    <x v="454"/>
    <n v="1601"/>
    <n v="0"/>
    <n v="85924992"/>
    <s v="no"/>
    <n v="11"/>
    <n v="0"/>
    <n v="2"/>
    <n v="0"/>
    <n v="0"/>
    <n v="157"/>
    <s v="A"/>
    <s v="Major"/>
    <n v="88"/>
    <n v="52"/>
    <n v="69"/>
    <n v="0"/>
    <n v="0"/>
    <n v="8"/>
    <n v="23"/>
  </r>
  <r>
    <x v="578"/>
    <s v="Ai Preto"/>
    <n v="3"/>
    <x v="217"/>
    <n v="894"/>
    <n v="4"/>
    <n v="176103902"/>
    <s v="no"/>
    <n v="28"/>
    <n v="0"/>
    <n v="54"/>
    <n v="0"/>
    <n v="0"/>
    <n v="130"/>
    <s v="F#"/>
    <s v="Major"/>
    <n v="95"/>
    <n v="83"/>
    <n v="57"/>
    <n v="54"/>
    <n v="0"/>
    <n v="10"/>
    <n v="25"/>
  </r>
  <r>
    <x v="578"/>
    <s v="La Loto"/>
    <n v="3"/>
    <x v="57"/>
    <n v="945"/>
    <n v="0"/>
    <n v="121189256"/>
    <s v="no"/>
    <n v="49"/>
    <n v="3"/>
    <n v="57"/>
    <n v="0"/>
    <n v="0"/>
    <n v="90"/>
    <s v="C#"/>
    <s v="Major"/>
    <n v="85"/>
    <n v="80"/>
    <n v="83"/>
    <n v="10"/>
    <n v="0"/>
    <n v="8"/>
    <n v="11"/>
  </r>
  <r>
    <x v="579"/>
    <s v="die first"/>
    <n v="1"/>
    <x v="51"/>
    <n v="767"/>
    <n v="0"/>
    <n v="131746175"/>
    <s v="no"/>
    <n v="25"/>
    <n v="0"/>
    <n v="22"/>
    <n v="0"/>
    <n v="0"/>
    <n v="183"/>
    <s v="G#"/>
    <s v="Minor"/>
    <n v="44"/>
    <n v="44"/>
    <n v="67"/>
    <n v="7"/>
    <n v="0"/>
    <n v="12"/>
    <n v="13"/>
  </r>
  <r>
    <x v="580"/>
    <s v="Afraid To Feel"/>
    <n v="1"/>
    <x v="434"/>
    <n v="5898"/>
    <n v="5"/>
    <n v="244790012"/>
    <s v="yes"/>
    <n v="129"/>
    <n v="55"/>
    <n v="128"/>
    <n v="0"/>
    <n v="101"/>
    <n v="128"/>
    <s v="C#"/>
    <s v="Major"/>
    <n v="58"/>
    <n v="68"/>
    <n v="91"/>
    <n v="2"/>
    <n v="0"/>
    <n v="27"/>
    <n v="11"/>
  </r>
  <r>
    <x v="581"/>
    <s v="Baile no Morro"/>
    <n v="3"/>
    <x v="162"/>
    <n v="685"/>
    <n v="2"/>
    <n v="129314708"/>
    <s v="no"/>
    <n v="17"/>
    <n v="0"/>
    <n v="24"/>
    <n v="0"/>
    <n v="30"/>
    <n v="130"/>
    <s v="D#"/>
    <s v="Minor"/>
    <n v="71"/>
    <n v="78"/>
    <n v="40"/>
    <n v="46"/>
    <n v="0"/>
    <n v="7"/>
    <n v="45"/>
  </r>
  <r>
    <x v="582"/>
    <s v="cï¿½ï¿½mo dormi"/>
    <n v="1"/>
    <x v="456"/>
    <n v="1452"/>
    <n v="35"/>
    <n v="331511413"/>
    <s v="yes"/>
    <n v="16"/>
    <n v="15"/>
    <n v="20"/>
    <n v="0"/>
    <n v="0"/>
    <n v="126"/>
    <s v="C#"/>
    <s v="Major"/>
    <n v="63"/>
    <n v="56"/>
    <n v="43"/>
    <n v="24"/>
    <n v="0"/>
    <n v="12"/>
    <n v="23"/>
  </r>
  <r>
    <x v="582"/>
    <s v="Bad Decisions (with BTS &amp; Snoop Dogg)"/>
    <n v="3"/>
    <x v="208"/>
    <n v="1456"/>
    <n v="0"/>
    <n v="219196651"/>
    <s v="yes"/>
    <n v="53"/>
    <n v="2"/>
    <n v="33"/>
    <n v="0"/>
    <n v="0"/>
    <n v="120"/>
    <m/>
    <s v="Major"/>
    <n v="77"/>
    <n v="94"/>
    <n v="87"/>
    <n v="2"/>
    <n v="0"/>
    <n v="23"/>
    <n v="12"/>
  </r>
  <r>
    <x v="583"/>
    <s v="STAYING ALIVE (feat. Drake &amp; Lil Baby)"/>
    <n v="3"/>
    <x v="208"/>
    <n v="2107"/>
    <n v="0"/>
    <n v="170732845"/>
    <s v="no"/>
    <n v="51"/>
    <n v="1"/>
    <n v="50"/>
    <n v="0"/>
    <n v="0"/>
    <n v="130"/>
    <s v="E"/>
    <s v="Minor"/>
    <n v="72"/>
    <n v="18"/>
    <n v="46"/>
    <n v="7"/>
    <n v="0"/>
    <n v="28"/>
    <n v="8"/>
  </r>
  <r>
    <x v="584"/>
    <s v="Caile"/>
    <n v="1"/>
    <x v="457"/>
    <n v="1494"/>
    <n v="2"/>
    <n v="273914335"/>
    <s v="yes"/>
    <n v="17"/>
    <n v="12"/>
    <n v="15"/>
    <n v="0"/>
    <n v="0"/>
    <n v="122"/>
    <m/>
    <s v="Major"/>
    <n v="70"/>
    <n v="46"/>
    <n v="76"/>
    <n v="30"/>
    <n v="0"/>
    <n v="9"/>
    <n v="45"/>
  </r>
  <r>
    <x v="585"/>
    <s v="Si Te La Encuentras Por Ahï¿"/>
    <n v="1"/>
    <x v="208"/>
    <n v="1379"/>
    <n v="4"/>
    <n v="179061440"/>
    <s v="no"/>
    <n v="23"/>
    <n v="10"/>
    <n v="18"/>
    <n v="0"/>
    <n v="0"/>
    <n v="172"/>
    <s v="G#"/>
    <s v="Minor"/>
    <n v="74"/>
    <n v="46"/>
    <n v="58"/>
    <n v="15"/>
    <n v="0"/>
    <n v="13"/>
    <n v="8"/>
  </r>
  <r>
    <x v="586"/>
    <s v="GIVENCHY"/>
    <n v="1"/>
    <x v="98"/>
    <n v="625"/>
    <n v="4"/>
    <n v="185236961"/>
    <s v="no"/>
    <n v="13"/>
    <n v="18"/>
    <n v="12"/>
    <n v="0"/>
    <n v="0"/>
    <n v="103"/>
    <s v="G#"/>
    <s v="Major"/>
    <n v="61"/>
    <n v="38"/>
    <n v="62"/>
    <n v="14"/>
    <n v="0"/>
    <n v="23"/>
    <n v="40"/>
  </r>
  <r>
    <x v="587"/>
    <s v="ALIEN SUPERSTAR"/>
    <n v="1"/>
    <x v="151"/>
    <n v="2688"/>
    <n v="0"/>
    <n v="171788484"/>
    <s v="no"/>
    <n v="39"/>
    <n v="47"/>
    <n v="36"/>
    <n v="0"/>
    <n v="0"/>
    <n v="122"/>
    <s v="A#"/>
    <s v="Minor"/>
    <n v="55"/>
    <n v="46"/>
    <n v="64"/>
    <n v="0"/>
    <n v="0"/>
    <n v="17"/>
    <n v="10"/>
  </r>
  <r>
    <x v="588"/>
    <s v="Mary On A Cross"/>
    <n v="1"/>
    <x v="458"/>
    <n v="2668"/>
    <n v="2"/>
    <n v="387080183"/>
    <s v="yes"/>
    <n v="38"/>
    <n v="266"/>
    <n v="78"/>
    <n v="0"/>
    <n v="141"/>
    <n v="130"/>
    <s v="B"/>
    <s v="Major"/>
    <n v="47"/>
    <n v="56"/>
    <n v="90"/>
    <n v="0"/>
    <n v="0"/>
    <n v="10"/>
    <n v="4"/>
  </r>
  <r>
    <x v="589"/>
    <s v="Attention"/>
    <n v="1"/>
    <x v="213"/>
    <n v="799"/>
    <n v="12"/>
    <n v="264717480"/>
    <s v="yes"/>
    <n v="14"/>
    <n v="141"/>
    <n v="9"/>
    <n v="0"/>
    <n v="1"/>
    <n v="105"/>
    <s v="A#"/>
    <s v="Minor"/>
    <n v="81"/>
    <n v="70"/>
    <n v="65"/>
    <n v="24"/>
    <n v="0"/>
    <n v="8"/>
    <n v="4"/>
  </r>
  <r>
    <x v="590"/>
    <s v="THE SHADE"/>
    <n v="1"/>
    <x v="392"/>
    <n v="1189"/>
    <n v="6"/>
    <n v="244928911"/>
    <s v="yes"/>
    <n v="17"/>
    <n v="10"/>
    <n v="16"/>
    <n v="0"/>
    <n v="4"/>
    <n v="120"/>
    <s v="F"/>
    <s v="Major"/>
    <n v="90"/>
    <n v="73"/>
    <n v="51"/>
    <n v="39"/>
    <n v="0"/>
    <n v="9"/>
    <n v="6"/>
  </r>
  <r>
    <x v="590"/>
    <s v="Come Back Home - From &quot;Purple Hearts&quot;"/>
    <n v="1"/>
    <x v="459"/>
    <n v="367"/>
    <n v="0"/>
    <n v="97610446"/>
    <s v="no"/>
    <n v="28"/>
    <n v="67"/>
    <n v="195"/>
    <n v="0"/>
    <n v="0"/>
    <n v="145"/>
    <s v="G"/>
    <s v="Major"/>
    <n v="56"/>
    <n v="43"/>
    <n v="53"/>
    <n v="24"/>
    <n v="0"/>
    <n v="12"/>
    <n v="4"/>
  </r>
  <r>
    <x v="591"/>
    <s v="El Rescate"/>
    <n v="2"/>
    <x v="460"/>
    <n v="527"/>
    <n v="4"/>
    <n v="287278853"/>
    <s v="yes"/>
    <n v="10"/>
    <n v="43"/>
    <n v="3"/>
    <n v="1"/>
    <n v="0"/>
    <n v="99"/>
    <s v="G"/>
    <s v="Minor"/>
    <n v="79"/>
    <n v="64"/>
    <n v="59"/>
    <n v="28"/>
    <n v="0"/>
    <n v="11"/>
    <n v="14"/>
  </r>
  <r>
    <x v="592"/>
    <s v="Heartless"/>
    <n v="1"/>
    <x v="58"/>
    <n v="17504"/>
    <n v="34"/>
    <n v="887906111"/>
    <s v="yes"/>
    <n v="63"/>
    <n v="39"/>
    <n v="1315"/>
    <n v="0"/>
    <n v="2"/>
    <n v="88"/>
    <s v="A#"/>
    <s v="Minor"/>
    <n v="79"/>
    <n v="66"/>
    <n v="65"/>
    <n v="5"/>
    <n v="0"/>
    <n v="25"/>
    <n v="14"/>
  </r>
  <r>
    <x v="593"/>
    <s v="Stay With Me (with Justin Timberlake, Halsey, &amp; Pharrell)"/>
    <n v="4"/>
    <x v="55"/>
    <n v="3113"/>
    <n v="0"/>
    <n v="123473120"/>
    <s v="no"/>
    <n v="54"/>
    <n v="6"/>
    <n v="124"/>
    <n v="1"/>
    <n v="0"/>
    <n v="126"/>
    <s v="A"/>
    <s v="Major"/>
    <n v="81"/>
    <n v="90"/>
    <n v="73"/>
    <n v="28"/>
    <n v="0"/>
    <n v="29"/>
    <n v="4"/>
  </r>
  <r>
    <x v="594"/>
    <s v="Siempre Pendientes"/>
    <n v="2"/>
    <x v="461"/>
    <n v="685"/>
    <n v="5"/>
    <n v="295152154"/>
    <s v="yes"/>
    <n v="15"/>
    <n v="79"/>
    <n v="4"/>
    <n v="2"/>
    <n v="0"/>
    <n v="136"/>
    <m/>
    <s v="Major"/>
    <n v="77"/>
    <n v="71"/>
    <n v="75"/>
    <n v="33"/>
    <n v="1"/>
    <n v="13"/>
    <n v="4"/>
  </r>
  <r>
    <x v="595"/>
    <s v="JGL"/>
    <n v="2"/>
    <x v="398"/>
    <n v="782"/>
    <n v="9"/>
    <n v="323455692"/>
    <s v="yes"/>
    <n v="15"/>
    <n v="33"/>
    <n v="6"/>
    <n v="1"/>
    <n v="0"/>
    <n v="113"/>
    <s v="G#"/>
    <s v="Major"/>
    <n v="70"/>
    <n v="97"/>
    <n v="59"/>
    <n v="55"/>
    <n v="0"/>
    <n v="27"/>
    <n v="12"/>
  </r>
  <r>
    <x v="596"/>
    <s v="Don't You Worry"/>
    <n v="3"/>
    <x v="452"/>
    <n v="2442"/>
    <n v="0"/>
    <n v="240918092"/>
    <s v="yes"/>
    <n v="81"/>
    <n v="4"/>
    <n v="248"/>
    <n v="1"/>
    <n v="6"/>
    <n v="132"/>
    <s v="B"/>
    <s v="Major"/>
    <n v="82"/>
    <n v="49"/>
    <n v="88"/>
    <n v="20"/>
    <n v="0"/>
    <n v="21"/>
    <n v="3"/>
  </r>
  <r>
    <x v="597"/>
    <s v="Pipoco"/>
    <n v="3"/>
    <x v="193"/>
    <n v="1112"/>
    <n v="4"/>
    <n v="191873381"/>
    <s v="no"/>
    <n v="22"/>
    <n v="2"/>
    <n v="65"/>
    <n v="1"/>
    <n v="3"/>
    <n v="135"/>
    <s v="G#"/>
    <s v="Major"/>
    <n v="77"/>
    <n v="74"/>
    <n v="74"/>
    <n v="47"/>
    <n v="0"/>
    <n v="34"/>
    <n v="8"/>
  </r>
  <r>
    <x v="598"/>
    <s v="Hold Me Closer"/>
    <n v="2"/>
    <x v="79"/>
    <n v="4967"/>
    <n v="0"/>
    <n v="284216603"/>
    <s v="yes"/>
    <n v="165"/>
    <n v="10"/>
    <n v="177"/>
    <n v="4"/>
    <n v="73"/>
    <n v="126"/>
    <m/>
    <s v="Major"/>
    <n v="67"/>
    <n v="49"/>
    <n v="77"/>
    <n v="11"/>
    <n v="0"/>
    <n v="19"/>
    <n v="11"/>
  </r>
  <r>
    <x v="599"/>
    <s v="Forget Me"/>
    <n v="1"/>
    <x v="245"/>
    <n v="2520"/>
    <n v="4"/>
    <n v="239411309"/>
    <s v="yes"/>
    <n v="93"/>
    <n v="95"/>
    <n v="84"/>
    <n v="9"/>
    <n v="202"/>
    <n v="102"/>
    <s v="C#"/>
    <s v="Minor"/>
    <n v="67"/>
    <n v="72"/>
    <n v="74"/>
    <n v="30"/>
    <n v="0"/>
    <n v="36"/>
    <n v="4"/>
  </r>
  <r>
    <x v="600"/>
    <s v="After LIKE"/>
    <n v="1"/>
    <x v="462"/>
    <n v="767"/>
    <n v="12"/>
    <n v="265548837"/>
    <s v="yes"/>
    <n v="20"/>
    <n v="129"/>
    <n v="11"/>
    <n v="0"/>
    <n v="12"/>
    <n v="125"/>
    <m/>
    <s v="Major"/>
    <n v="68"/>
    <n v="80"/>
    <n v="92"/>
    <n v="10"/>
    <n v="0"/>
    <n v="9"/>
    <n v="12"/>
  </r>
  <r>
    <x v="601"/>
    <s v="Bound 2"/>
    <n v="1"/>
    <x v="20"/>
    <n v="19806"/>
    <n v="7"/>
    <n v="703301727"/>
    <s v="yes"/>
    <n v="33"/>
    <n v="11"/>
    <n v="274"/>
    <n v="0"/>
    <n v="0"/>
    <n v="149"/>
    <s v="C#"/>
    <s v="Major"/>
    <n v="37"/>
    <n v="28"/>
    <n v="66"/>
    <n v="14"/>
    <n v="0"/>
    <n v="9"/>
    <n v="5"/>
  </r>
  <r>
    <x v="602"/>
    <s v="B.O.T.A. (Baddest Of Them All) - Edit"/>
    <n v="2"/>
    <x v="463"/>
    <n v="5153"/>
    <n v="6"/>
    <n v="244585109"/>
    <s v="yes"/>
    <n v="102"/>
    <n v="53"/>
    <n v="113"/>
    <n v="12"/>
    <n v="0"/>
    <n v="137"/>
    <m/>
    <s v="Major"/>
    <n v="74"/>
    <n v="71"/>
    <n v="89"/>
    <n v="24"/>
    <n v="61"/>
    <n v="15"/>
    <n v="5"/>
  </r>
  <r>
    <x v="603"/>
    <s v="Talk that Talk"/>
    <n v="1"/>
    <x v="36"/>
    <n v="615"/>
    <n v="0"/>
    <n v="189476119"/>
    <s v="no"/>
    <n v="14"/>
    <n v="77"/>
    <n v="15"/>
    <n v="1"/>
    <n v="2"/>
    <n v="120"/>
    <s v="D#"/>
    <s v="Minor"/>
    <n v="77"/>
    <n v="78"/>
    <n v="91"/>
    <n v="14"/>
    <n v="0"/>
    <n v="33"/>
    <n v="12"/>
  </r>
  <r>
    <x v="604"/>
    <s v="BILLIE EILISH."/>
    <n v="1"/>
    <x v="464"/>
    <n v="2537"/>
    <n v="0"/>
    <n v="277132266"/>
    <s v="yes"/>
    <n v="49"/>
    <n v="1"/>
    <n v="67"/>
    <n v="11"/>
    <n v="1"/>
    <n v="100"/>
    <s v="C#"/>
    <s v="Major"/>
    <n v="90"/>
    <n v="75"/>
    <n v="50"/>
    <n v="11"/>
    <n v="0"/>
    <n v="9"/>
    <n v="26"/>
  </r>
  <r>
    <x v="605"/>
    <s v="Ferxxo 100"/>
    <n v="1"/>
    <x v="217"/>
    <n v="1647"/>
    <n v="30"/>
    <n v="278920007"/>
    <s v="yes"/>
    <n v="20"/>
    <n v="49"/>
    <n v="23"/>
    <n v="2"/>
    <n v="2"/>
    <n v="164"/>
    <s v="G#"/>
    <s v="Minor"/>
    <n v="70"/>
    <n v="58"/>
    <n v="57"/>
    <n v="25"/>
    <n v="0"/>
    <n v="15"/>
    <n v="7"/>
  </r>
  <r>
    <x v="606"/>
    <s v="KU LO SA - A COLORS SHOW"/>
    <n v="1"/>
    <x v="162"/>
    <n v="2019"/>
    <n v="8"/>
    <n v="222410722"/>
    <s v="yes"/>
    <n v="117"/>
    <n v="72"/>
    <n v="107"/>
    <n v="1"/>
    <n v="7"/>
    <n v="93"/>
    <s v="A#"/>
    <s v="Minor"/>
    <n v="65"/>
    <n v="79"/>
    <n v="66"/>
    <n v="31"/>
    <n v="0"/>
    <n v="22"/>
    <n v="7"/>
  </r>
  <r>
    <x v="607"/>
    <s v="Prohibidox"/>
    <n v="1"/>
    <x v="465"/>
    <n v="1473"/>
    <n v="12"/>
    <n v="185392587"/>
    <s v="no"/>
    <n v="25"/>
    <n v="36"/>
    <n v="25"/>
    <n v="1"/>
    <n v="0"/>
    <n v="180"/>
    <s v="C#"/>
    <s v="Minor"/>
    <n v="65"/>
    <n v="52"/>
    <n v="80"/>
    <n v="5"/>
    <n v="0"/>
    <n v="6"/>
    <n v="25"/>
  </r>
  <r>
    <x v="608"/>
    <s v="Static"/>
    <n v="1"/>
    <x v="55"/>
    <n v="1613"/>
    <n v="0"/>
    <n v="202452860"/>
    <s v="yes"/>
    <n v="21"/>
    <n v="15"/>
    <n v="13"/>
    <n v="0"/>
    <n v="0"/>
    <n v="79"/>
    <s v="C#"/>
    <s v="Major"/>
    <n v="34"/>
    <n v="22"/>
    <n v="31"/>
    <n v="43"/>
    <n v="63"/>
    <n v="10"/>
    <n v="7"/>
  </r>
  <r>
    <x v="608"/>
    <s v="The Scientist"/>
    <n v="1"/>
    <x v="466"/>
    <n v="30992"/>
    <n v="6"/>
    <n v="1608164312"/>
    <s v="yes"/>
    <n v="124"/>
    <n v="25"/>
    <n v="7827"/>
    <n v="1"/>
    <n v="0"/>
    <n v="146"/>
    <s v="F"/>
    <s v="Major"/>
    <n v="56"/>
    <n v="21"/>
    <n v="44"/>
    <n v="73"/>
    <n v="0"/>
    <n v="11"/>
    <n v="2"/>
  </r>
  <r>
    <x v="609"/>
    <s v="Sparks"/>
    <n v="1"/>
    <x v="467"/>
    <n v="10826"/>
    <n v="4"/>
    <n v="624101957"/>
    <s v="yes"/>
    <n v="24"/>
    <n v="0"/>
    <n v="805"/>
    <n v="0"/>
    <n v="0"/>
    <n v="103"/>
    <s v="C#"/>
    <s v="Major"/>
    <n v="37"/>
    <n v="17"/>
    <n v="27"/>
    <n v="75"/>
    <n v="5"/>
    <n v="10"/>
    <n v="3"/>
  </r>
  <r>
    <x v="610"/>
    <s v="Talk"/>
    <n v="1"/>
    <x v="468"/>
    <n v="920"/>
    <n v="0"/>
    <n v="148461629"/>
    <s v="no"/>
    <n v="10"/>
    <n v="1"/>
    <n v="8"/>
    <n v="0"/>
    <n v="0"/>
    <n v="140"/>
    <s v="E"/>
    <s v="Minor"/>
    <n v="70"/>
    <n v="26"/>
    <n v="76"/>
    <n v="8"/>
    <n v="0"/>
    <n v="54"/>
    <n v="23"/>
  </r>
  <r>
    <x v="611"/>
    <s v="XQ Te Pones Asï¿"/>
    <n v="2"/>
    <x v="465"/>
    <n v="308"/>
    <n v="0"/>
    <n v="47093942"/>
    <s v="no"/>
    <n v="6"/>
    <n v="1"/>
    <n v="6"/>
    <n v="0"/>
    <n v="0"/>
    <n v="92"/>
    <s v="A#"/>
    <s v="Major"/>
    <n v="81"/>
    <n v="48"/>
    <n v="70"/>
    <n v="13"/>
    <n v="0"/>
    <n v="15"/>
    <n v="7"/>
  </r>
  <r>
    <x v="612"/>
    <s v="Selfish"/>
    <n v="1"/>
    <x v="469"/>
    <n v="2468"/>
    <n v="0"/>
    <n v="380319238"/>
    <s v="yes"/>
    <n v="15"/>
    <n v="0"/>
    <n v="0"/>
    <n v="0"/>
    <n v="0"/>
    <n v="102"/>
    <s v="C#"/>
    <s v="Minor"/>
    <n v="64"/>
    <n v="4"/>
    <n v="60"/>
    <n v="11"/>
    <n v="0"/>
    <n v="19"/>
    <n v="4"/>
  </r>
  <r>
    <x v="613"/>
    <s v="Sin Seï¿½ï"/>
    <n v="2"/>
    <x v="460"/>
    <n v="1097"/>
    <n v="2"/>
    <n v="209106362"/>
    <s v="yes"/>
    <n v="18"/>
    <n v="10"/>
    <n v="13"/>
    <n v="1"/>
    <n v="1"/>
    <n v="118"/>
    <s v="B"/>
    <s v="Minor"/>
    <n v="82"/>
    <n v="75"/>
    <n v="85"/>
    <n v="33"/>
    <n v="1"/>
    <n v="11"/>
    <n v="4"/>
  </r>
  <r>
    <x v="613"/>
    <s v="Lady Mi Amor"/>
    <n v="1"/>
    <x v="465"/>
    <n v="330"/>
    <n v="0"/>
    <n v="53987404"/>
    <s v="no"/>
    <n v="3"/>
    <n v="0"/>
    <n v="2"/>
    <n v="0"/>
    <n v="0"/>
    <n v="93"/>
    <s v="D"/>
    <s v="Major"/>
    <n v="78"/>
    <n v="75"/>
    <n v="62"/>
    <n v="6"/>
    <n v="0"/>
    <n v="15"/>
    <n v="6"/>
  </r>
  <r>
    <x v="614"/>
    <s v="Poland"/>
    <n v="1"/>
    <x v="470"/>
    <n v="1584"/>
    <n v="0"/>
    <n v="115331792"/>
    <s v="no"/>
    <n v="38"/>
    <n v="0"/>
    <n v="24"/>
    <n v="0"/>
    <n v="0"/>
    <n v="150"/>
    <s v="F"/>
    <s v="Minor"/>
    <n v="70"/>
    <n v="26"/>
    <n v="56"/>
    <n v="14"/>
    <n v="83"/>
    <n v="11"/>
    <n v="5"/>
  </r>
  <r>
    <x v="615"/>
    <s v="THE LONELIEST"/>
    <n v="1"/>
    <x v="471"/>
    <n v="1585"/>
    <n v="5"/>
    <n v="225093344"/>
    <s v="yes"/>
    <n v="78"/>
    <n v="65"/>
    <n v="328"/>
    <n v="1"/>
    <n v="198"/>
    <n v="130"/>
    <s v="D"/>
    <s v="Major"/>
    <n v="52"/>
    <n v="24"/>
    <n v="60"/>
    <n v="0"/>
    <n v="0"/>
    <n v="8"/>
    <n v="3"/>
  </r>
  <r>
    <x v="616"/>
    <s v="Bye Bye"/>
    <n v="2"/>
    <x v="472"/>
    <n v="766"/>
    <n v="0"/>
    <n v="84697729"/>
    <s v="no"/>
    <n v="16"/>
    <n v="0"/>
    <n v="9"/>
    <n v="0"/>
    <n v="0"/>
    <n v="83"/>
    <s v="D#"/>
    <s v="Minor"/>
    <n v="65"/>
    <n v="24"/>
    <n v="53"/>
    <n v="6"/>
    <n v="0"/>
    <n v="51"/>
    <n v="4"/>
  </r>
  <r>
    <x v="616"/>
    <s v="BABY OTAKU"/>
    <n v="4"/>
    <x v="473"/>
    <n v="836"/>
    <n v="0"/>
    <n v="159240673"/>
    <s v="no"/>
    <n v="14"/>
    <n v="1"/>
    <n v="13"/>
    <n v="0"/>
    <n v="0"/>
    <n v="102"/>
    <s v="A"/>
    <s v="Major"/>
    <n v="84"/>
    <n v="43"/>
    <n v="75"/>
    <n v="5"/>
    <n v="0"/>
    <n v="6"/>
    <n v="8"/>
  </r>
  <r>
    <x v="616"/>
    <s v="Nxde"/>
    <n v="1"/>
    <x v="155"/>
    <n v="430"/>
    <n v="6"/>
    <n v="170709584"/>
    <s v="no"/>
    <n v="14"/>
    <n v="116"/>
    <n v="9"/>
    <n v="0"/>
    <n v="11"/>
    <n v="136"/>
    <s v="E"/>
    <s v="Minor"/>
    <n v="73"/>
    <n v="65"/>
    <n v="91"/>
    <n v="4"/>
    <n v="0"/>
    <n v="48"/>
    <n v="18"/>
  </r>
  <r>
    <x v="617"/>
    <s v="Miss You"/>
    <n v="1"/>
    <x v="474"/>
    <n v="2020"/>
    <n v="0"/>
    <n v="154356956"/>
    <s v="no"/>
    <n v="77"/>
    <n v="10"/>
    <n v="119"/>
    <n v="0"/>
    <n v="40"/>
    <n v="145"/>
    <s v="A"/>
    <s v="Major"/>
    <n v="66"/>
    <n v="24"/>
    <n v="58"/>
    <n v="17"/>
    <n v="0"/>
    <n v="19"/>
    <n v="5"/>
  </r>
  <r>
    <x v="618"/>
    <s v="we fell in love in october"/>
    <n v="1"/>
    <x v="475"/>
    <n v="6858"/>
    <n v="0"/>
    <n v="723043854"/>
    <s v="yes"/>
    <n v="31"/>
    <n v="21"/>
    <n v="15"/>
    <n v="0"/>
    <n v="4"/>
    <n v="130"/>
    <s v="G"/>
    <s v="Major"/>
    <n v="57"/>
    <n v="24"/>
    <n v="37"/>
    <n v="11"/>
    <n v="18"/>
    <n v="16"/>
    <n v="3"/>
  </r>
  <r>
    <x v="619"/>
    <s v="2 Be Loved (Am I Ready)"/>
    <n v="1"/>
    <x v="476"/>
    <n v="3682"/>
    <n v="6"/>
    <n v="247689123"/>
    <s v="yes"/>
    <n v="41"/>
    <n v="0"/>
    <n v="158"/>
    <n v="2"/>
    <n v="68"/>
    <n v="156"/>
    <s v="G"/>
    <s v="Major"/>
    <n v="72"/>
    <n v="92"/>
    <n v="77"/>
    <n v="9"/>
    <n v="0"/>
    <n v="8"/>
    <n v="11"/>
  </r>
  <r>
    <x v="620"/>
    <s v="Celestial"/>
    <n v="1"/>
    <x v="144"/>
    <n v="1639"/>
    <n v="0"/>
    <n v="176474912"/>
    <s v="no"/>
    <n v="86"/>
    <n v="14"/>
    <n v="80"/>
    <n v="0"/>
    <n v="37"/>
    <n v="123"/>
    <s v="D"/>
    <s v="Major"/>
    <n v="57"/>
    <n v="50"/>
    <n v="85"/>
    <n v="5"/>
    <n v="0"/>
    <n v="16"/>
    <n v="4"/>
  </r>
  <r>
    <x v="621"/>
    <s v="Typa Girl"/>
    <n v="1"/>
    <x v="183"/>
    <n v="452"/>
    <n v="10"/>
    <n v="235549288"/>
    <s v="yes"/>
    <n v="2"/>
    <n v="129"/>
    <n v="13"/>
    <n v="0"/>
    <n v="1"/>
    <n v="132"/>
    <s v="G"/>
    <s v="Major"/>
    <n v="92"/>
    <n v="53"/>
    <n v="62"/>
    <n v="7"/>
    <n v="0"/>
    <n v="63"/>
    <n v="10"/>
  </r>
  <r>
    <x v="622"/>
    <s v="I Really Want to Stay at Your House"/>
    <n v="2"/>
    <x v="457"/>
    <n v="668"/>
    <n v="1"/>
    <n v="140430339"/>
    <s v="no"/>
    <n v="0"/>
    <n v="0"/>
    <n v="31"/>
    <n v="0"/>
    <m/>
    <n v="125"/>
    <s v="D#"/>
    <s v="Minor"/>
    <n v="49"/>
    <n v="13"/>
    <n v="74"/>
    <n v="0"/>
    <n v="0"/>
    <n v="9"/>
    <n v="4"/>
  </r>
  <r>
    <x v="623"/>
    <s v="California Breeze"/>
    <n v="1"/>
    <x v="472"/>
    <n v="991"/>
    <n v="0"/>
    <n v="85559365"/>
    <s v="no"/>
    <n v="36"/>
    <n v="38"/>
    <n v="13"/>
    <n v="0"/>
    <n v="3"/>
    <n v="162"/>
    <s v="F"/>
    <s v="Minor"/>
    <n v="74"/>
    <n v="22"/>
    <n v="67"/>
    <n v="0"/>
    <n v="0"/>
    <n v="11"/>
    <n v="46"/>
  </r>
  <r>
    <x v="624"/>
    <s v="Bamba (feat. Aitch &amp; BIA)"/>
    <n v="3"/>
    <x v="60"/>
    <n v="869"/>
    <n v="7"/>
    <n v="146223492"/>
    <s v="no"/>
    <n v="14"/>
    <n v="12"/>
    <n v="12"/>
    <n v="2"/>
    <n v="28"/>
    <n v="138"/>
    <s v="A#"/>
    <s v="Major"/>
    <n v="80"/>
    <n v="82"/>
    <n v="81"/>
    <n v="14"/>
    <n v="0"/>
    <n v="13"/>
    <n v="36"/>
  </r>
  <r>
    <x v="625"/>
    <s v="Casei Com a Putaria"/>
    <n v="3"/>
    <x v="454"/>
    <n v="648"/>
    <n v="4"/>
    <n v="187701588"/>
    <s v="no"/>
    <n v="0"/>
    <n v="0"/>
    <n v="30"/>
    <n v="0"/>
    <n v="0"/>
    <n v="161"/>
    <s v="A#"/>
    <s v="Minor"/>
    <n v="59"/>
    <n v="62"/>
    <n v="60"/>
    <n v="12"/>
    <n v="0"/>
    <n v="5"/>
    <n v="44"/>
  </r>
  <r>
    <x v="626"/>
    <s v="Major Distribution"/>
    <n v="2"/>
    <x v="158"/>
    <n v="1545"/>
    <n v="0"/>
    <n v="154863153"/>
    <s v="no"/>
    <n v="22"/>
    <n v="7"/>
    <n v="15"/>
    <n v="0"/>
    <n v="0"/>
    <n v="131"/>
    <s v="G#"/>
    <s v="Minor"/>
    <n v="91"/>
    <n v="23"/>
    <n v="55"/>
    <n v="1"/>
    <n v="0"/>
    <n v="7"/>
    <n v="32"/>
  </r>
  <r>
    <x v="627"/>
    <s v="Pussy &amp; Millions (feat. Travis Scott)"/>
    <n v="3"/>
    <x v="158"/>
    <n v="1930"/>
    <n v="0"/>
    <n v="191333656"/>
    <s v="no"/>
    <n v="24"/>
    <n v="8"/>
    <n v="17"/>
    <n v="0"/>
    <n v="1"/>
    <n v="122"/>
    <s v="E"/>
    <s v="Minor"/>
    <n v="75"/>
    <n v="45"/>
    <n v="63"/>
    <n v="6"/>
    <n v="0"/>
    <n v="35"/>
    <n v="12"/>
  </r>
  <r>
    <x v="628"/>
    <s v="Vigilante Shit"/>
    <n v="1"/>
    <x v="29"/>
    <n v="1948"/>
    <n v="0"/>
    <n v="253650850"/>
    <s v="yes"/>
    <n v="12"/>
    <n v="9"/>
    <n v="16"/>
    <n v="0"/>
    <n v="0"/>
    <n v="80"/>
    <s v="E"/>
    <s v="Minor"/>
    <n v="80"/>
    <n v="16"/>
    <n v="28"/>
    <n v="17"/>
    <n v="0"/>
    <n v="12"/>
    <n v="39"/>
  </r>
  <r>
    <x v="629"/>
    <s v="Question...?"/>
    <n v="1"/>
    <x v="29"/>
    <n v="1608"/>
    <n v="0"/>
    <n v="223064273"/>
    <s v="yes"/>
    <n v="10"/>
    <n v="3"/>
    <n v="12"/>
    <n v="0"/>
    <n v="0"/>
    <n v="109"/>
    <s v="G"/>
    <s v="Major"/>
    <n v="75"/>
    <n v="11"/>
    <n v="50"/>
    <n v="20"/>
    <n v="0"/>
    <n v="30"/>
    <n v="17"/>
  </r>
  <r>
    <x v="630"/>
    <s v="On BS"/>
    <n v="2"/>
    <x v="158"/>
    <n v="1338"/>
    <n v="0"/>
    <n v="170413877"/>
    <s v="no"/>
    <n v="9"/>
    <n v="20"/>
    <n v="7"/>
    <n v="0"/>
    <n v="0"/>
    <n v="158"/>
    <s v="A"/>
    <s v="Major"/>
    <n v="84"/>
    <n v="33"/>
    <n v="36"/>
    <n v="2"/>
    <n v="0"/>
    <n v="39"/>
    <n v="59"/>
  </r>
  <r>
    <x v="630"/>
    <s v="Mastermind"/>
    <n v="1"/>
    <x v="29"/>
    <n v="1936"/>
    <n v="0"/>
    <n v="218320587"/>
    <s v="yes"/>
    <n v="7"/>
    <n v="5"/>
    <n v="13"/>
    <n v="0"/>
    <n v="0"/>
    <n v="126"/>
    <s v="E"/>
    <s v="Major"/>
    <n v="66"/>
    <n v="12"/>
    <n v="35"/>
    <n v="55"/>
    <n v="0"/>
    <n v="9"/>
    <n v="14"/>
  </r>
  <r>
    <x v="631"/>
    <s v="Circo Loco"/>
    <n v="2"/>
    <x v="158"/>
    <n v="1794"/>
    <n v="0"/>
    <n v="141720999"/>
    <s v="no"/>
    <n v="26"/>
    <n v="9"/>
    <n v="17"/>
    <n v="0"/>
    <n v="3"/>
    <n v="104"/>
    <s v="C#"/>
    <s v="Major"/>
    <n v="73"/>
    <n v="25"/>
    <n v="61"/>
    <n v="1"/>
    <n v="0"/>
    <n v="32"/>
    <n v="7"/>
  </r>
  <r>
    <x v="632"/>
    <s v="Labyrinth"/>
    <n v="1"/>
    <x v="29"/>
    <n v="1597"/>
    <n v="0"/>
    <n v="187339835"/>
    <s v="no"/>
    <n v="6"/>
    <n v="3"/>
    <n v="15"/>
    <n v="0"/>
    <n v="0"/>
    <n v="110"/>
    <m/>
    <s v="Major"/>
    <n v="48"/>
    <n v="15"/>
    <n v="31"/>
    <n v="80"/>
    <n v="22"/>
    <n v="12"/>
    <n v="4"/>
  </r>
  <r>
    <x v="633"/>
    <s v="Spin Bout U"/>
    <n v="2"/>
    <x v="158"/>
    <n v="1652"/>
    <n v="2"/>
    <n v="198365537"/>
    <s v="no"/>
    <n v="26"/>
    <n v="52"/>
    <n v="10"/>
    <n v="0"/>
    <n v="95"/>
    <n v="130"/>
    <s v="G"/>
    <s v="Major"/>
    <n v="77"/>
    <n v="20"/>
    <n v="70"/>
    <n v="1"/>
    <n v="0"/>
    <n v="16"/>
    <n v="5"/>
  </r>
  <r>
    <x v="633"/>
    <s v="Sweet Nothing"/>
    <n v="1"/>
    <x v="29"/>
    <n v="1747"/>
    <n v="0"/>
    <n v="186104310"/>
    <s v="no"/>
    <n v="9"/>
    <n v="6"/>
    <n v="13"/>
    <n v="0"/>
    <n v="2"/>
    <n v="177"/>
    <m/>
    <s v="Major"/>
    <n v="34"/>
    <n v="39"/>
    <n v="16"/>
    <n v="97"/>
    <n v="0"/>
    <n v="12"/>
    <n v="5"/>
  </r>
  <r>
    <x v="634"/>
    <s v="Would've, Could've, Should've"/>
    <n v="1"/>
    <x v="29"/>
    <n v="1715"/>
    <n v="0"/>
    <n v="177503916"/>
    <s v="no"/>
    <n v="4"/>
    <n v="5"/>
    <n v="8"/>
    <n v="0"/>
    <n v="0"/>
    <n v="158"/>
    <s v="G"/>
    <s v="Major"/>
    <n v="48"/>
    <n v="55"/>
    <n v="84"/>
    <n v="43"/>
    <n v="0"/>
    <n v="15"/>
    <n v="12"/>
  </r>
  <r>
    <x v="634"/>
    <s v="Con La Brisa"/>
    <n v="2"/>
    <x v="158"/>
    <n v="486"/>
    <n v="0"/>
    <n v="71095708"/>
    <s v="no"/>
    <n v="8"/>
    <n v="1"/>
    <n v="7"/>
    <n v="0"/>
    <n v="0"/>
    <n v="114"/>
    <s v="D"/>
    <s v="Minor"/>
    <n v="62"/>
    <n v="25"/>
    <n v="44"/>
    <n v="51"/>
    <n v="33"/>
    <n v="14"/>
    <n v="3"/>
  </r>
  <r>
    <x v="635"/>
    <s v="Privileged Rappers"/>
    <n v="2"/>
    <x v="158"/>
    <n v="1007"/>
    <n v="0"/>
    <n v="112436403"/>
    <s v="no"/>
    <n v="6"/>
    <n v="5"/>
    <n v="3"/>
    <n v="0"/>
    <n v="0"/>
    <n v="144"/>
    <s v="F"/>
    <s v="Major"/>
    <n v="93"/>
    <n v="62"/>
    <n v="61"/>
    <n v="0"/>
    <n v="0"/>
    <n v="12"/>
    <n v="20"/>
  </r>
  <r>
    <x v="636"/>
    <s v="The Astronaut"/>
    <n v="1"/>
    <x v="228"/>
    <n v="481"/>
    <n v="9"/>
    <n v="203436468"/>
    <s v="yes"/>
    <n v="10"/>
    <n v="100"/>
    <n v="15"/>
    <n v="1"/>
    <n v="27"/>
    <n v="125"/>
    <s v="F"/>
    <s v="Major"/>
    <n v="54"/>
    <n v="22"/>
    <n v="76"/>
    <n v="0"/>
    <n v="0"/>
    <n v="14"/>
    <n v="3"/>
  </r>
  <r>
    <x v="637"/>
    <s v="BackOutsideBoyz"/>
    <n v="1"/>
    <x v="158"/>
    <n v="1045"/>
    <n v="0"/>
    <n v="93367537"/>
    <s v="no"/>
    <n v="8"/>
    <n v="5"/>
    <n v="2"/>
    <n v="0"/>
    <n v="0"/>
    <n v="142"/>
    <s v="F"/>
    <s v="Minor"/>
    <n v="85"/>
    <n v="40"/>
    <n v="43"/>
    <n v="4"/>
    <n v="0"/>
    <n v="39"/>
    <n v="32"/>
  </r>
  <r>
    <x v="638"/>
    <s v="Broke Boys"/>
    <n v="2"/>
    <x v="158"/>
    <n v="1060"/>
    <n v="0"/>
    <n v="106249219"/>
    <s v="no"/>
    <n v="3"/>
    <n v="8"/>
    <n v="5"/>
    <n v="0"/>
    <n v="0"/>
    <n v="120"/>
    <s v="D"/>
    <s v="Major"/>
    <n v="64"/>
    <n v="11"/>
    <n v="53"/>
    <n v="1"/>
    <n v="0"/>
    <n v="25"/>
    <n v="27"/>
  </r>
  <r>
    <x v="639"/>
    <s v="The Great War"/>
    <n v="1"/>
    <x v="29"/>
    <n v="1274"/>
    <n v="0"/>
    <n v="181382590"/>
    <s v="no"/>
    <n v="1"/>
    <n v="6"/>
    <n v="11"/>
    <n v="0"/>
    <n v="0"/>
    <n v="96"/>
    <s v="F"/>
    <s v="Major"/>
    <n v="57"/>
    <n v="55"/>
    <n v="74"/>
    <n v="22"/>
    <n v="0"/>
    <n v="8"/>
    <n v="4"/>
  </r>
  <r>
    <x v="640"/>
    <s v="My Mind &amp; Me"/>
    <n v="1"/>
    <x v="222"/>
    <n v="953"/>
    <n v="0"/>
    <n v="91473363"/>
    <s v="no"/>
    <n v="61"/>
    <n v="13"/>
    <n v="37"/>
    <n v="1"/>
    <n v="0"/>
    <n v="144"/>
    <s v="A"/>
    <s v="Major"/>
    <n v="60"/>
    <n v="24"/>
    <n v="39"/>
    <n v="57"/>
    <n v="0"/>
    <n v="8"/>
    <n v="3"/>
  </r>
  <r>
    <x v="641"/>
    <s v="Bigger Than The Whole Sky"/>
    <n v="1"/>
    <x v="29"/>
    <n v="1180"/>
    <n v="0"/>
    <n v="121871870"/>
    <s v="no"/>
    <n v="4"/>
    <n v="0"/>
    <n v="8"/>
    <n v="0"/>
    <n v="0"/>
    <n v="166"/>
    <s v="F#"/>
    <s v="Major"/>
    <n v="42"/>
    <n v="7"/>
    <n v="24"/>
    <n v="83"/>
    <n v="1"/>
    <n v="12"/>
    <n v="6"/>
  </r>
  <r>
    <x v="642"/>
    <s v="A Veces (feat. Feid)"/>
    <n v="2"/>
    <x v="222"/>
    <n v="573"/>
    <n v="0"/>
    <n v="73513683"/>
    <s v="no"/>
    <n v="2"/>
    <n v="0"/>
    <n v="7"/>
    <n v="0"/>
    <n v="0"/>
    <n v="92"/>
    <s v="C#"/>
    <s v="Major"/>
    <n v="80"/>
    <n v="81"/>
    <n v="67"/>
    <n v="4"/>
    <n v="0"/>
    <n v="8"/>
    <n v="6"/>
  </r>
  <r>
    <x v="643"/>
    <s v="En La De Ella"/>
    <n v="3"/>
    <x v="224"/>
    <n v="1320"/>
    <n v="0"/>
    <n v="133895612"/>
    <s v="no"/>
    <n v="29"/>
    <n v="26"/>
    <n v="17"/>
    <n v="0"/>
    <n v="0"/>
    <n v="97"/>
    <s v="C#"/>
    <s v="Major"/>
    <n v="82"/>
    <n v="67"/>
    <n v="77"/>
    <n v="8"/>
    <n v="0"/>
    <n v="12"/>
    <n v="5"/>
  </r>
  <r>
    <x v="644"/>
    <s v="Alone"/>
    <n v="1"/>
    <x v="158"/>
    <n v="782"/>
    <n v="2"/>
    <n v="96007391"/>
    <s v="no"/>
    <n v="27"/>
    <n v="18"/>
    <n v="32"/>
    <n v="1"/>
    <n v="0"/>
    <n v="90"/>
    <s v="E"/>
    <s v="Minor"/>
    <n v="61"/>
    <n v="32"/>
    <n v="67"/>
    <n v="15"/>
    <n v="0"/>
    <n v="1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CED4B-2503-43A4-A127-9D3556B16ED5}" name="PivotTable1" cacheId="9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49" firstHeaderRow="1" firstDataRow="1" firstDataCol="1"/>
  <pivotFields count="23">
    <pivotField axis="axisRow" dataField="1" compact="0" outline="0" showAll="0" sortType="descending">
      <items count="6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646">
    <i>
      <x v="562"/>
    </i>
    <i>
      <x v="578"/>
    </i>
    <i>
      <x v="38"/>
    </i>
    <i>
      <x v="552"/>
    </i>
    <i>
      <x v="227"/>
    </i>
    <i>
      <x v="302"/>
    </i>
    <i>
      <x v="403"/>
    </i>
    <i>
      <x v="161"/>
    </i>
    <i>
      <x v="182"/>
    </i>
    <i>
      <x v="146"/>
    </i>
    <i>
      <x v="75"/>
    </i>
    <i>
      <x v="437"/>
    </i>
    <i>
      <x v="323"/>
    </i>
    <i>
      <x v="420"/>
    </i>
    <i>
      <x v="138"/>
    </i>
    <i>
      <x v="56"/>
    </i>
    <i>
      <x v="7"/>
    </i>
    <i>
      <x v="291"/>
    </i>
    <i>
      <x v="26"/>
    </i>
    <i>
      <x v="145"/>
    </i>
    <i>
      <x v="475"/>
    </i>
    <i>
      <x v="397"/>
    </i>
    <i>
      <x v="73"/>
    </i>
    <i>
      <x v="173"/>
    </i>
    <i>
      <x v="239"/>
    </i>
    <i>
      <x v="266"/>
    </i>
    <i>
      <x v="467"/>
    </i>
    <i>
      <x v="573"/>
    </i>
    <i>
      <x v="179"/>
    </i>
    <i>
      <x v="525"/>
    </i>
    <i>
      <x v="112"/>
    </i>
    <i>
      <x v="65"/>
    </i>
    <i>
      <x v="327"/>
    </i>
    <i>
      <x v="52"/>
    </i>
    <i>
      <x v="336"/>
    </i>
    <i>
      <x v="259"/>
    </i>
    <i>
      <x v="341"/>
    </i>
    <i>
      <x v="544"/>
    </i>
    <i>
      <x v="348"/>
    </i>
    <i>
      <x v="275"/>
    </i>
    <i>
      <x v="154"/>
    </i>
    <i>
      <x v="230"/>
    </i>
    <i>
      <x v="616"/>
    </i>
    <i>
      <x v="246"/>
    </i>
    <i>
      <x v="287"/>
    </i>
    <i>
      <x v="440"/>
    </i>
    <i>
      <x v="120"/>
    </i>
    <i>
      <x v="497"/>
    </i>
    <i>
      <x v="270"/>
    </i>
    <i>
      <x v="608"/>
    </i>
    <i>
      <x v="272"/>
    </i>
    <i>
      <x v="118"/>
    </i>
    <i>
      <x v="274"/>
    </i>
    <i>
      <x v="228"/>
    </i>
    <i>
      <x v="41"/>
    </i>
    <i>
      <x v="249"/>
    </i>
    <i>
      <x v="280"/>
    </i>
    <i>
      <x v="431"/>
    </i>
    <i>
      <x v="630"/>
    </i>
    <i>
      <x v="454"/>
    </i>
    <i>
      <x v="74"/>
    </i>
    <i>
      <x v="481"/>
    </i>
    <i>
      <x v="28"/>
    </i>
    <i>
      <x v="501"/>
    </i>
    <i>
      <x v="633"/>
    </i>
    <i>
      <x v="119"/>
    </i>
    <i>
      <x/>
    </i>
    <i>
      <x v="128"/>
    </i>
    <i>
      <x v="158"/>
    </i>
    <i>
      <x v="582"/>
    </i>
    <i>
      <x v="325"/>
    </i>
    <i>
      <x v="27"/>
    </i>
    <i>
      <x v="78"/>
    </i>
    <i>
      <x v="196"/>
    </i>
    <i>
      <x v="333"/>
    </i>
    <i>
      <x v="451"/>
    </i>
    <i>
      <x v="91"/>
    </i>
    <i>
      <x v="202"/>
    </i>
    <i>
      <x v="339"/>
    </i>
    <i>
      <x v="480"/>
    </i>
    <i>
      <x v="176"/>
    </i>
    <i>
      <x v="484"/>
    </i>
    <i>
      <x v="345"/>
    </i>
    <i>
      <x v="499"/>
    </i>
    <i>
      <x v="94"/>
    </i>
    <i>
      <x v="513"/>
    </i>
    <i>
      <x v="369"/>
    </i>
    <i>
      <x v="528"/>
    </i>
    <i>
      <x v="34"/>
    </i>
    <i>
      <x v="545"/>
    </i>
    <i>
      <x v="398"/>
    </i>
    <i>
      <x v="561"/>
    </i>
    <i>
      <x v="401"/>
    </i>
    <i>
      <x v="571"/>
    </i>
    <i>
      <x v="190"/>
    </i>
    <i>
      <x v="252"/>
    </i>
    <i>
      <x v="410"/>
    </i>
    <i>
      <x v="590"/>
    </i>
    <i>
      <x v="192"/>
    </i>
    <i>
      <x v="613"/>
    </i>
    <i>
      <x v="423"/>
    </i>
    <i>
      <x v="144"/>
    </i>
    <i>
      <x v="426"/>
    </i>
    <i>
      <x v="634"/>
    </i>
    <i>
      <x v="615"/>
    </i>
    <i>
      <x v="487"/>
    </i>
    <i>
      <x v="72"/>
    </i>
    <i>
      <x v="105"/>
    </i>
    <i>
      <x v="551"/>
    </i>
    <i>
      <x v="106"/>
    </i>
    <i>
      <x v="391"/>
    </i>
    <i>
      <x v="107"/>
    </i>
    <i>
      <x v="455"/>
    </i>
    <i>
      <x v="108"/>
    </i>
    <i>
      <x v="519"/>
    </i>
    <i>
      <x v="109"/>
    </i>
    <i>
      <x v="583"/>
    </i>
    <i>
      <x v="110"/>
    </i>
    <i>
      <x v="375"/>
    </i>
    <i>
      <x v="111"/>
    </i>
    <i>
      <x v="407"/>
    </i>
    <i>
      <x v="17"/>
    </i>
    <i>
      <x v="439"/>
    </i>
    <i>
      <x v="113"/>
    </i>
    <i>
      <x v="471"/>
    </i>
    <i>
      <x v="114"/>
    </i>
    <i>
      <x v="503"/>
    </i>
    <i>
      <x v="115"/>
    </i>
    <i>
      <x v="535"/>
    </i>
    <i>
      <x v="116"/>
    </i>
    <i>
      <x v="567"/>
    </i>
    <i>
      <x v="117"/>
    </i>
    <i>
      <x v="599"/>
    </i>
    <i>
      <x v="18"/>
    </i>
    <i>
      <x v="631"/>
    </i>
    <i>
      <x v="19"/>
    </i>
    <i>
      <x v="383"/>
    </i>
    <i>
      <x v="20"/>
    </i>
    <i>
      <x v="399"/>
    </i>
    <i>
      <x v="121"/>
    </i>
    <i>
      <x v="415"/>
    </i>
    <i>
      <x v="122"/>
    </i>
    <i>
      <x v="12"/>
    </i>
    <i>
      <x v="123"/>
    </i>
    <i>
      <x v="447"/>
    </i>
    <i>
      <x v="124"/>
    </i>
    <i>
      <x v="463"/>
    </i>
    <i>
      <x v="125"/>
    </i>
    <i>
      <x v="479"/>
    </i>
    <i>
      <x v="126"/>
    </i>
    <i>
      <x v="495"/>
    </i>
    <i>
      <x v="127"/>
    </i>
    <i>
      <x v="511"/>
    </i>
    <i>
      <x v="21"/>
    </i>
    <i>
      <x v="527"/>
    </i>
    <i>
      <x v="129"/>
    </i>
    <i>
      <x v="543"/>
    </i>
    <i>
      <x v="130"/>
    </i>
    <i>
      <x v="559"/>
    </i>
    <i>
      <x v="131"/>
    </i>
    <i>
      <x v="575"/>
    </i>
    <i>
      <x v="132"/>
    </i>
    <i>
      <x v="591"/>
    </i>
    <i>
      <x v="133"/>
    </i>
    <i>
      <x v="607"/>
    </i>
    <i>
      <x v="134"/>
    </i>
    <i>
      <x v="623"/>
    </i>
    <i>
      <x v="135"/>
    </i>
    <i>
      <x v="371"/>
    </i>
    <i>
      <x v="136"/>
    </i>
    <i>
      <x v="379"/>
    </i>
    <i>
      <x v="137"/>
    </i>
    <i>
      <x v="387"/>
    </i>
    <i>
      <x v="22"/>
    </i>
    <i>
      <x v="395"/>
    </i>
    <i>
      <x v="139"/>
    </i>
    <i>
      <x v="69"/>
    </i>
    <i>
      <x v="140"/>
    </i>
    <i>
      <x v="411"/>
    </i>
    <i>
      <x v="141"/>
    </i>
    <i>
      <x v="419"/>
    </i>
    <i>
      <x v="142"/>
    </i>
    <i>
      <x v="427"/>
    </i>
    <i>
      <x v="143"/>
    </i>
    <i>
      <x v="435"/>
    </i>
    <i>
      <x v="23"/>
    </i>
    <i>
      <x v="443"/>
    </i>
    <i>
      <x v="24"/>
    </i>
    <i>
      <x v="77"/>
    </i>
    <i>
      <x v="25"/>
    </i>
    <i>
      <x v="459"/>
    </i>
    <i>
      <x v="147"/>
    </i>
    <i>
      <x v="79"/>
    </i>
    <i>
      <x v="148"/>
    </i>
    <i>
      <x v="80"/>
    </i>
    <i>
      <x v="149"/>
    </i>
    <i>
      <x v="483"/>
    </i>
    <i>
      <x v="150"/>
    </i>
    <i>
      <x v="491"/>
    </i>
    <i>
      <x v="151"/>
    </i>
    <i>
      <x v="85"/>
    </i>
    <i>
      <x v="152"/>
    </i>
    <i>
      <x v="507"/>
    </i>
    <i>
      <x v="153"/>
    </i>
    <i>
      <x v="515"/>
    </i>
    <i>
      <x v="2"/>
    </i>
    <i>
      <x v="523"/>
    </i>
    <i>
      <x v="155"/>
    </i>
    <i>
      <x v="531"/>
    </i>
    <i>
      <x v="156"/>
    </i>
    <i>
      <x v="539"/>
    </i>
    <i>
      <x v="157"/>
    </i>
    <i>
      <x v="547"/>
    </i>
    <i>
      <x v="3"/>
    </i>
    <i>
      <x v="555"/>
    </i>
    <i>
      <x v="159"/>
    </i>
    <i>
      <x v="563"/>
    </i>
    <i>
      <x v="160"/>
    </i>
    <i>
      <x v="95"/>
    </i>
    <i>
      <x v="4"/>
    </i>
    <i>
      <x v="579"/>
    </i>
    <i>
      <x v="162"/>
    </i>
    <i>
      <x v="587"/>
    </i>
    <i>
      <x v="163"/>
    </i>
    <i>
      <x v="595"/>
    </i>
    <i>
      <x v="164"/>
    </i>
    <i>
      <x v="603"/>
    </i>
    <i>
      <x v="165"/>
    </i>
    <i>
      <x v="611"/>
    </i>
    <i>
      <x v="166"/>
    </i>
    <i>
      <x v="619"/>
    </i>
    <i>
      <x v="167"/>
    </i>
    <i>
      <x v="627"/>
    </i>
    <i>
      <x v="168"/>
    </i>
    <i>
      <x v="10"/>
    </i>
    <i>
      <x v="169"/>
    </i>
    <i>
      <x v="373"/>
    </i>
    <i>
      <x v="170"/>
    </i>
    <i>
      <x v="377"/>
    </i>
    <i>
      <x v="171"/>
    </i>
    <i>
      <x v="381"/>
    </i>
    <i>
      <x v="172"/>
    </i>
    <i>
      <x v="385"/>
    </i>
    <i>
      <x v="29"/>
    </i>
    <i>
      <x v="389"/>
    </i>
    <i>
      <x v="174"/>
    </i>
    <i>
      <x v="393"/>
    </i>
    <i>
      <x v="175"/>
    </i>
    <i>
      <x v="66"/>
    </i>
    <i>
      <x v="30"/>
    </i>
    <i>
      <x v="68"/>
    </i>
    <i>
      <x v="177"/>
    </i>
    <i>
      <x v="405"/>
    </i>
    <i>
      <x v="178"/>
    </i>
    <i>
      <x v="409"/>
    </i>
    <i>
      <x v="31"/>
    </i>
    <i>
      <x v="413"/>
    </i>
    <i>
      <x v="180"/>
    </i>
    <i>
      <x v="417"/>
    </i>
    <i>
      <x v="181"/>
    </i>
    <i>
      <x v="421"/>
    </i>
    <i>
      <x v="32"/>
    </i>
    <i>
      <x v="425"/>
    </i>
    <i>
      <x v="183"/>
    </i>
    <i>
      <x v="429"/>
    </i>
    <i>
      <x v="184"/>
    </i>
    <i>
      <x v="433"/>
    </i>
    <i>
      <x v="185"/>
    </i>
    <i>
      <x v="13"/>
    </i>
    <i>
      <x v="186"/>
    </i>
    <i>
      <x v="441"/>
    </i>
    <i>
      <x v="187"/>
    </i>
    <i>
      <x v="445"/>
    </i>
    <i>
      <x v="188"/>
    </i>
    <i>
      <x v="449"/>
    </i>
    <i>
      <x v="189"/>
    </i>
    <i>
      <x v="453"/>
    </i>
    <i>
      <x v="33"/>
    </i>
    <i>
      <x v="457"/>
    </i>
    <i>
      <x v="191"/>
    </i>
    <i>
      <x v="461"/>
    </i>
    <i>
      <x v="5"/>
    </i>
    <i>
      <x v="465"/>
    </i>
    <i>
      <x v="193"/>
    </i>
    <i>
      <x v="469"/>
    </i>
    <i>
      <x v="194"/>
    </i>
    <i>
      <x v="473"/>
    </i>
    <i>
      <x v="195"/>
    </i>
    <i>
      <x v="477"/>
    </i>
    <i>
      <x v="35"/>
    </i>
    <i>
      <x v="82"/>
    </i>
    <i>
      <x v="197"/>
    </i>
    <i>
      <x v="485"/>
    </i>
    <i>
      <x v="198"/>
    </i>
    <i>
      <x v="489"/>
    </i>
    <i>
      <x v="199"/>
    </i>
    <i>
      <x v="493"/>
    </i>
    <i>
      <x v="200"/>
    </i>
    <i>
      <x v="84"/>
    </i>
    <i>
      <x v="201"/>
    </i>
    <i>
      <x v="86"/>
    </i>
    <i>
      <x v="36"/>
    </i>
    <i>
      <x v="505"/>
    </i>
    <i>
      <x v="203"/>
    </i>
    <i>
      <x v="509"/>
    </i>
    <i>
      <x v="204"/>
    </i>
    <i>
      <x v="87"/>
    </i>
    <i>
      <x v="205"/>
    </i>
    <i>
      <x v="517"/>
    </i>
    <i>
      <x v="206"/>
    </i>
    <i>
      <x v="521"/>
    </i>
    <i>
      <x v="207"/>
    </i>
    <i>
      <x v="88"/>
    </i>
    <i>
      <x v="208"/>
    </i>
    <i>
      <x v="529"/>
    </i>
    <i>
      <x v="209"/>
    </i>
    <i>
      <x v="533"/>
    </i>
    <i>
      <x v="210"/>
    </i>
    <i>
      <x v="537"/>
    </i>
    <i>
      <x v="211"/>
    </i>
    <i>
      <x v="541"/>
    </i>
    <i>
      <x v="212"/>
    </i>
    <i>
      <x v="15"/>
    </i>
    <i>
      <x v="213"/>
    </i>
    <i>
      <x v="549"/>
    </i>
    <i>
      <x v="214"/>
    </i>
    <i>
      <x v="553"/>
    </i>
    <i>
      <x v="215"/>
    </i>
    <i>
      <x v="557"/>
    </i>
    <i>
      <x v="216"/>
    </i>
    <i>
      <x v="93"/>
    </i>
    <i>
      <x v="217"/>
    </i>
    <i>
      <x v="565"/>
    </i>
    <i>
      <x v="218"/>
    </i>
    <i>
      <x v="569"/>
    </i>
    <i>
      <x v="219"/>
    </i>
    <i>
      <x v="96"/>
    </i>
    <i>
      <x v="220"/>
    </i>
    <i>
      <x v="577"/>
    </i>
    <i>
      <x v="221"/>
    </i>
    <i>
      <x v="581"/>
    </i>
    <i>
      <x v="222"/>
    </i>
    <i>
      <x v="585"/>
    </i>
    <i>
      <x v="223"/>
    </i>
    <i>
      <x v="589"/>
    </i>
    <i>
      <x v="224"/>
    </i>
    <i>
      <x v="593"/>
    </i>
    <i>
      <x v="225"/>
    </i>
    <i>
      <x v="597"/>
    </i>
    <i>
      <x v="226"/>
    </i>
    <i>
      <x v="601"/>
    </i>
    <i>
      <x v="37"/>
    </i>
    <i>
      <x v="605"/>
    </i>
    <i>
      <x v="6"/>
    </i>
    <i>
      <x v="609"/>
    </i>
    <i>
      <x v="229"/>
    </i>
    <i>
      <x v="101"/>
    </i>
    <i>
      <x v="39"/>
    </i>
    <i>
      <x v="617"/>
    </i>
    <i>
      <x v="231"/>
    </i>
    <i>
      <x v="621"/>
    </i>
    <i>
      <x v="232"/>
    </i>
    <i>
      <x v="625"/>
    </i>
    <i>
      <x v="233"/>
    </i>
    <i>
      <x v="629"/>
    </i>
    <i>
      <x v="234"/>
    </i>
    <i>
      <x v="104"/>
    </i>
    <i>
      <x v="235"/>
    </i>
    <i>
      <x v="370"/>
    </i>
    <i>
      <x v="236"/>
    </i>
    <i>
      <x v="372"/>
    </i>
    <i>
      <x v="237"/>
    </i>
    <i>
      <x v="374"/>
    </i>
    <i>
      <x v="238"/>
    </i>
    <i>
      <x v="376"/>
    </i>
    <i>
      <x v="40"/>
    </i>
    <i>
      <x v="378"/>
    </i>
    <i>
      <x v="240"/>
    </i>
    <i>
      <x v="380"/>
    </i>
    <i>
      <x v="241"/>
    </i>
    <i>
      <x v="382"/>
    </i>
    <i>
      <x v="242"/>
    </i>
    <i>
      <x v="384"/>
    </i>
    <i>
      <x v="243"/>
    </i>
    <i>
      <x v="386"/>
    </i>
    <i>
      <x v="244"/>
    </i>
    <i>
      <x v="388"/>
    </i>
    <i>
      <x v="245"/>
    </i>
    <i>
      <x v="390"/>
    </i>
    <i>
      <x v="1"/>
    </i>
    <i>
      <x v="392"/>
    </i>
    <i>
      <x v="247"/>
    </i>
    <i>
      <x v="394"/>
    </i>
    <i>
      <x v="248"/>
    </i>
    <i>
      <x v="396"/>
    </i>
    <i>
      <x v="42"/>
    </i>
    <i>
      <x v="67"/>
    </i>
    <i>
      <x v="250"/>
    </i>
    <i>
      <x v="400"/>
    </i>
    <i>
      <x v="251"/>
    </i>
    <i>
      <x v="402"/>
    </i>
    <i>
      <x v="43"/>
    </i>
    <i>
      <x v="404"/>
    </i>
    <i>
      <x v="253"/>
    </i>
    <i>
      <x v="406"/>
    </i>
    <i>
      <x v="254"/>
    </i>
    <i>
      <x v="408"/>
    </i>
    <i>
      <x v="255"/>
    </i>
    <i>
      <x v="70"/>
    </i>
    <i>
      <x v="256"/>
    </i>
    <i>
      <x v="412"/>
    </i>
    <i>
      <x v="257"/>
    </i>
    <i>
      <x v="414"/>
    </i>
    <i>
      <x v="258"/>
    </i>
    <i>
      <x v="416"/>
    </i>
    <i>
      <x v="44"/>
    </i>
    <i>
      <x v="418"/>
    </i>
    <i>
      <x v="260"/>
    </i>
    <i>
      <x v="71"/>
    </i>
    <i>
      <x v="261"/>
    </i>
    <i>
      <x v="422"/>
    </i>
    <i>
      <x v="262"/>
    </i>
    <i>
      <x v="424"/>
    </i>
    <i>
      <x v="263"/>
    </i>
    <i>
      <x v="11"/>
    </i>
    <i>
      <x v="264"/>
    </i>
    <i>
      <x v="428"/>
    </i>
    <i>
      <x v="265"/>
    </i>
    <i>
      <x v="430"/>
    </i>
    <i>
      <x v="45"/>
    </i>
    <i>
      <x v="432"/>
    </i>
    <i>
      <x v="267"/>
    </i>
    <i>
      <x v="434"/>
    </i>
    <i>
      <x v="268"/>
    </i>
    <i>
      <x v="436"/>
    </i>
    <i>
      <x v="269"/>
    </i>
    <i>
      <x v="438"/>
    </i>
    <i>
      <x v="46"/>
    </i>
    <i>
      <x v="76"/>
    </i>
    <i>
      <x v="271"/>
    </i>
    <i>
      <x v="442"/>
    </i>
    <i>
      <x v="47"/>
    </i>
    <i>
      <x v="444"/>
    </i>
    <i>
      <x v="273"/>
    </i>
    <i>
      <x v="446"/>
    </i>
    <i>
      <x v="48"/>
    </i>
    <i>
      <x v="448"/>
    </i>
    <i>
      <x v="49"/>
    </i>
    <i>
      <x v="450"/>
    </i>
    <i>
      <x v="276"/>
    </i>
    <i>
      <x v="452"/>
    </i>
    <i>
      <x v="277"/>
    </i>
    <i>
      <x v="14"/>
    </i>
    <i>
      <x v="278"/>
    </i>
    <i>
      <x v="456"/>
    </i>
    <i>
      <x v="279"/>
    </i>
    <i>
      <x v="458"/>
    </i>
    <i>
      <x v="50"/>
    </i>
    <i>
      <x v="460"/>
    </i>
    <i>
      <x v="281"/>
    </i>
    <i>
      <x v="462"/>
    </i>
    <i>
      <x v="282"/>
    </i>
    <i>
      <x v="464"/>
    </i>
    <i>
      <x v="283"/>
    </i>
    <i>
      <x v="466"/>
    </i>
    <i>
      <x v="284"/>
    </i>
    <i>
      <x v="468"/>
    </i>
    <i>
      <x v="285"/>
    </i>
    <i>
      <x v="470"/>
    </i>
    <i>
      <x v="286"/>
    </i>
    <i>
      <x v="472"/>
    </i>
    <i>
      <x v="51"/>
    </i>
    <i>
      <x v="474"/>
    </i>
    <i>
      <x v="288"/>
    </i>
    <i>
      <x v="476"/>
    </i>
    <i>
      <x v="289"/>
    </i>
    <i>
      <x v="478"/>
    </i>
    <i>
      <x v="290"/>
    </i>
    <i>
      <x v="81"/>
    </i>
    <i>
      <x v="8"/>
    </i>
    <i>
      <x v="482"/>
    </i>
    <i>
      <x v="292"/>
    </i>
    <i>
      <x v="83"/>
    </i>
    <i>
      <x v="293"/>
    </i>
    <i>
      <x v="486"/>
    </i>
    <i>
      <x v="294"/>
    </i>
    <i>
      <x v="488"/>
    </i>
    <i>
      <x v="295"/>
    </i>
    <i>
      <x v="490"/>
    </i>
    <i>
      <x v="296"/>
    </i>
    <i>
      <x v="492"/>
    </i>
    <i>
      <x v="297"/>
    </i>
    <i>
      <x v="494"/>
    </i>
    <i>
      <x v="298"/>
    </i>
    <i>
      <x v="496"/>
    </i>
    <i>
      <x v="299"/>
    </i>
    <i>
      <x v="498"/>
    </i>
    <i>
      <x v="300"/>
    </i>
    <i>
      <x v="500"/>
    </i>
    <i>
      <x v="301"/>
    </i>
    <i>
      <x v="502"/>
    </i>
    <i>
      <x v="53"/>
    </i>
    <i>
      <x v="504"/>
    </i>
    <i>
      <x v="303"/>
    </i>
    <i>
      <x v="506"/>
    </i>
    <i>
      <x v="304"/>
    </i>
    <i>
      <x v="508"/>
    </i>
    <i>
      <x v="305"/>
    </i>
    <i>
      <x v="510"/>
    </i>
    <i>
      <x v="306"/>
    </i>
    <i>
      <x v="512"/>
    </i>
    <i>
      <x v="307"/>
    </i>
    <i>
      <x v="514"/>
    </i>
    <i>
      <x v="308"/>
    </i>
    <i>
      <x v="516"/>
    </i>
    <i>
      <x v="309"/>
    </i>
    <i>
      <x v="518"/>
    </i>
    <i>
      <x v="310"/>
    </i>
    <i>
      <x v="520"/>
    </i>
    <i>
      <x v="311"/>
    </i>
    <i>
      <x v="522"/>
    </i>
    <i>
      <x v="312"/>
    </i>
    <i>
      <x v="524"/>
    </i>
    <i>
      <x v="313"/>
    </i>
    <i>
      <x v="526"/>
    </i>
    <i>
      <x v="314"/>
    </i>
    <i>
      <x v="89"/>
    </i>
    <i>
      <x v="315"/>
    </i>
    <i>
      <x v="530"/>
    </i>
    <i>
      <x v="54"/>
    </i>
    <i>
      <x v="532"/>
    </i>
    <i>
      <x v="635"/>
    </i>
    <i>
      <x v="534"/>
    </i>
    <i>
      <x v="637"/>
    </i>
    <i>
      <x v="536"/>
    </i>
    <i>
      <x v="639"/>
    </i>
    <i>
      <x v="538"/>
    </i>
    <i>
      <x v="641"/>
    </i>
    <i>
      <x v="540"/>
    </i>
    <i>
      <x v="643"/>
    </i>
    <i>
      <x v="542"/>
    </i>
    <i>
      <x v="55"/>
    </i>
    <i>
      <x v="90"/>
    </i>
    <i>
      <x v="9"/>
    </i>
    <i>
      <x v="546"/>
    </i>
    <i>
      <x v="324"/>
    </i>
    <i>
      <x v="548"/>
    </i>
    <i>
      <x v="57"/>
    </i>
    <i>
      <x v="550"/>
    </i>
    <i>
      <x v="326"/>
    </i>
    <i>
      <x v="92"/>
    </i>
    <i>
      <x v="58"/>
    </i>
    <i>
      <x v="554"/>
    </i>
    <i>
      <x v="328"/>
    </i>
    <i>
      <x v="556"/>
    </i>
    <i>
      <x v="329"/>
    </i>
    <i>
      <x v="558"/>
    </i>
    <i>
      <x v="330"/>
    </i>
    <i>
      <x v="560"/>
    </i>
    <i>
      <x v="331"/>
    </i>
    <i>
      <x v="16"/>
    </i>
    <i>
      <x v="332"/>
    </i>
    <i>
      <x v="564"/>
    </i>
    <i>
      <x v="59"/>
    </i>
    <i>
      <x v="566"/>
    </i>
    <i>
      <x v="334"/>
    </i>
    <i>
      <x v="568"/>
    </i>
    <i>
      <x v="335"/>
    </i>
    <i>
      <x v="570"/>
    </i>
    <i>
      <x v="60"/>
    </i>
    <i>
      <x v="572"/>
    </i>
    <i>
      <x v="337"/>
    </i>
    <i>
      <x v="574"/>
    </i>
    <i>
      <x v="338"/>
    </i>
    <i>
      <x v="576"/>
    </i>
    <i>
      <x v="61"/>
    </i>
    <i>
      <x v="97"/>
    </i>
    <i>
      <x v="340"/>
    </i>
    <i>
      <x v="580"/>
    </i>
    <i>
      <x v="62"/>
    </i>
    <i>
      <x v="98"/>
    </i>
    <i>
      <x v="342"/>
    </i>
    <i>
      <x v="584"/>
    </i>
    <i>
      <x v="343"/>
    </i>
    <i>
      <x v="586"/>
    </i>
    <i>
      <x v="344"/>
    </i>
    <i>
      <x v="588"/>
    </i>
    <i>
      <x v="63"/>
    </i>
    <i>
      <x v="99"/>
    </i>
    <i>
      <x v="346"/>
    </i>
    <i>
      <x v="592"/>
    </i>
    <i>
      <x v="347"/>
    </i>
    <i>
      <x v="594"/>
    </i>
    <i>
      <x v="64"/>
    </i>
    <i>
      <x v="596"/>
    </i>
    <i>
      <x v="349"/>
    </i>
    <i>
      <x v="598"/>
    </i>
    <i>
      <x v="350"/>
    </i>
    <i>
      <x v="600"/>
    </i>
    <i>
      <x v="351"/>
    </i>
    <i>
      <x v="602"/>
    </i>
    <i>
      <x v="352"/>
    </i>
    <i>
      <x v="604"/>
    </i>
    <i>
      <x v="353"/>
    </i>
    <i>
      <x v="606"/>
    </i>
    <i>
      <x v="354"/>
    </i>
    <i>
      <x v="100"/>
    </i>
    <i>
      <x v="355"/>
    </i>
    <i>
      <x v="610"/>
    </i>
    <i>
      <x v="356"/>
    </i>
    <i>
      <x v="612"/>
    </i>
    <i>
      <x v="357"/>
    </i>
    <i>
      <x v="614"/>
    </i>
    <i>
      <x v="358"/>
    </i>
    <i>
      <x v="102"/>
    </i>
    <i>
      <x v="359"/>
    </i>
    <i>
      <x v="618"/>
    </i>
    <i>
      <x v="360"/>
    </i>
    <i>
      <x v="620"/>
    </i>
    <i>
      <x v="361"/>
    </i>
    <i>
      <x v="622"/>
    </i>
    <i>
      <x v="362"/>
    </i>
    <i>
      <x v="624"/>
    </i>
    <i>
      <x v="363"/>
    </i>
    <i>
      <x v="626"/>
    </i>
    <i>
      <x v="364"/>
    </i>
    <i>
      <x v="628"/>
    </i>
    <i>
      <x v="365"/>
    </i>
    <i>
      <x v="103"/>
    </i>
    <i>
      <x v="366"/>
    </i>
    <i>
      <x v="632"/>
    </i>
    <i>
      <x v="367"/>
    </i>
    <i>
      <x v="368"/>
    </i>
    <i>
      <x v="316"/>
    </i>
    <i>
      <x v="636"/>
    </i>
    <i>
      <x v="317"/>
    </i>
    <i>
      <x v="638"/>
    </i>
    <i>
      <x v="318"/>
    </i>
    <i>
      <x v="640"/>
    </i>
    <i>
      <x v="319"/>
    </i>
    <i>
      <x v="642"/>
    </i>
    <i>
      <x v="320"/>
    </i>
    <i>
      <x v="644"/>
    </i>
    <i>
      <x v="321"/>
    </i>
    <i>
      <x v="322"/>
    </i>
    <i t="grand">
      <x/>
    </i>
  </rowItems>
  <colItems count="1">
    <i/>
  </colItems>
  <dataFields count="1">
    <dataField name="Count of artist(s)_name" fld="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01FD5-14C7-4318-BF9C-C05332D552E8}" name="PivotTable2" cacheId="9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481" firstHeaderRow="1" firstDataRow="1" firstDataCol="1"/>
  <pivotFields count="23">
    <pivotField compact="0" outline="0" showAll="0"/>
    <pivotField compact="0" outline="0" showAll="0"/>
    <pivotField compact="0" outline="0" showAll="0"/>
    <pivotField axis="axisRow" dataField="1" compact="0" numFmtId="14" outline="0" showAll="0" sortType="ascending">
      <items count="478">
        <item x="261"/>
        <item x="279"/>
        <item x="275"/>
        <item x="278"/>
        <item x="274"/>
        <item x="265"/>
        <item x="264"/>
        <item x="282"/>
        <item x="269"/>
        <item x="268"/>
        <item x="272"/>
        <item x="134"/>
        <item x="329"/>
        <item x="271"/>
        <item x="273"/>
        <item x="251"/>
        <item x="62"/>
        <item x="402"/>
        <item x="276"/>
        <item x="441"/>
        <item x="474"/>
        <item x="116"/>
        <item x="263"/>
        <item x="138"/>
        <item x="277"/>
        <item x="82"/>
        <item x="250"/>
        <item x="280"/>
        <item x="450"/>
        <item x="455"/>
        <item x="357"/>
        <item x="391"/>
        <item x="125"/>
        <item x="262"/>
        <item x="199"/>
        <item x="379"/>
        <item x="419"/>
        <item x="167"/>
        <item x="436"/>
        <item x="53"/>
        <item x="381"/>
        <item x="160"/>
        <item x="467"/>
        <item x="216"/>
        <item x="281"/>
        <item x="100"/>
        <item x="186"/>
        <item x="466"/>
        <item x="207"/>
        <item x="361"/>
        <item x="77"/>
        <item x="396"/>
        <item x="112"/>
        <item x="283"/>
        <item x="95"/>
        <item x="58"/>
        <item x="104"/>
        <item x="115"/>
        <item x="135"/>
        <item x="352"/>
        <item x="337"/>
        <item x="74"/>
        <item x="89"/>
        <item x="266"/>
        <item x="76"/>
        <item x="56"/>
        <item x="69"/>
        <item x="45"/>
        <item x="106"/>
        <item x="20"/>
        <item x="400"/>
        <item x="356"/>
        <item x="374"/>
        <item x="130"/>
        <item x="270"/>
        <item x="267"/>
        <item x="32"/>
        <item x="178"/>
        <item x="421"/>
        <item x="241"/>
        <item x="123"/>
        <item x="201"/>
        <item x="83"/>
        <item x="234"/>
        <item x="410"/>
        <item x="117"/>
        <item x="244"/>
        <item x="331"/>
        <item x="204"/>
        <item x="68"/>
        <item x="387"/>
        <item x="332"/>
        <item x="422"/>
        <item x="427"/>
        <item x="156"/>
        <item x="113"/>
        <item x="345"/>
        <item x="406"/>
        <item x="469"/>
        <item x="376"/>
        <item x="128"/>
        <item x="203"/>
        <item x="42"/>
        <item x="420"/>
        <item x="231"/>
        <item x="229"/>
        <item x="447"/>
        <item x="344"/>
        <item x="41"/>
        <item x="120"/>
        <item x="97"/>
        <item x="122"/>
        <item x="99"/>
        <item x="202"/>
        <item x="405"/>
        <item x="127"/>
        <item x="347"/>
        <item x="80"/>
        <item x="238"/>
        <item x="354"/>
        <item x="291"/>
        <item x="37"/>
        <item x="91"/>
        <item x="221"/>
        <item x="383"/>
        <item x="438"/>
        <item x="70"/>
        <item x="79"/>
        <item x="298"/>
        <item x="311"/>
        <item x="403"/>
        <item x="182"/>
        <item x="118"/>
        <item x="448"/>
        <item x="363"/>
        <item x="35"/>
        <item x="66"/>
        <item x="475"/>
        <item x="349"/>
        <item x="324"/>
        <item x="358"/>
        <item x="230"/>
        <item x="101"/>
        <item x="389"/>
        <item x="426"/>
        <item x="388"/>
        <item x="377"/>
        <item x="223"/>
        <item x="295"/>
        <item x="375"/>
        <item x="3"/>
        <item x="129"/>
        <item x="458"/>
        <item x="366"/>
        <item x="110"/>
        <item x="126"/>
        <item x="240"/>
        <item x="335"/>
        <item x="362"/>
        <item x="90"/>
        <item x="46"/>
        <item x="390"/>
        <item x="418"/>
        <item x="340"/>
        <item x="243"/>
        <item x="382"/>
        <item x="133"/>
        <item x="225"/>
        <item x="343"/>
        <item x="384"/>
        <item x="315"/>
        <item x="114"/>
        <item x="257"/>
        <item x="353"/>
        <item x="226"/>
        <item x="71"/>
        <item x="54"/>
        <item x="320"/>
        <item x="48"/>
        <item x="323"/>
        <item x="255"/>
        <item x="294"/>
        <item x="299"/>
        <item x="404"/>
        <item x="341"/>
        <item x="316"/>
        <item x="314"/>
        <item x="39"/>
        <item x="457"/>
        <item x="256"/>
        <item x="336"/>
        <item x="305"/>
        <item x="365"/>
        <item x="355"/>
        <item x="327"/>
        <item x="81"/>
        <item x="109"/>
        <item x="322"/>
        <item x="132"/>
        <item x="346"/>
        <item x="364"/>
        <item x="368"/>
        <item x="397"/>
        <item x="339"/>
        <item x="293"/>
        <item x="449"/>
        <item x="304"/>
        <item x="248"/>
        <item x="87"/>
        <item x="290"/>
        <item x="258"/>
        <item x="326"/>
        <item x="64"/>
        <item x="242"/>
        <item x="348"/>
        <item x="253"/>
        <item x="328"/>
        <item x="313"/>
        <item x="292"/>
        <item x="439"/>
        <item x="351"/>
        <item x="367"/>
        <item x="285"/>
        <item x="288"/>
        <item x="360"/>
        <item x="334"/>
        <item x="157"/>
        <item x="350"/>
        <item x="220"/>
        <item x="319"/>
        <item x="171"/>
        <item x="301"/>
        <item x="321"/>
        <item x="296"/>
        <item x="227"/>
        <item x="342"/>
        <item x="300"/>
        <item x="159"/>
        <item x="325"/>
        <item x="303"/>
        <item x="309"/>
        <item x="312"/>
        <item x="302"/>
        <item x="297"/>
        <item x="330"/>
        <item x="307"/>
        <item x="333"/>
        <item x="308"/>
        <item x="289"/>
        <item x="179"/>
        <item x="306"/>
        <item x="310"/>
        <item x="185"/>
        <item x="161"/>
        <item x="380"/>
        <item x="338"/>
        <item x="192"/>
        <item x="317"/>
        <item x="287"/>
        <item x="286"/>
        <item x="318"/>
        <item x="359"/>
        <item x="378"/>
        <item x="386"/>
        <item x="247"/>
        <item x="371"/>
        <item x="464"/>
        <item x="198"/>
        <item x="432"/>
        <item x="385"/>
        <item x="415"/>
        <item x="395"/>
        <item x="372"/>
        <item x="373"/>
        <item x="431"/>
        <item x="232"/>
        <item x="369"/>
        <item x="370"/>
        <item x="425"/>
        <item x="399"/>
        <item x="409"/>
        <item x="398"/>
        <item x="407"/>
        <item x="401"/>
        <item x="394"/>
        <item x="393"/>
        <item x="429"/>
        <item x="392"/>
        <item x="260"/>
        <item x="417"/>
        <item x="412"/>
        <item x="121"/>
        <item x="408"/>
        <item x="453"/>
        <item x="23"/>
        <item x="416"/>
        <item x="13"/>
        <item x="196"/>
        <item x="411"/>
        <item x="413"/>
        <item x="414"/>
        <item x="165"/>
        <item x="433"/>
        <item x="423"/>
        <item x="78"/>
        <item x="170"/>
        <item x="63"/>
        <item x="435"/>
        <item x="430"/>
        <item x="239"/>
        <item x="177"/>
        <item x="428"/>
        <item x="434"/>
        <item x="445"/>
        <item x="67"/>
        <item x="437"/>
        <item x="424"/>
        <item x="40"/>
        <item x="193"/>
        <item x="444"/>
        <item x="47"/>
        <item x="440"/>
        <item x="212"/>
        <item x="446"/>
        <item x="217"/>
        <item x="442"/>
        <item x="443"/>
        <item x="162"/>
        <item x="463"/>
        <item x="452"/>
        <item x="108"/>
        <item x="451"/>
        <item x="470"/>
        <item x="51"/>
        <item x="150"/>
        <item x="454"/>
        <item x="57"/>
        <item x="148"/>
        <item x="459"/>
        <item x="476"/>
        <item x="55"/>
        <item x="59"/>
        <item x="98"/>
        <item x="236"/>
        <item x="460"/>
        <item x="206"/>
        <item x="175"/>
        <item x="151"/>
        <item x="213"/>
        <item x="456"/>
        <item x="208"/>
        <item x="252"/>
        <item x="249"/>
        <item x="461"/>
        <item x="174"/>
        <item x="473"/>
        <item x="88"/>
        <item x="462"/>
        <item x="284"/>
        <item x="36"/>
        <item x="468"/>
        <item x="218"/>
        <item x="245"/>
        <item x="465"/>
        <item x="259"/>
        <item x="183"/>
        <item x="60"/>
        <item x="254"/>
        <item x="144"/>
        <item x="246"/>
        <item x="52"/>
        <item x="471"/>
        <item x="145"/>
        <item x="472"/>
        <item x="155"/>
        <item x="214"/>
        <item x="224"/>
        <item x="29"/>
        <item x="197"/>
        <item x="228"/>
        <item x="211"/>
        <item x="190"/>
        <item x="222"/>
        <item x="158"/>
        <item x="210"/>
        <item x="200"/>
        <item x="235"/>
        <item x="141"/>
        <item x="233"/>
        <item x="146"/>
        <item x="147"/>
        <item x="28"/>
        <item x="14"/>
        <item x="73"/>
        <item x="237"/>
        <item x="205"/>
        <item x="131"/>
        <item x="137"/>
        <item x="61"/>
        <item x="184"/>
        <item x="219"/>
        <item x="181"/>
        <item x="172"/>
        <item x="93"/>
        <item x="94"/>
        <item x="11"/>
        <item x="124"/>
        <item x="215"/>
        <item x="111"/>
        <item x="102"/>
        <item x="25"/>
        <item x="105"/>
        <item x="50"/>
        <item x="176"/>
        <item x="85"/>
        <item x="34"/>
        <item x="154"/>
        <item x="209"/>
        <item x="30"/>
        <item x="15"/>
        <item x="84"/>
        <item x="149"/>
        <item x="187"/>
        <item x="65"/>
        <item x="168"/>
        <item x="86"/>
        <item x="195"/>
        <item x="6"/>
        <item x="9"/>
        <item x="188"/>
        <item x="1"/>
        <item x="18"/>
        <item x="191"/>
        <item x="189"/>
        <item x="194"/>
        <item x="142"/>
        <item x="17"/>
        <item x="107"/>
        <item x="43"/>
        <item x="31"/>
        <item x="166"/>
        <item x="119"/>
        <item x="12"/>
        <item x="10"/>
        <item x="153"/>
        <item x="169"/>
        <item x="173"/>
        <item x="180"/>
        <item x="164"/>
        <item x="139"/>
        <item x="49"/>
        <item x="163"/>
        <item x="140"/>
        <item x="72"/>
        <item x="143"/>
        <item x="8"/>
        <item x="4"/>
        <item x="33"/>
        <item x="96"/>
        <item x="26"/>
        <item x="103"/>
        <item x="21"/>
        <item x="5"/>
        <item x="22"/>
        <item x="152"/>
        <item x="136"/>
        <item x="75"/>
        <item x="44"/>
        <item x="92"/>
        <item x="19"/>
        <item x="38"/>
        <item x="27"/>
        <item x="24"/>
        <item x="2"/>
        <item x="7"/>
        <item x="16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3"/>
  </rowFields>
  <rowItems count="4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 t="grand">
      <x/>
    </i>
  </rowItems>
  <colItems count="1">
    <i/>
  </colItems>
  <dataFields count="1">
    <dataField name="Count of release_date" fld="3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9914DC-EF91-4F70-8FF5-E9BBE4A6EEE2}" name="PivotTable3" cacheId="9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649" firstHeaderRow="0" firstDataRow="1" firstDataCol="1"/>
  <pivotFields count="23">
    <pivotField axis="axisRow" dataField="1" compact="0" outline="0" showAll="0" sortType="descending">
      <items count="6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646">
    <i>
      <x v="408"/>
    </i>
    <i>
      <x v="220"/>
    </i>
    <i>
      <x v="286"/>
    </i>
    <i>
      <x v="151"/>
    </i>
    <i>
      <x v="489"/>
    </i>
    <i>
      <x v="166"/>
    </i>
    <i>
      <x v="464"/>
    </i>
    <i>
      <x v="92"/>
    </i>
    <i>
      <x v="529"/>
    </i>
    <i>
      <x v="178"/>
    </i>
    <i>
      <x v="635"/>
    </i>
    <i>
      <x v="621"/>
    </i>
    <i>
      <x v="551"/>
    </i>
    <i>
      <x v="93"/>
    </i>
    <i>
      <x v="262"/>
    </i>
    <i>
      <x v="4"/>
    </i>
    <i>
      <x v="450"/>
    </i>
    <i>
      <x v="539"/>
    </i>
    <i>
      <x v="574"/>
    </i>
    <i>
      <x v="554"/>
    </i>
    <i>
      <x v="453"/>
    </i>
    <i>
      <x v="626"/>
    </i>
    <i>
      <x v="281"/>
    </i>
    <i>
      <x v="604"/>
    </i>
    <i>
      <x v="225"/>
    </i>
    <i>
      <x v="282"/>
    </i>
    <i>
      <x v="214"/>
    </i>
    <i>
      <x v="531"/>
    </i>
    <i>
      <x v="143"/>
    </i>
    <i>
      <x v="473"/>
    </i>
    <i>
      <x v="427"/>
    </i>
    <i>
      <x v="256"/>
    </i>
    <i>
      <x v="277"/>
    </i>
    <i>
      <x v="532"/>
    </i>
    <i>
      <x v="77"/>
    </i>
    <i>
      <x v="234"/>
    </i>
    <i>
      <x v="330"/>
    </i>
    <i>
      <x v="547"/>
    </i>
    <i>
      <x v="181"/>
    </i>
    <i>
      <x v="487"/>
    </i>
    <i>
      <x v="278"/>
    </i>
    <i>
      <x v="526"/>
    </i>
    <i>
      <x v="14"/>
    </i>
    <i>
      <x v="538"/>
    </i>
    <i>
      <x v="469"/>
    </i>
    <i>
      <x v="511"/>
    </i>
    <i>
      <x v="389"/>
    </i>
    <i>
      <x v="534"/>
    </i>
    <i>
      <x v="110"/>
    </i>
    <i>
      <x v="231"/>
    </i>
    <i>
      <x v="192"/>
    </i>
    <i>
      <x v="19"/>
    </i>
    <i>
      <x v="570"/>
    </i>
    <i>
      <x v="548"/>
    </i>
    <i>
      <x v="20"/>
    </i>
    <i>
      <x v="443"/>
    </i>
    <i>
      <x v="637"/>
    </i>
    <i>
      <x v="460"/>
    </i>
    <i>
      <x v="167"/>
    </i>
    <i>
      <x v="163"/>
    </i>
    <i>
      <x v="445"/>
    </i>
    <i>
      <x v="294"/>
    </i>
    <i>
      <x v="247"/>
    </i>
    <i>
      <x v="481"/>
    </i>
    <i>
      <x v="467"/>
    </i>
    <i>
      <x v="520"/>
    </i>
    <i>
      <x v="374"/>
    </i>
    <i>
      <x v="60"/>
    </i>
    <i>
      <x v="575"/>
    </i>
    <i>
      <x v="164"/>
    </i>
    <i>
      <x v="123"/>
    </i>
    <i>
      <x v="558"/>
    </i>
    <i>
      <x v="392"/>
    </i>
    <i>
      <x v="358"/>
    </i>
    <i>
      <x v="332"/>
    </i>
    <i>
      <x v="292"/>
    </i>
    <i>
      <x v="365"/>
    </i>
    <i>
      <x v="566"/>
    </i>
    <i>
      <x v="159"/>
    </i>
    <i>
      <x v="264"/>
    </i>
    <i>
      <x v="113"/>
    </i>
    <i>
      <x v="81"/>
    </i>
    <i>
      <x v="198"/>
    </i>
    <i>
      <x v="596"/>
    </i>
    <i>
      <x v="643"/>
    </i>
    <i>
      <x v="239"/>
    </i>
    <i>
      <x v="283"/>
    </i>
    <i>
      <x v="593"/>
    </i>
    <i>
      <x v="376"/>
    </i>
    <i>
      <x v="543"/>
    </i>
    <i>
      <x v="414"/>
    </i>
    <i>
      <x v="290"/>
    </i>
    <i>
      <x v="446"/>
    </i>
    <i>
      <x v="76"/>
    </i>
    <i>
      <x v="23"/>
    </i>
    <i>
      <x v="263"/>
    </i>
    <i>
      <x v="217"/>
    </i>
    <i>
      <x v="67"/>
    </i>
    <i>
      <x v="485"/>
    </i>
    <i>
      <x v="572"/>
    </i>
    <i>
      <x v="99"/>
    </i>
    <i>
      <x v="589"/>
    </i>
    <i>
      <x v="488"/>
    </i>
    <i>
      <x v="611"/>
    </i>
    <i>
      <x v="493"/>
    </i>
    <i>
      <x v="515"/>
    </i>
    <i>
      <x v="158"/>
    </i>
    <i>
      <x v="91"/>
    </i>
    <i>
      <x v="22"/>
    </i>
    <i>
      <x v="628"/>
    </i>
    <i>
      <x v="251"/>
    </i>
    <i>
      <x v="69"/>
    </i>
    <i>
      <x v="642"/>
    </i>
    <i>
      <x v="188"/>
    </i>
    <i>
      <x v="442"/>
    </i>
    <i>
      <x v="613"/>
    </i>
    <i>
      <x v="172"/>
    </i>
    <i>
      <x v="328"/>
    </i>
    <i>
      <x v="624"/>
    </i>
    <i>
      <x v="152"/>
    </i>
    <i>
      <x v="82"/>
    </i>
    <i>
      <x v="197"/>
    </i>
    <i>
      <x v="495"/>
    </i>
    <i>
      <x v="591"/>
    </i>
    <i>
      <x v="405"/>
    </i>
    <i>
      <x v="471"/>
    </i>
    <i>
      <x v="21"/>
    </i>
    <i>
      <x v="371"/>
    </i>
    <i>
      <x v="258"/>
    </i>
    <i>
      <x v="592"/>
    </i>
    <i>
      <x v="537"/>
    </i>
    <i>
      <x v="30"/>
    </i>
    <i>
      <x v="271"/>
    </i>
    <i>
      <x v="174"/>
    </i>
    <i>
      <x v="390"/>
    </i>
    <i>
      <x v="417"/>
    </i>
    <i>
      <x v="499"/>
    </i>
    <i>
      <x v="205"/>
    </i>
    <i>
      <x v="80"/>
    </i>
    <i>
      <x v="12"/>
    </i>
    <i>
      <x v="182"/>
    </i>
    <i>
      <x v="156"/>
    </i>
    <i>
      <x v="49"/>
    </i>
    <i>
      <x v="100"/>
    </i>
    <i>
      <x v="535"/>
    </i>
    <i>
      <x v="492"/>
    </i>
    <i>
      <x v="109"/>
    </i>
    <i>
      <x v="54"/>
    </i>
    <i>
      <x v="160"/>
    </i>
    <i>
      <x v="419"/>
    </i>
    <i>
      <x v="84"/>
    </i>
    <i>
      <x v="147"/>
    </i>
    <i>
      <x v="423"/>
    </i>
    <i>
      <x v="571"/>
    </i>
    <i>
      <x v="145"/>
    </i>
    <i>
      <x v="367"/>
    </i>
    <i>
      <x v="379"/>
    </i>
    <i>
      <x v="424"/>
    </i>
    <i>
      <x v="594"/>
    </i>
    <i>
      <x v="463"/>
    </i>
    <i>
      <x v="111"/>
    </i>
    <i>
      <x v="141"/>
    </i>
    <i>
      <x v="597"/>
    </i>
    <i>
      <x v="71"/>
    </i>
    <i>
      <x v="603"/>
    </i>
    <i>
      <x v="391"/>
    </i>
    <i>
      <x v="179"/>
    </i>
    <i>
      <x v="399"/>
    </i>
    <i>
      <x v="439"/>
    </i>
    <i>
      <x v="347"/>
    </i>
    <i>
      <x v="341"/>
    </i>
    <i>
      <x v="27"/>
    </i>
    <i>
      <x v="56"/>
    </i>
    <i>
      <x v="153"/>
    </i>
    <i>
      <x v="240"/>
    </i>
    <i>
      <x v="518"/>
    </i>
    <i>
      <x v="216"/>
    </i>
    <i>
      <x v="466"/>
    </i>
    <i>
      <x v="407"/>
    </i>
    <i>
      <x v="486"/>
    </i>
    <i>
      <x v="88"/>
    </i>
    <i>
      <x v="144"/>
    </i>
    <i>
      <x v="32"/>
    </i>
    <i>
      <x v="228"/>
    </i>
    <i>
      <x v="42"/>
    </i>
    <i>
      <x v="525"/>
    </i>
    <i>
      <x/>
    </i>
    <i>
      <x v="272"/>
    </i>
    <i>
      <x v="454"/>
    </i>
    <i>
      <x v="7"/>
    </i>
    <i>
      <x v="629"/>
    </i>
    <i>
      <x v="185"/>
    </i>
    <i>
      <x v="308"/>
    </i>
    <i>
      <x v="394"/>
    </i>
    <i>
      <x v="359"/>
    </i>
    <i>
      <x v="243"/>
    </i>
    <i>
      <x v="412"/>
    </i>
    <i>
      <x v="245"/>
    </i>
    <i>
      <x v="339"/>
    </i>
    <i>
      <x v="509"/>
    </i>
    <i>
      <x v="356"/>
    </i>
    <i>
      <x v="381"/>
    </i>
    <i>
      <x v="627"/>
    </i>
    <i>
      <x v="630"/>
    </i>
    <i>
      <x v="140"/>
    </i>
    <i>
      <x v="87"/>
    </i>
    <i>
      <x v="513"/>
    </i>
    <i>
      <x v="327"/>
    </i>
    <i>
      <x v="98"/>
    </i>
    <i>
      <x v="416"/>
    </i>
    <i>
      <x v="353"/>
    </i>
    <i>
      <x v="470"/>
    </i>
    <i>
      <x v="623"/>
    </i>
    <i>
      <x v="436"/>
    </i>
    <i>
      <x v="585"/>
    </i>
    <i>
      <x v="148"/>
    </i>
    <i>
      <x v="349"/>
    </i>
    <i>
      <x v="177"/>
    </i>
    <i>
      <x v="602"/>
    </i>
    <i>
      <x v="298"/>
    </i>
    <i>
      <x v="616"/>
    </i>
    <i>
      <x v="300"/>
    </i>
    <i>
      <x v="208"/>
    </i>
    <i>
      <x v="395"/>
    </i>
    <i>
      <x v="410"/>
    </i>
    <i>
      <x v="196"/>
    </i>
    <i>
      <x v="199"/>
    </i>
    <i>
      <x v="418"/>
    </i>
    <i>
      <x v="108"/>
    </i>
    <i>
      <x v="565"/>
    </i>
    <i>
      <x v="553"/>
    </i>
    <i>
      <x v="411"/>
    </i>
    <i>
      <x v="440"/>
    </i>
    <i>
      <x v="383"/>
    </i>
    <i>
      <x v="425"/>
    </i>
    <i>
      <x v="103"/>
    </i>
    <i>
      <x v="115"/>
    </i>
    <i>
      <x v="590"/>
    </i>
    <i>
      <x v="478"/>
    </i>
    <i>
      <x v="215"/>
    </i>
    <i>
      <x v="472"/>
    </i>
    <i>
      <x v="204"/>
    </i>
    <i>
      <x v="631"/>
    </i>
    <i>
      <x v="305"/>
    </i>
    <i>
      <x v="375"/>
    </i>
    <i>
      <x v="386"/>
    </i>
    <i>
      <x v="406"/>
    </i>
    <i>
      <x v="437"/>
    </i>
    <i>
      <x v="544"/>
    </i>
    <i>
      <x v="176"/>
    </i>
    <i>
      <x v="242"/>
    </i>
    <i>
      <x v="321"/>
    </i>
    <i>
      <x v="521"/>
    </i>
    <i>
      <x v="387"/>
    </i>
    <i>
      <x v="180"/>
    </i>
    <i>
      <x v="236"/>
    </i>
    <i>
      <x v="211"/>
    </i>
    <i>
      <x v="619"/>
    </i>
    <i>
      <x v="583"/>
    </i>
    <i>
      <x v="201"/>
    </i>
    <i>
      <x v="312"/>
    </i>
    <i>
      <x v="403"/>
    </i>
    <i>
      <x v="146"/>
    </i>
    <i>
      <x v="303"/>
    </i>
    <i>
      <x v="355"/>
    </i>
    <i>
      <x v="207"/>
    </i>
    <i>
      <x v="550"/>
    </i>
    <i>
      <x v="433"/>
    </i>
    <i>
      <x v="226"/>
    </i>
    <i>
      <x v="36"/>
    </i>
    <i>
      <x v="581"/>
    </i>
    <i>
      <x v="563"/>
    </i>
    <i>
      <x v="48"/>
    </i>
    <i>
      <x v="218"/>
    </i>
    <i>
      <x v="8"/>
    </i>
    <i>
      <x v="527"/>
    </i>
    <i>
      <x v="552"/>
    </i>
    <i>
      <x v="202"/>
    </i>
    <i>
      <x v="519"/>
    </i>
    <i>
      <x v="610"/>
    </i>
    <i>
      <x v="125"/>
    </i>
    <i>
      <x v="121"/>
    </i>
    <i>
      <x v="582"/>
    </i>
    <i>
      <x v="337"/>
    </i>
    <i>
      <x v="254"/>
    </i>
    <i>
      <x v="505"/>
    </i>
    <i>
      <x v="250"/>
    </i>
    <i>
      <x v="344"/>
    </i>
    <i>
      <x v="130"/>
    </i>
    <i>
      <x v="388"/>
    </i>
    <i>
      <x v="614"/>
    </i>
    <i>
      <x v="595"/>
    </i>
    <i>
      <x v="189"/>
    </i>
    <i>
      <x v="195"/>
    </i>
    <i>
      <x v="584"/>
    </i>
    <i>
      <x v="212"/>
    </i>
    <i>
      <x v="528"/>
    </i>
    <i>
      <x v="301"/>
    </i>
    <i>
      <x v="480"/>
    </i>
    <i>
      <x v="605"/>
    </i>
    <i>
      <x v="138"/>
    </i>
    <i>
      <x v="38"/>
    </i>
    <i>
      <x v="397"/>
    </i>
    <i>
      <x v="578"/>
    </i>
    <i>
      <x v="155"/>
    </i>
    <i>
      <x v="506"/>
    </i>
    <i>
      <x v="295"/>
    </i>
    <i>
      <x v="102"/>
    </i>
    <i>
      <x v="94"/>
    </i>
    <i>
      <x v="441"/>
    </i>
    <i>
      <x v="183"/>
    </i>
    <i>
      <x v="17"/>
    </i>
    <i>
      <x v="503"/>
    </i>
    <i>
      <x v="324"/>
    </i>
    <i>
      <x v="274"/>
    </i>
    <i>
      <x v="246"/>
    </i>
    <i>
      <x v="354"/>
    </i>
    <i>
      <x v="57"/>
    </i>
    <i>
      <x v="269"/>
    </i>
    <i>
      <x v="267"/>
    </i>
    <i>
      <x v="540"/>
    </i>
    <i>
      <x v="120"/>
    </i>
    <i>
      <x v="50"/>
    </i>
    <i>
      <x v="600"/>
    </i>
    <i>
      <x v="28"/>
    </i>
    <i>
      <x v="483"/>
    </i>
    <i>
      <x v="512"/>
    </i>
    <i>
      <x v="517"/>
    </i>
    <i>
      <x v="336"/>
    </i>
    <i>
      <x v="348"/>
    </i>
    <i>
      <x v="507"/>
    </i>
    <i>
      <x v="124"/>
    </i>
    <i>
      <x v="598"/>
    </i>
    <i>
      <x v="6"/>
    </i>
    <i>
      <x v="5"/>
    </i>
    <i>
      <x v="206"/>
    </i>
    <i>
      <x v="306"/>
    </i>
    <i>
      <x v="35"/>
    </i>
    <i>
      <x v="599"/>
    </i>
    <i>
      <x v="315"/>
    </i>
    <i>
      <x v="468"/>
    </i>
    <i>
      <x v="249"/>
    </i>
    <i>
      <x v="165"/>
    </i>
    <i>
      <x v="462"/>
    </i>
    <i>
      <x v="74"/>
    </i>
    <i>
      <x v="288"/>
    </i>
    <i>
      <x v="25"/>
    </i>
    <i>
      <x v="342"/>
    </i>
    <i>
      <x v="73"/>
    </i>
    <i>
      <x v="75"/>
    </i>
    <i>
      <x v="34"/>
    </i>
    <i>
      <x v="26"/>
    </i>
    <i>
      <x v="475"/>
    </i>
    <i>
      <x v="323"/>
    </i>
    <i>
      <x v="617"/>
    </i>
    <i>
      <x v="106"/>
    </i>
    <i>
      <x v="149"/>
    </i>
    <i>
      <x v="150"/>
    </i>
    <i>
      <x v="384"/>
    </i>
    <i>
      <x v="396"/>
    </i>
    <i>
      <x v="326"/>
    </i>
    <i>
      <x v="562"/>
    </i>
    <i>
      <x v="257"/>
    </i>
    <i>
      <x v="227"/>
    </i>
    <i>
      <x v="561"/>
    </i>
    <i>
      <x v="545"/>
    </i>
    <i>
      <x v="496"/>
    </i>
    <i>
      <x v="244"/>
    </i>
    <i>
      <x v="3"/>
    </i>
    <i>
      <x v="297"/>
    </i>
    <i>
      <x v="607"/>
    </i>
    <i>
      <x v="168"/>
    </i>
    <i>
      <x v="95"/>
    </i>
    <i>
      <x v="117"/>
    </i>
    <i>
      <x v="398"/>
    </i>
    <i>
      <x v="200"/>
    </i>
    <i>
      <x v="606"/>
    </i>
    <i>
      <x v="16"/>
    </i>
    <i>
      <x v="293"/>
    </i>
    <i>
      <x v="209"/>
    </i>
    <i>
      <x v="135"/>
    </i>
    <i>
      <x v="351"/>
    </i>
    <i>
      <x v="568"/>
    </i>
    <i>
      <x v="261"/>
    </i>
    <i>
      <x v="370"/>
    </i>
    <i>
      <x v="474"/>
    </i>
    <i>
      <x v="161"/>
    </i>
    <i>
      <x v="154"/>
    </i>
    <i>
      <x v="255"/>
    </i>
    <i>
      <x v="11"/>
    </i>
    <i>
      <x v="213"/>
    </i>
    <i>
      <x v="638"/>
    </i>
    <i>
      <x v="357"/>
    </i>
    <i>
      <x v="266"/>
    </i>
    <i>
      <x v="490"/>
    </i>
    <i>
      <x v="557"/>
    </i>
    <i>
      <x v="612"/>
    </i>
    <i>
      <x v="41"/>
    </i>
    <i>
      <x v="285"/>
    </i>
    <i>
      <x v="421"/>
    </i>
    <i>
      <x v="497"/>
    </i>
    <i>
      <x v="569"/>
    </i>
    <i>
      <x v="382"/>
    </i>
    <i>
      <x v="523"/>
    </i>
    <i>
      <x v="378"/>
    </i>
    <i>
      <x v="131"/>
    </i>
    <i>
      <x v="329"/>
    </i>
    <i>
      <x v="426"/>
    </i>
    <i>
      <x v="134"/>
    </i>
    <i>
      <x v="366"/>
    </i>
    <i>
      <x v="15"/>
    </i>
    <i>
      <x v="86"/>
    </i>
    <i>
      <x v="444"/>
    </i>
    <i>
      <x v="219"/>
    </i>
    <i>
      <x v="325"/>
    </i>
    <i>
      <x v="420"/>
    </i>
    <i>
      <x v="482"/>
    </i>
    <i>
      <x v="64"/>
    </i>
    <i>
      <x v="270"/>
    </i>
    <i>
      <x v="66"/>
    </i>
    <i>
      <x v="310"/>
    </i>
    <i>
      <x v="170"/>
    </i>
    <i>
      <x v="58"/>
    </i>
    <i>
      <x v="45"/>
    </i>
    <i>
      <x v="194"/>
    </i>
    <i>
      <x v="542"/>
    </i>
    <i>
      <x v="415"/>
    </i>
    <i>
      <x v="291"/>
    </i>
    <i>
      <x v="107"/>
    </i>
    <i>
      <x v="334"/>
    </i>
    <i>
      <x v="70"/>
    </i>
    <i>
      <x v="644"/>
    </i>
    <i>
      <x v="508"/>
    </i>
    <i>
      <x v="541"/>
    </i>
    <i>
      <x v="586"/>
    </i>
    <i>
      <x v="72"/>
    </i>
    <i>
      <x v="44"/>
    </i>
    <i>
      <x v="173"/>
    </i>
    <i>
      <x v="287"/>
    </i>
    <i>
      <x v="112"/>
    </i>
    <i>
      <x v="435"/>
    </i>
    <i>
      <x v="222"/>
    </i>
    <i>
      <x v="338"/>
    </i>
    <i>
      <x v="309"/>
    </i>
    <i>
      <x v="313"/>
    </i>
    <i>
      <x v="29"/>
    </i>
    <i>
      <x v="516"/>
    </i>
    <i>
      <x v="116"/>
    </i>
    <i>
      <x v="162"/>
    </i>
    <i>
      <x v="333"/>
    </i>
    <i>
      <x v="461"/>
    </i>
    <i>
      <x v="640"/>
    </i>
    <i>
      <x v="455"/>
    </i>
    <i>
      <x v="577"/>
    </i>
    <i>
      <x v="97"/>
    </i>
    <i>
      <x v="89"/>
    </i>
    <i>
      <x v="311"/>
    </i>
    <i>
      <x v="573"/>
    </i>
    <i>
      <x v="275"/>
    </i>
    <i>
      <x v="431"/>
    </i>
    <i>
      <x v="184"/>
    </i>
    <i>
      <x v="78"/>
    </i>
    <i>
      <x v="484"/>
    </i>
    <i>
      <x v="53"/>
    </i>
    <i>
      <x v="210"/>
    </i>
    <i>
      <x v="187"/>
    </i>
    <i>
      <x v="39"/>
    </i>
    <i>
      <x v="502"/>
    </i>
    <i>
      <x v="400"/>
    </i>
    <i>
      <x v="522"/>
    </i>
    <i>
      <x v="498"/>
    </i>
    <i>
      <x v="625"/>
    </i>
    <i>
      <x v="37"/>
    </i>
    <i>
      <x v="232"/>
    </i>
    <i>
      <x v="494"/>
    </i>
    <i>
      <x v="233"/>
    </i>
    <i>
      <x v="364"/>
    </i>
    <i>
      <x v="363"/>
    </i>
    <i>
      <x v="322"/>
    </i>
    <i>
      <x v="501"/>
    </i>
    <i>
      <x v="564"/>
    </i>
    <i>
      <x v="296"/>
    </i>
    <i>
      <x v="451"/>
    </i>
    <i>
      <x v="340"/>
    </i>
    <i>
      <x v="369"/>
    </i>
    <i>
      <x v="221"/>
    </i>
    <i>
      <x v="377"/>
    </i>
    <i>
      <x v="580"/>
    </i>
    <i>
      <x v="289"/>
    </i>
    <i>
      <x v="47"/>
    </i>
    <i>
      <x v="533"/>
    </i>
    <i>
      <x v="118"/>
    </i>
    <i>
      <x v="620"/>
    </i>
    <i>
      <x v="458"/>
    </i>
    <i>
      <x v="260"/>
    </i>
    <i>
      <x v="259"/>
    </i>
    <i>
      <x v="618"/>
    </i>
    <i>
      <x v="132"/>
    </i>
    <i>
      <x v="373"/>
    </i>
    <i>
      <x v="530"/>
    </i>
    <i>
      <x v="639"/>
    </i>
    <i>
      <x v="253"/>
    </i>
    <i>
      <x v="186"/>
    </i>
    <i>
      <x v="122"/>
    </i>
    <i>
      <x v="142"/>
    </i>
    <i>
      <x v="33"/>
    </i>
    <i>
      <x v="567"/>
    </i>
    <i>
      <x v="63"/>
    </i>
    <i>
      <x v="576"/>
    </i>
    <i>
      <x v="385"/>
    </i>
    <i>
      <x v="40"/>
    </i>
    <i>
      <x v="524"/>
    </i>
    <i>
      <x v="361"/>
    </i>
    <i>
      <x v="31"/>
    </i>
    <i>
      <x v="62"/>
    </i>
    <i>
      <x v="90"/>
    </i>
    <i>
      <x v="633"/>
    </i>
    <i>
      <x v="252"/>
    </i>
    <i>
      <x v="128"/>
    </i>
    <i>
      <x v="238"/>
    </i>
    <i>
      <x v="546"/>
    </i>
    <i>
      <x v="2"/>
    </i>
    <i>
      <x v="634"/>
    </i>
    <i>
      <x v="438"/>
    </i>
    <i>
      <x v="587"/>
    </i>
    <i>
      <x v="230"/>
    </i>
    <i>
      <x v="105"/>
    </i>
    <i>
      <x v="68"/>
    </i>
    <i>
      <x v="636"/>
    </i>
    <i>
      <x v="129"/>
    </i>
    <i>
      <x v="133"/>
    </i>
    <i>
      <x v="191"/>
    </i>
    <i>
      <x v="302"/>
    </i>
    <i>
      <x v="65"/>
    </i>
    <i>
      <x v="139"/>
    </i>
    <i>
      <x v="449"/>
    </i>
    <i>
      <x v="368"/>
    </i>
    <i>
      <x v="504"/>
    </i>
    <i>
      <x v="320"/>
    </i>
    <i>
      <x v="248"/>
    </i>
    <i>
      <x v="59"/>
    </i>
    <i>
      <x v="126"/>
    </i>
    <i>
      <x v="343"/>
    </i>
    <i>
      <x v="422"/>
    </i>
    <i>
      <x v="237"/>
    </i>
    <i>
      <x v="241"/>
    </i>
    <i>
      <x v="10"/>
    </i>
    <i>
      <x v="429"/>
    </i>
    <i>
      <x v="452"/>
    </i>
    <i>
      <x v="24"/>
    </i>
    <i>
      <x v="85"/>
    </i>
    <i>
      <x v="615"/>
    </i>
    <i>
      <x v="314"/>
    </i>
    <i>
      <x v="175"/>
    </i>
    <i>
      <x v="43"/>
    </i>
    <i>
      <x v="447"/>
    </i>
    <i>
      <x v="1"/>
    </i>
    <i>
      <x v="9"/>
    </i>
    <i>
      <x v="317"/>
    </i>
    <i>
      <x v="136"/>
    </i>
    <i>
      <x v="549"/>
    </i>
    <i>
      <x v="229"/>
    </i>
    <i>
      <x v="55"/>
    </i>
    <i>
      <x v="104"/>
    </i>
    <i>
      <x v="171"/>
    </i>
    <i>
      <x v="284"/>
    </i>
    <i>
      <x v="346"/>
    </i>
    <i>
      <x v="46"/>
    </i>
    <i>
      <x v="622"/>
    </i>
    <i>
      <x v="52"/>
    </i>
    <i>
      <x v="61"/>
    </i>
    <i>
      <x v="235"/>
    </i>
    <i>
      <x v="345"/>
    </i>
    <i>
      <x v="51"/>
    </i>
    <i>
      <x v="632"/>
    </i>
    <i>
      <x v="18"/>
    </i>
    <i>
      <x v="137"/>
    </i>
    <i>
      <x v="203"/>
    </i>
    <i>
      <x v="588"/>
    </i>
    <i>
      <x v="101"/>
    </i>
    <i>
      <x v="280"/>
    </i>
    <i>
      <x v="273"/>
    </i>
    <i>
      <x v="459"/>
    </i>
    <i>
      <x v="413"/>
    </i>
    <i>
      <x v="190"/>
    </i>
    <i>
      <x v="119"/>
    </i>
    <i>
      <x v="514"/>
    </i>
    <i>
      <x v="96"/>
    </i>
    <i>
      <x v="430"/>
    </i>
    <i>
      <x v="536"/>
    </i>
    <i>
      <x v="193"/>
    </i>
    <i>
      <x v="404"/>
    </i>
    <i>
      <x v="114"/>
    </i>
    <i>
      <x v="331"/>
    </i>
    <i>
      <x v="608"/>
    </i>
    <i>
      <x v="169"/>
    </i>
    <i>
      <x v="556"/>
    </i>
    <i>
      <x v="393"/>
    </i>
    <i>
      <x v="579"/>
    </i>
    <i>
      <x v="13"/>
    </i>
    <i>
      <x v="477"/>
    </i>
    <i>
      <x v="401"/>
    </i>
    <i>
      <x v="380"/>
    </i>
    <i>
      <x v="265"/>
    </i>
    <i>
      <x v="319"/>
    </i>
    <i>
      <x v="157"/>
    </i>
    <i>
      <x v="500"/>
    </i>
    <i>
      <x v="83"/>
    </i>
    <i>
      <x v="428"/>
    </i>
    <i>
      <x v="641"/>
    </i>
    <i>
      <x v="268"/>
    </i>
    <i>
      <x v="432"/>
    </i>
    <i>
      <x v="372"/>
    </i>
    <i>
      <x v="409"/>
    </i>
    <i>
      <x v="279"/>
    </i>
    <i>
      <x v="276"/>
    </i>
    <i>
      <x v="223"/>
    </i>
    <i>
      <x v="479"/>
    </i>
    <i>
      <x v="510"/>
    </i>
    <i>
      <x v="559"/>
    </i>
    <i>
      <x v="456"/>
    </i>
    <i>
      <x v="601"/>
    </i>
    <i>
      <x v="609"/>
    </i>
    <i>
      <x v="560"/>
    </i>
    <i>
      <x v="555"/>
    </i>
    <i>
      <x v="307"/>
    </i>
    <i>
      <x v="224"/>
    </i>
    <i>
      <x v="448"/>
    </i>
    <i>
      <x v="402"/>
    </i>
    <i>
      <x v="434"/>
    </i>
    <i>
      <x v="79"/>
    </i>
    <i>
      <x v="318"/>
    </i>
    <i>
      <x v="299"/>
    </i>
    <i>
      <x v="127"/>
    </i>
    <i>
      <x v="335"/>
    </i>
    <i>
      <x v="304"/>
    </i>
    <i>
      <x v="476"/>
    </i>
    <i>
      <x v="465"/>
    </i>
    <i>
      <x v="457"/>
    </i>
    <i>
      <x v="360"/>
    </i>
    <i>
      <x v="362"/>
    </i>
    <i>
      <x v="491"/>
    </i>
    <i>
      <x v="352"/>
    </i>
    <i>
      <x v="350"/>
    </i>
    <i>
      <x v="31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anceability_%" fld="16" subtotal="average" baseField="0" baseItem="0" numFmtId="9"/>
    <dataField name="Count of artist(s)_name" fld="0" subtotal="count" baseField="0" baseItem="0"/>
  </dataField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1AF3EE-A7F5-4360-A771-8A03058A0858}" name="PivotTable4" cacheId="9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481" firstHeaderRow="1" firstDataRow="1" firstDataCol="1"/>
  <pivotFields count="23">
    <pivotField compact="0" outline="0" showAll="0"/>
    <pivotField compact="0" outline="0" showAll="0"/>
    <pivotField compact="0" outline="0" showAll="0"/>
    <pivotField axis="axisRow" compact="0" numFmtId="14" outline="0" showAll="0">
      <items count="478">
        <item x="261"/>
        <item x="279"/>
        <item x="275"/>
        <item x="278"/>
        <item x="274"/>
        <item x="265"/>
        <item x="264"/>
        <item x="282"/>
        <item x="269"/>
        <item x="268"/>
        <item x="272"/>
        <item x="134"/>
        <item x="329"/>
        <item x="271"/>
        <item x="273"/>
        <item x="251"/>
        <item x="62"/>
        <item x="402"/>
        <item x="276"/>
        <item x="441"/>
        <item x="474"/>
        <item x="116"/>
        <item x="263"/>
        <item x="138"/>
        <item x="277"/>
        <item x="82"/>
        <item x="250"/>
        <item x="280"/>
        <item x="450"/>
        <item x="455"/>
        <item x="357"/>
        <item x="391"/>
        <item x="125"/>
        <item x="262"/>
        <item x="199"/>
        <item x="379"/>
        <item x="419"/>
        <item x="167"/>
        <item x="436"/>
        <item x="53"/>
        <item x="381"/>
        <item x="160"/>
        <item x="467"/>
        <item x="216"/>
        <item x="281"/>
        <item x="100"/>
        <item x="186"/>
        <item x="466"/>
        <item x="207"/>
        <item x="361"/>
        <item x="77"/>
        <item x="396"/>
        <item x="112"/>
        <item x="283"/>
        <item x="95"/>
        <item x="58"/>
        <item x="104"/>
        <item x="115"/>
        <item x="135"/>
        <item x="352"/>
        <item x="337"/>
        <item x="74"/>
        <item x="89"/>
        <item x="266"/>
        <item x="76"/>
        <item x="56"/>
        <item x="69"/>
        <item x="45"/>
        <item x="106"/>
        <item x="20"/>
        <item x="400"/>
        <item x="356"/>
        <item x="374"/>
        <item x="130"/>
        <item x="270"/>
        <item x="267"/>
        <item x="32"/>
        <item x="178"/>
        <item x="421"/>
        <item x="241"/>
        <item x="123"/>
        <item x="201"/>
        <item x="83"/>
        <item x="234"/>
        <item x="410"/>
        <item x="117"/>
        <item x="244"/>
        <item x="331"/>
        <item x="204"/>
        <item x="68"/>
        <item x="387"/>
        <item x="332"/>
        <item x="422"/>
        <item x="427"/>
        <item x="156"/>
        <item x="113"/>
        <item x="345"/>
        <item x="406"/>
        <item x="469"/>
        <item x="376"/>
        <item x="128"/>
        <item x="203"/>
        <item x="42"/>
        <item x="420"/>
        <item x="231"/>
        <item x="229"/>
        <item x="447"/>
        <item x="344"/>
        <item x="41"/>
        <item x="120"/>
        <item x="97"/>
        <item x="122"/>
        <item x="99"/>
        <item x="202"/>
        <item x="405"/>
        <item x="127"/>
        <item x="347"/>
        <item x="80"/>
        <item x="238"/>
        <item x="354"/>
        <item x="291"/>
        <item x="37"/>
        <item x="91"/>
        <item x="221"/>
        <item x="383"/>
        <item x="438"/>
        <item x="70"/>
        <item x="79"/>
        <item x="298"/>
        <item x="311"/>
        <item x="403"/>
        <item x="182"/>
        <item x="118"/>
        <item x="448"/>
        <item x="363"/>
        <item x="35"/>
        <item x="66"/>
        <item x="475"/>
        <item x="349"/>
        <item x="324"/>
        <item x="358"/>
        <item x="230"/>
        <item x="101"/>
        <item x="389"/>
        <item x="426"/>
        <item x="388"/>
        <item x="377"/>
        <item x="223"/>
        <item x="295"/>
        <item x="375"/>
        <item x="3"/>
        <item x="129"/>
        <item x="458"/>
        <item x="366"/>
        <item x="110"/>
        <item x="126"/>
        <item x="240"/>
        <item x="335"/>
        <item x="362"/>
        <item x="90"/>
        <item x="46"/>
        <item x="390"/>
        <item x="418"/>
        <item x="340"/>
        <item x="243"/>
        <item x="382"/>
        <item x="133"/>
        <item x="225"/>
        <item x="343"/>
        <item x="384"/>
        <item x="315"/>
        <item x="114"/>
        <item x="257"/>
        <item x="353"/>
        <item x="226"/>
        <item x="71"/>
        <item x="54"/>
        <item x="320"/>
        <item x="48"/>
        <item x="323"/>
        <item x="255"/>
        <item x="294"/>
        <item x="299"/>
        <item x="404"/>
        <item x="341"/>
        <item x="316"/>
        <item x="314"/>
        <item x="39"/>
        <item x="457"/>
        <item x="256"/>
        <item x="336"/>
        <item x="305"/>
        <item x="365"/>
        <item x="355"/>
        <item x="327"/>
        <item x="81"/>
        <item x="109"/>
        <item x="322"/>
        <item x="132"/>
        <item x="346"/>
        <item x="364"/>
        <item x="368"/>
        <item x="397"/>
        <item x="339"/>
        <item x="293"/>
        <item x="449"/>
        <item x="304"/>
        <item x="248"/>
        <item x="87"/>
        <item x="290"/>
        <item x="258"/>
        <item x="326"/>
        <item x="64"/>
        <item x="242"/>
        <item x="348"/>
        <item x="253"/>
        <item x="328"/>
        <item x="313"/>
        <item x="292"/>
        <item x="439"/>
        <item x="351"/>
        <item x="367"/>
        <item x="285"/>
        <item x="288"/>
        <item x="360"/>
        <item x="334"/>
        <item x="157"/>
        <item x="350"/>
        <item x="220"/>
        <item x="319"/>
        <item x="171"/>
        <item x="301"/>
        <item x="321"/>
        <item x="296"/>
        <item x="227"/>
        <item x="342"/>
        <item x="300"/>
        <item x="159"/>
        <item x="325"/>
        <item x="303"/>
        <item x="309"/>
        <item x="312"/>
        <item x="302"/>
        <item x="297"/>
        <item x="330"/>
        <item x="307"/>
        <item x="333"/>
        <item x="308"/>
        <item x="289"/>
        <item x="179"/>
        <item x="306"/>
        <item x="310"/>
        <item x="185"/>
        <item x="161"/>
        <item x="380"/>
        <item x="338"/>
        <item x="192"/>
        <item x="317"/>
        <item x="287"/>
        <item x="286"/>
        <item x="318"/>
        <item x="359"/>
        <item x="378"/>
        <item x="386"/>
        <item x="247"/>
        <item x="371"/>
        <item x="464"/>
        <item x="198"/>
        <item x="432"/>
        <item x="385"/>
        <item x="415"/>
        <item x="395"/>
        <item x="372"/>
        <item x="373"/>
        <item x="431"/>
        <item x="232"/>
        <item x="369"/>
        <item x="370"/>
        <item x="425"/>
        <item x="399"/>
        <item x="409"/>
        <item x="398"/>
        <item x="407"/>
        <item x="401"/>
        <item x="394"/>
        <item x="393"/>
        <item x="429"/>
        <item x="392"/>
        <item x="260"/>
        <item x="417"/>
        <item x="412"/>
        <item x="121"/>
        <item x="408"/>
        <item x="453"/>
        <item x="23"/>
        <item x="416"/>
        <item x="13"/>
        <item x="196"/>
        <item x="411"/>
        <item x="413"/>
        <item x="414"/>
        <item x="165"/>
        <item x="433"/>
        <item x="423"/>
        <item x="78"/>
        <item x="170"/>
        <item x="63"/>
        <item x="435"/>
        <item x="430"/>
        <item x="239"/>
        <item x="177"/>
        <item x="428"/>
        <item x="434"/>
        <item x="445"/>
        <item x="67"/>
        <item x="437"/>
        <item x="424"/>
        <item x="40"/>
        <item x="193"/>
        <item x="444"/>
        <item x="47"/>
        <item x="440"/>
        <item x="212"/>
        <item x="446"/>
        <item x="217"/>
        <item x="442"/>
        <item x="443"/>
        <item x="162"/>
        <item x="463"/>
        <item x="452"/>
        <item x="108"/>
        <item x="451"/>
        <item x="470"/>
        <item x="51"/>
        <item x="150"/>
        <item x="454"/>
        <item x="57"/>
        <item x="148"/>
        <item x="459"/>
        <item x="476"/>
        <item x="55"/>
        <item x="59"/>
        <item x="98"/>
        <item x="236"/>
        <item x="460"/>
        <item x="206"/>
        <item x="175"/>
        <item x="151"/>
        <item x="213"/>
        <item x="456"/>
        <item x="208"/>
        <item x="252"/>
        <item x="249"/>
        <item x="461"/>
        <item x="174"/>
        <item x="473"/>
        <item x="88"/>
        <item x="462"/>
        <item x="284"/>
        <item x="36"/>
        <item x="468"/>
        <item x="218"/>
        <item x="245"/>
        <item x="465"/>
        <item x="259"/>
        <item x="183"/>
        <item x="60"/>
        <item x="254"/>
        <item x="144"/>
        <item x="246"/>
        <item x="52"/>
        <item x="471"/>
        <item x="145"/>
        <item x="472"/>
        <item x="155"/>
        <item x="214"/>
        <item x="224"/>
        <item x="29"/>
        <item x="197"/>
        <item x="228"/>
        <item x="211"/>
        <item x="190"/>
        <item x="222"/>
        <item x="158"/>
        <item x="210"/>
        <item x="200"/>
        <item x="235"/>
        <item x="141"/>
        <item x="233"/>
        <item x="146"/>
        <item x="147"/>
        <item x="28"/>
        <item x="14"/>
        <item x="73"/>
        <item x="237"/>
        <item x="205"/>
        <item x="131"/>
        <item x="137"/>
        <item x="61"/>
        <item x="184"/>
        <item x="219"/>
        <item x="181"/>
        <item x="172"/>
        <item x="93"/>
        <item x="94"/>
        <item x="11"/>
        <item x="124"/>
        <item x="215"/>
        <item x="111"/>
        <item x="102"/>
        <item x="25"/>
        <item x="105"/>
        <item x="50"/>
        <item x="176"/>
        <item x="85"/>
        <item x="34"/>
        <item x="154"/>
        <item x="209"/>
        <item x="30"/>
        <item x="15"/>
        <item x="84"/>
        <item x="149"/>
        <item x="187"/>
        <item x="65"/>
        <item x="168"/>
        <item x="86"/>
        <item x="195"/>
        <item x="6"/>
        <item x="9"/>
        <item x="188"/>
        <item x="1"/>
        <item x="18"/>
        <item x="191"/>
        <item x="189"/>
        <item x="194"/>
        <item x="142"/>
        <item x="17"/>
        <item x="107"/>
        <item x="43"/>
        <item x="31"/>
        <item x="166"/>
        <item x="119"/>
        <item x="12"/>
        <item x="10"/>
        <item x="153"/>
        <item x="169"/>
        <item x="173"/>
        <item x="180"/>
        <item x="164"/>
        <item x="139"/>
        <item x="49"/>
        <item x="163"/>
        <item x="140"/>
        <item x="72"/>
        <item x="143"/>
        <item x="8"/>
        <item x="4"/>
        <item x="33"/>
        <item x="96"/>
        <item x="26"/>
        <item x="103"/>
        <item x="21"/>
        <item x="5"/>
        <item x="22"/>
        <item x="152"/>
        <item x="136"/>
        <item x="75"/>
        <item x="44"/>
        <item x="92"/>
        <item x="19"/>
        <item x="38"/>
        <item x="27"/>
        <item x="24"/>
        <item x="2"/>
        <item x="7"/>
        <item x="16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dataField="1"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3"/>
  </rowFields>
  <rowItems count="4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 t="grand">
      <x/>
    </i>
  </rowItems>
  <colItems count="1">
    <i/>
  </colItems>
  <dataFields count="1">
    <dataField name="Average of energy_%" fld="18" subtotal="average" baseField="0" baseItem="0"/>
  </dataFields>
  <formats count="3">
    <format dxfId="12">
      <pivotArea outline="0" fieldPosition="0">
        <references count="1">
          <reference field="3" count="1" selected="0">
            <x v="0"/>
          </reference>
        </references>
      </pivotArea>
    </format>
    <format dxfId="13">
      <pivotArea outline="0" collapsedLevelsAreSubtotals="1" fieldPosition="0"/>
    </format>
    <format dxfId="14">
      <pivotArea dataOnly="0" labelOnly="1" outline="0" axis="axisValues" fieldPosition="0"/>
    </format>
  </format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5CA4E6-7DEB-40FA-8E74-DEC360CC68CB}" name="Table1" displayName="Table1" ref="A1:W954" totalsRowShown="0" headerRowDxfId="11">
  <autoFilter ref="A1:W954" xr:uid="{495CA4E6-7DEB-40FA-8E74-DEC360CC68CB}"/>
  <tableColumns count="23">
    <tableColumn id="1" xr3:uid="{C348B912-ADC4-4F56-8A1E-81D8C809473E}" name="artist(s)_name" dataDxfId="10"/>
    <tableColumn id="2" xr3:uid="{F61E60E5-B15B-4DC3-A443-53D065AC7A45}" name="track_name" dataDxfId="9"/>
    <tableColumn id="3" xr3:uid="{A076E0C7-0979-4DA8-BE9A-6B42D2A93353}" name="artist_count"/>
    <tableColumn id="4" xr3:uid="{02B31C5E-377B-4D8C-80B2-F53C81B2C045}" name="release_date" dataDxfId="8"/>
    <tableColumn id="5" xr3:uid="{08A82404-BB4A-454D-8F82-7419090FAFD0}" name="in_spotify_playlists"/>
    <tableColumn id="6" xr3:uid="{8103D03E-8A0A-48F0-8DAA-91E4209B9298}" name="in_spotify_charts"/>
    <tableColumn id="7" xr3:uid="{378BC338-3F7C-4A4D-BB88-6CD2CB9E9142}" name="streams"/>
    <tableColumn id="23" xr3:uid="{DCE6A973-A0A2-4607-85AC-4187B11ED5CD}" name="popular" dataDxfId="7">
      <calculatedColumnFormula>IF(G2&gt;$Z$2,$Z$4,$Z$5)</calculatedColumnFormula>
    </tableColumn>
    <tableColumn id="8" xr3:uid="{3C6967D9-DD66-4524-A947-228406183342}" name="in_apple_playlists"/>
    <tableColumn id="9" xr3:uid="{59008DC1-DB19-4F1C-9F02-9E4A6AABC27D}" name="in_apple_charts"/>
    <tableColumn id="10" xr3:uid="{2D2347B7-477D-4CCD-82C3-6188927BB85B}" name="in_deezer_playlists"/>
    <tableColumn id="11" xr3:uid="{47F34BDC-B7D7-420D-B556-9F9B6D6A5744}" name="in_deezer_charts"/>
    <tableColumn id="12" xr3:uid="{074001E4-4D94-49B5-91A0-44BA5E1F1FE4}" name="in_shazam_charts"/>
    <tableColumn id="13" xr3:uid="{EEE3C494-90E2-46C1-948F-E041A3CCF565}" name="bpm"/>
    <tableColumn id="14" xr3:uid="{B9BEE6AD-2EF6-4DDC-80B7-1782D4671C3D}" name="key"/>
    <tableColumn id="15" xr3:uid="{21887722-7788-4516-A5FD-E5CCE2B517CB}" name="mode"/>
    <tableColumn id="16" xr3:uid="{29B2DB27-F592-4D35-9E66-8A953C997A9C}" name="danceability_%" dataDxfId="6"/>
    <tableColumn id="17" xr3:uid="{C4D19A2F-41AF-46BD-AF67-4E4AD82D8A66}" name="valence_%" dataDxfId="5"/>
    <tableColumn id="18" xr3:uid="{2ED77E7A-3D2A-4FCF-8651-92784140BF2B}" name="energy_%" dataDxfId="4"/>
    <tableColumn id="19" xr3:uid="{7EC45475-A3FC-433D-9894-C1A8147B4557}" name="acousticness_%" dataDxfId="3"/>
    <tableColumn id="20" xr3:uid="{C4F21B23-E7D3-4F16-8DF3-46EE4532E72F}" name="instrumentalness_%" dataDxfId="2"/>
    <tableColumn id="21" xr3:uid="{0E2813A9-F1DC-453F-9DB7-8D38927B8B89}" name="liveness_%" dataDxfId="1"/>
    <tableColumn id="22" xr3:uid="{6CE967F0-7B03-4DE4-9BA8-31709D88C12E}" name="speechiness_%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64E79-C249-4B87-8820-450B8DD988BF}">
  <dimension ref="A1:Z954"/>
  <sheetViews>
    <sheetView workbookViewId="0">
      <selection sqref="A1:A1048576"/>
    </sheetView>
  </sheetViews>
  <sheetFormatPr defaultRowHeight="15"/>
  <cols>
    <col min="1" max="1" width="16.140625" bestFit="1" customWidth="1"/>
    <col min="2" max="2" width="13.7109375" bestFit="1" customWidth="1"/>
    <col min="3" max="3" width="14" bestFit="1" customWidth="1"/>
    <col min="4" max="4" width="14.5703125" bestFit="1" customWidth="1"/>
    <col min="5" max="5" width="20.28515625" bestFit="1" customWidth="1"/>
    <col min="6" max="6" width="18.5703125" bestFit="1" customWidth="1"/>
    <col min="7" max="8" width="11.42578125" customWidth="1"/>
    <col min="9" max="9" width="19.140625" bestFit="1" customWidth="1"/>
    <col min="10" max="10" width="17.42578125" bestFit="1" customWidth="1"/>
    <col min="11" max="11" width="20.140625" bestFit="1" customWidth="1"/>
    <col min="12" max="12" width="18.42578125" bestFit="1" customWidth="1"/>
    <col min="13" max="13" width="19.140625" bestFit="1" customWidth="1"/>
    <col min="17" max="17" width="16.7109375" style="10" bestFit="1" customWidth="1"/>
    <col min="18" max="18" width="12.5703125" style="10" bestFit="1" customWidth="1"/>
    <col min="19" max="19" width="11.85546875" style="10" bestFit="1" customWidth="1"/>
    <col min="20" max="20" width="17" style="10" bestFit="1" customWidth="1"/>
    <col min="21" max="21" width="21.140625" style="10" bestFit="1" customWidth="1"/>
    <col min="22" max="22" width="12.85546875" style="10" bestFit="1" customWidth="1"/>
    <col min="23" max="23" width="16.42578125" style="10" bestFit="1" customWidth="1"/>
    <col min="25" max="26" width="13.7109375" bestFit="1" customWidth="1"/>
  </cols>
  <sheetData>
    <row r="1" spans="1:26" s="3" customFormat="1">
      <c r="A1" s="3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</row>
    <row r="2" spans="1:26" ht="45.75">
      <c r="A2" s="2" t="s">
        <v>23</v>
      </c>
      <c r="B2" s="2" t="s">
        <v>24</v>
      </c>
      <c r="C2">
        <v>2</v>
      </c>
      <c r="D2" s="5">
        <v>45121</v>
      </c>
      <c r="E2">
        <v>553</v>
      </c>
      <c r="F2">
        <v>147</v>
      </c>
      <c r="G2">
        <v>141381703</v>
      </c>
      <c r="H2" t="str">
        <f t="shared" ref="H2:H65" si="0">IF(G2&gt;$Z$2,$Z$4,$Z$5)</f>
        <v>no</v>
      </c>
      <c r="I2">
        <v>43</v>
      </c>
      <c r="J2">
        <v>263</v>
      </c>
      <c r="K2">
        <v>45</v>
      </c>
      <c r="L2">
        <v>10</v>
      </c>
      <c r="M2">
        <v>826</v>
      </c>
      <c r="N2">
        <v>125</v>
      </c>
      <c r="O2" t="s">
        <v>25</v>
      </c>
      <c r="P2" t="s">
        <v>26</v>
      </c>
      <c r="Q2" s="10">
        <v>80</v>
      </c>
      <c r="R2" s="10">
        <v>89</v>
      </c>
      <c r="S2" s="10">
        <v>83</v>
      </c>
      <c r="T2" s="10">
        <v>31</v>
      </c>
      <c r="U2" s="10">
        <v>0</v>
      </c>
      <c r="V2" s="10">
        <v>8</v>
      </c>
      <c r="W2" s="10">
        <v>4</v>
      </c>
      <c r="Y2" t="s">
        <v>27</v>
      </c>
      <c r="Z2" s="1">
        <v>200000000</v>
      </c>
    </row>
    <row r="3" spans="1:26">
      <c r="A3" s="2" t="s">
        <v>23</v>
      </c>
      <c r="B3" s="2" t="s">
        <v>28</v>
      </c>
      <c r="C3">
        <v>1</v>
      </c>
      <c r="D3" s="5">
        <v>45008</v>
      </c>
      <c r="E3">
        <v>1474</v>
      </c>
      <c r="F3">
        <v>48</v>
      </c>
      <c r="G3">
        <v>133716286</v>
      </c>
      <c r="H3" t="str">
        <f t="shared" si="0"/>
        <v>no</v>
      </c>
      <c r="I3">
        <v>48</v>
      </c>
      <c r="J3">
        <v>126</v>
      </c>
      <c r="K3">
        <v>58</v>
      </c>
      <c r="L3">
        <v>14</v>
      </c>
      <c r="M3">
        <v>382</v>
      </c>
      <c r="N3">
        <v>92</v>
      </c>
      <c r="O3" t="s">
        <v>29</v>
      </c>
      <c r="P3" t="s">
        <v>26</v>
      </c>
      <c r="Q3" s="10">
        <v>71</v>
      </c>
      <c r="R3" s="10">
        <v>61</v>
      </c>
      <c r="S3" s="10">
        <v>74</v>
      </c>
      <c r="T3" s="10">
        <v>7</v>
      </c>
      <c r="U3" s="10">
        <v>0</v>
      </c>
      <c r="V3" s="10">
        <v>10</v>
      </c>
      <c r="W3" s="10">
        <v>4</v>
      </c>
    </row>
    <row r="4" spans="1:26">
      <c r="A4" s="2" t="s">
        <v>30</v>
      </c>
      <c r="B4" s="2" t="s">
        <v>31</v>
      </c>
      <c r="C4">
        <v>1</v>
      </c>
      <c r="D4" s="5">
        <v>45107</v>
      </c>
      <c r="E4">
        <v>1397</v>
      </c>
      <c r="F4">
        <v>113</v>
      </c>
      <c r="G4">
        <v>140003974</v>
      </c>
      <c r="H4" t="str">
        <f t="shared" si="0"/>
        <v>no</v>
      </c>
      <c r="I4">
        <v>94</v>
      </c>
      <c r="J4">
        <v>207</v>
      </c>
      <c r="K4">
        <v>91</v>
      </c>
      <c r="L4">
        <v>14</v>
      </c>
      <c r="M4">
        <v>949</v>
      </c>
      <c r="N4">
        <v>138</v>
      </c>
      <c r="O4" t="s">
        <v>32</v>
      </c>
      <c r="P4" t="s">
        <v>26</v>
      </c>
      <c r="Q4" s="10">
        <v>51</v>
      </c>
      <c r="R4" s="10">
        <v>32</v>
      </c>
      <c r="S4" s="10">
        <v>53</v>
      </c>
      <c r="T4" s="10">
        <v>17</v>
      </c>
      <c r="U4" s="10">
        <v>0</v>
      </c>
      <c r="V4" s="10">
        <v>31</v>
      </c>
      <c r="W4" s="10">
        <v>6</v>
      </c>
      <c r="Y4" t="s">
        <v>33</v>
      </c>
      <c r="Z4" t="s">
        <v>34</v>
      </c>
    </row>
    <row r="5" spans="1:26" ht="30.75">
      <c r="A5" s="2" t="s">
        <v>35</v>
      </c>
      <c r="B5" s="2" t="s">
        <v>36</v>
      </c>
      <c r="C5">
        <v>1</v>
      </c>
      <c r="D5" s="5">
        <v>43700</v>
      </c>
      <c r="E5">
        <v>7858</v>
      </c>
      <c r="F5">
        <v>100</v>
      </c>
      <c r="G5">
        <v>800840817</v>
      </c>
      <c r="H5" t="str">
        <f t="shared" si="0"/>
        <v>yes</v>
      </c>
      <c r="I5">
        <v>116</v>
      </c>
      <c r="J5">
        <v>207</v>
      </c>
      <c r="K5">
        <v>125</v>
      </c>
      <c r="L5">
        <v>12</v>
      </c>
      <c r="M5">
        <v>548</v>
      </c>
      <c r="N5">
        <v>170</v>
      </c>
      <c r="O5" t="s">
        <v>37</v>
      </c>
      <c r="P5" t="s">
        <v>26</v>
      </c>
      <c r="Q5" s="10">
        <v>55</v>
      </c>
      <c r="R5" s="10">
        <v>58</v>
      </c>
      <c r="S5" s="10">
        <v>72</v>
      </c>
      <c r="T5" s="10">
        <v>11</v>
      </c>
      <c r="U5" s="10">
        <v>0</v>
      </c>
      <c r="V5" s="10">
        <v>11</v>
      </c>
      <c r="W5" s="10">
        <v>15</v>
      </c>
      <c r="Z5" t="s">
        <v>38</v>
      </c>
    </row>
    <row r="6" spans="1:26" ht="30.75">
      <c r="A6" s="2" t="s">
        <v>39</v>
      </c>
      <c r="B6" s="2" t="s">
        <v>40</v>
      </c>
      <c r="C6">
        <v>1</v>
      </c>
      <c r="D6" s="5">
        <v>45064</v>
      </c>
      <c r="E6">
        <v>3133</v>
      </c>
      <c r="F6">
        <v>50</v>
      </c>
      <c r="G6">
        <v>303236322</v>
      </c>
      <c r="H6" t="str">
        <f t="shared" si="0"/>
        <v>yes</v>
      </c>
      <c r="I6">
        <v>84</v>
      </c>
      <c r="J6">
        <v>133</v>
      </c>
      <c r="K6">
        <v>87</v>
      </c>
      <c r="L6">
        <v>15</v>
      </c>
      <c r="M6">
        <v>425</v>
      </c>
      <c r="N6">
        <v>144</v>
      </c>
      <c r="O6" t="s">
        <v>37</v>
      </c>
      <c r="P6" t="s">
        <v>41</v>
      </c>
      <c r="Q6" s="10">
        <v>65</v>
      </c>
      <c r="R6" s="10">
        <v>23</v>
      </c>
      <c r="S6" s="10">
        <v>80</v>
      </c>
      <c r="T6" s="10">
        <v>14</v>
      </c>
      <c r="U6" s="10">
        <v>63</v>
      </c>
      <c r="V6" s="10">
        <v>11</v>
      </c>
      <c r="W6" s="10">
        <v>6</v>
      </c>
    </row>
    <row r="7" spans="1:26" ht="45.75">
      <c r="A7" s="2" t="s">
        <v>42</v>
      </c>
      <c r="B7" s="2" t="s">
        <v>43</v>
      </c>
      <c r="C7">
        <v>2</v>
      </c>
      <c r="D7" s="5">
        <v>45078</v>
      </c>
      <c r="E7">
        <v>2186</v>
      </c>
      <c r="F7">
        <v>91</v>
      </c>
      <c r="G7">
        <v>183706234</v>
      </c>
      <c r="H7" t="str">
        <f t="shared" si="0"/>
        <v>no</v>
      </c>
      <c r="I7">
        <v>67</v>
      </c>
      <c r="J7">
        <v>213</v>
      </c>
      <c r="K7">
        <v>88</v>
      </c>
      <c r="L7">
        <v>17</v>
      </c>
      <c r="M7">
        <v>946</v>
      </c>
      <c r="N7">
        <v>141</v>
      </c>
      <c r="O7" t="s">
        <v>29</v>
      </c>
      <c r="P7" t="s">
        <v>26</v>
      </c>
      <c r="Q7" s="10">
        <v>92</v>
      </c>
      <c r="R7" s="10">
        <v>66</v>
      </c>
      <c r="S7" s="10">
        <v>58</v>
      </c>
      <c r="T7" s="10">
        <v>19</v>
      </c>
      <c r="U7" s="10">
        <v>0</v>
      </c>
      <c r="V7" s="10">
        <v>8</v>
      </c>
      <c r="W7" s="10">
        <v>24</v>
      </c>
    </row>
    <row r="8" spans="1:26" ht="30.75">
      <c r="A8" s="2" t="s">
        <v>44</v>
      </c>
      <c r="B8" s="2" t="s">
        <v>45</v>
      </c>
      <c r="C8">
        <v>2</v>
      </c>
      <c r="D8" s="5">
        <v>45001</v>
      </c>
      <c r="E8">
        <v>3090</v>
      </c>
      <c r="F8">
        <v>50</v>
      </c>
      <c r="G8">
        <v>725980112</v>
      </c>
      <c r="H8" t="str">
        <f t="shared" si="0"/>
        <v>yes</v>
      </c>
      <c r="I8">
        <v>34</v>
      </c>
      <c r="J8">
        <v>222</v>
      </c>
      <c r="K8">
        <v>43</v>
      </c>
      <c r="L8">
        <v>13</v>
      </c>
      <c r="M8">
        <v>418</v>
      </c>
      <c r="N8">
        <v>148</v>
      </c>
      <c r="O8" t="s">
        <v>32</v>
      </c>
      <c r="P8" t="s">
        <v>41</v>
      </c>
      <c r="Q8" s="10">
        <v>67</v>
      </c>
      <c r="R8" s="10">
        <v>83</v>
      </c>
      <c r="S8" s="10">
        <v>76</v>
      </c>
      <c r="T8" s="10">
        <v>48</v>
      </c>
      <c r="U8" s="10">
        <v>0</v>
      </c>
      <c r="V8" s="10">
        <v>8</v>
      </c>
      <c r="W8" s="10">
        <v>3</v>
      </c>
    </row>
    <row r="9" spans="1:26" ht="121.5">
      <c r="A9" s="2" t="s">
        <v>46</v>
      </c>
      <c r="B9" s="2" t="s">
        <v>47</v>
      </c>
      <c r="C9">
        <v>1</v>
      </c>
      <c r="D9" s="5">
        <v>45114</v>
      </c>
      <c r="E9">
        <v>714</v>
      </c>
      <c r="F9">
        <v>43</v>
      </c>
      <c r="G9">
        <v>58149378</v>
      </c>
      <c r="H9" t="str">
        <f t="shared" si="0"/>
        <v>no</v>
      </c>
      <c r="I9">
        <v>25</v>
      </c>
      <c r="J9">
        <v>89</v>
      </c>
      <c r="K9">
        <v>30</v>
      </c>
      <c r="L9">
        <v>13</v>
      </c>
      <c r="M9">
        <v>194</v>
      </c>
      <c r="N9">
        <v>100</v>
      </c>
      <c r="O9" t="s">
        <v>32</v>
      </c>
      <c r="P9" t="s">
        <v>26</v>
      </c>
      <c r="Q9" s="10">
        <v>67</v>
      </c>
      <c r="R9" s="10">
        <v>26</v>
      </c>
      <c r="S9" s="10">
        <v>71</v>
      </c>
      <c r="T9" s="10">
        <v>37</v>
      </c>
      <c r="U9" s="10">
        <v>0</v>
      </c>
      <c r="V9" s="10">
        <v>11</v>
      </c>
      <c r="W9" s="10">
        <v>4</v>
      </c>
    </row>
    <row r="10" spans="1:26">
      <c r="A10" s="2" t="s">
        <v>48</v>
      </c>
      <c r="B10" s="2" t="s">
        <v>49</v>
      </c>
      <c r="C10">
        <v>1</v>
      </c>
      <c r="D10" s="5">
        <v>45061</v>
      </c>
      <c r="E10">
        <v>1096</v>
      </c>
      <c r="F10">
        <v>83</v>
      </c>
      <c r="G10">
        <v>95217315</v>
      </c>
      <c r="H10" t="str">
        <f t="shared" si="0"/>
        <v>no</v>
      </c>
      <c r="I10">
        <v>60</v>
      </c>
      <c r="J10">
        <v>210</v>
      </c>
      <c r="K10">
        <v>48</v>
      </c>
      <c r="L10">
        <v>11</v>
      </c>
      <c r="M10">
        <v>953</v>
      </c>
      <c r="N10">
        <v>130</v>
      </c>
      <c r="O10" t="s">
        <v>29</v>
      </c>
      <c r="P10" t="s">
        <v>41</v>
      </c>
      <c r="Q10" s="10">
        <v>85</v>
      </c>
      <c r="R10" s="10">
        <v>22</v>
      </c>
      <c r="S10" s="10">
        <v>62</v>
      </c>
      <c r="T10" s="10">
        <v>12</v>
      </c>
      <c r="U10" s="10">
        <v>0</v>
      </c>
      <c r="V10" s="10">
        <v>28</v>
      </c>
      <c r="W10" s="10">
        <v>9</v>
      </c>
    </row>
    <row r="11" spans="1:26" ht="30.75">
      <c r="A11" s="2" t="s">
        <v>48</v>
      </c>
      <c r="B11" s="2" t="s">
        <v>50</v>
      </c>
      <c r="C11">
        <v>2</v>
      </c>
      <c r="D11" s="5">
        <v>45002</v>
      </c>
      <c r="E11">
        <v>2953</v>
      </c>
      <c r="F11">
        <v>44</v>
      </c>
      <c r="G11">
        <v>553634067</v>
      </c>
      <c r="H11" t="str">
        <f t="shared" si="0"/>
        <v>yes</v>
      </c>
      <c r="I11">
        <v>49</v>
      </c>
      <c r="J11">
        <v>110</v>
      </c>
      <c r="K11">
        <v>66</v>
      </c>
      <c r="L11">
        <v>13</v>
      </c>
      <c r="M11">
        <v>339</v>
      </c>
      <c r="N11">
        <v>170</v>
      </c>
      <c r="O11" t="s">
        <v>51</v>
      </c>
      <c r="P11" t="s">
        <v>41</v>
      </c>
      <c r="Q11" s="10">
        <v>81</v>
      </c>
      <c r="R11" s="10">
        <v>56</v>
      </c>
      <c r="S11" s="10">
        <v>48</v>
      </c>
      <c r="T11" s="10">
        <v>21</v>
      </c>
      <c r="U11" s="10">
        <v>0</v>
      </c>
      <c r="V11" s="10">
        <v>8</v>
      </c>
      <c r="W11" s="10">
        <v>33</v>
      </c>
    </row>
    <row r="12" spans="1:26">
      <c r="A12" s="2" t="s">
        <v>48</v>
      </c>
      <c r="B12" s="2" t="s">
        <v>52</v>
      </c>
      <c r="C12">
        <v>2</v>
      </c>
      <c r="D12" s="5">
        <v>45033</v>
      </c>
      <c r="E12">
        <v>2876</v>
      </c>
      <c r="F12">
        <v>40</v>
      </c>
      <c r="G12">
        <v>505671438</v>
      </c>
      <c r="H12" t="str">
        <f t="shared" si="0"/>
        <v>yes</v>
      </c>
      <c r="I12">
        <v>41</v>
      </c>
      <c r="J12">
        <v>205</v>
      </c>
      <c r="K12">
        <v>54</v>
      </c>
      <c r="L12">
        <v>12</v>
      </c>
      <c r="M12">
        <v>251</v>
      </c>
      <c r="N12">
        <v>83</v>
      </c>
      <c r="O12" t="s">
        <v>53</v>
      </c>
      <c r="P12" t="s">
        <v>41</v>
      </c>
      <c r="Q12" s="10">
        <v>57</v>
      </c>
      <c r="R12" s="10">
        <v>56</v>
      </c>
      <c r="S12" s="10">
        <v>72</v>
      </c>
      <c r="T12" s="10">
        <v>23</v>
      </c>
      <c r="U12" s="10">
        <v>0</v>
      </c>
      <c r="V12" s="10">
        <v>27</v>
      </c>
      <c r="W12" s="10">
        <v>5</v>
      </c>
    </row>
    <row r="13" spans="1:26">
      <c r="A13" s="2" t="s">
        <v>48</v>
      </c>
      <c r="B13" s="2" t="s">
        <v>54</v>
      </c>
      <c r="C13">
        <v>1</v>
      </c>
      <c r="D13" s="5">
        <v>45114</v>
      </c>
      <c r="E13">
        <v>422</v>
      </c>
      <c r="F13">
        <v>55</v>
      </c>
      <c r="G13">
        <v>58255150</v>
      </c>
      <c r="H13" t="str">
        <f t="shared" si="0"/>
        <v>no</v>
      </c>
      <c r="I13">
        <v>37</v>
      </c>
      <c r="J13">
        <v>202</v>
      </c>
      <c r="K13">
        <v>21</v>
      </c>
      <c r="L13">
        <v>5</v>
      </c>
      <c r="M13">
        <v>168</v>
      </c>
      <c r="N13">
        <v>150</v>
      </c>
      <c r="O13" t="s">
        <v>32</v>
      </c>
      <c r="P13" t="s">
        <v>41</v>
      </c>
      <c r="Q13" s="10">
        <v>78</v>
      </c>
      <c r="R13" s="10">
        <v>52</v>
      </c>
      <c r="S13" s="10">
        <v>82</v>
      </c>
      <c r="T13" s="10">
        <v>18</v>
      </c>
      <c r="U13" s="10">
        <v>0</v>
      </c>
      <c r="V13" s="10">
        <v>15</v>
      </c>
      <c r="W13" s="10">
        <v>7</v>
      </c>
    </row>
    <row r="14" spans="1:26">
      <c r="A14" s="2" t="s">
        <v>55</v>
      </c>
      <c r="B14" s="2" t="s">
        <v>56</v>
      </c>
      <c r="C14">
        <v>1</v>
      </c>
      <c r="D14" s="5">
        <v>44938</v>
      </c>
      <c r="E14">
        <v>12211</v>
      </c>
      <c r="F14">
        <v>115</v>
      </c>
      <c r="G14">
        <v>1316855716</v>
      </c>
      <c r="H14" t="str">
        <f t="shared" si="0"/>
        <v>yes</v>
      </c>
      <c r="I14">
        <v>300</v>
      </c>
      <c r="J14">
        <v>215</v>
      </c>
      <c r="K14">
        <v>745</v>
      </c>
      <c r="L14">
        <v>58</v>
      </c>
      <c r="M14" s="1">
        <v>1021</v>
      </c>
      <c r="N14">
        <v>118</v>
      </c>
      <c r="P14" t="s">
        <v>26</v>
      </c>
      <c r="Q14" s="10">
        <v>71</v>
      </c>
      <c r="R14" s="10">
        <v>65</v>
      </c>
      <c r="S14" s="10">
        <v>68</v>
      </c>
      <c r="T14" s="10">
        <v>6</v>
      </c>
      <c r="U14" s="10">
        <v>0</v>
      </c>
      <c r="V14" s="10">
        <v>3</v>
      </c>
      <c r="W14" s="10">
        <v>7</v>
      </c>
    </row>
    <row r="15" spans="1:26">
      <c r="A15" s="2" t="s">
        <v>57</v>
      </c>
      <c r="B15" s="2" t="s">
        <v>58</v>
      </c>
      <c r="C15">
        <v>1</v>
      </c>
      <c r="D15" s="5">
        <v>45030</v>
      </c>
      <c r="E15">
        <v>3528</v>
      </c>
      <c r="F15">
        <v>98</v>
      </c>
      <c r="G15">
        <v>387570742</v>
      </c>
      <c r="H15" t="str">
        <f t="shared" si="0"/>
        <v>yes</v>
      </c>
      <c r="I15">
        <v>80</v>
      </c>
      <c r="J15">
        <v>156</v>
      </c>
      <c r="K15">
        <v>182</v>
      </c>
      <c r="L15">
        <v>24</v>
      </c>
      <c r="M15" s="1">
        <v>1281</v>
      </c>
      <c r="N15">
        <v>130</v>
      </c>
      <c r="O15" t="s">
        <v>51</v>
      </c>
      <c r="P15" t="s">
        <v>41</v>
      </c>
      <c r="Q15" s="10">
        <v>51</v>
      </c>
      <c r="R15" s="10">
        <v>32</v>
      </c>
      <c r="S15" s="10">
        <v>43</v>
      </c>
      <c r="T15" s="10">
        <v>83</v>
      </c>
      <c r="U15" s="10">
        <v>0</v>
      </c>
      <c r="V15" s="10">
        <v>9</v>
      </c>
      <c r="W15" s="10">
        <v>3</v>
      </c>
    </row>
    <row r="16" spans="1:26">
      <c r="A16" s="2" t="s">
        <v>59</v>
      </c>
      <c r="B16" s="2" t="s">
        <v>60</v>
      </c>
      <c r="C16">
        <v>1</v>
      </c>
      <c r="D16" s="5">
        <v>44651</v>
      </c>
      <c r="E16">
        <v>23575</v>
      </c>
      <c r="F16">
        <v>130</v>
      </c>
      <c r="G16">
        <v>2513188493</v>
      </c>
      <c r="H16" t="str">
        <f t="shared" si="0"/>
        <v>yes</v>
      </c>
      <c r="I16">
        <v>403</v>
      </c>
      <c r="J16">
        <v>198</v>
      </c>
      <c r="K16">
        <v>863</v>
      </c>
      <c r="L16">
        <v>46</v>
      </c>
      <c r="N16">
        <v>174</v>
      </c>
      <c r="O16" t="s">
        <v>53</v>
      </c>
      <c r="P16" t="s">
        <v>41</v>
      </c>
      <c r="Q16" s="10">
        <v>52</v>
      </c>
      <c r="R16" s="10">
        <v>66</v>
      </c>
      <c r="S16" s="10">
        <v>73</v>
      </c>
      <c r="T16" s="10">
        <v>34</v>
      </c>
      <c r="U16" s="10">
        <v>0</v>
      </c>
      <c r="V16" s="10">
        <v>31</v>
      </c>
      <c r="W16" s="10">
        <v>6</v>
      </c>
    </row>
    <row r="17" spans="1:23">
      <c r="A17" s="2" t="s">
        <v>61</v>
      </c>
      <c r="B17" s="2" t="s">
        <v>62</v>
      </c>
      <c r="C17">
        <v>1</v>
      </c>
      <c r="D17" s="5">
        <v>44903</v>
      </c>
      <c r="E17">
        <v>8109</v>
      </c>
      <c r="F17">
        <v>77</v>
      </c>
      <c r="G17">
        <v>1163093654</v>
      </c>
      <c r="H17" t="str">
        <f t="shared" si="0"/>
        <v>yes</v>
      </c>
      <c r="I17">
        <v>183</v>
      </c>
      <c r="J17">
        <v>162</v>
      </c>
      <c r="K17">
        <v>161</v>
      </c>
      <c r="L17">
        <v>12</v>
      </c>
      <c r="M17">
        <v>187</v>
      </c>
      <c r="N17">
        <v>89</v>
      </c>
      <c r="O17" t="s">
        <v>63</v>
      </c>
      <c r="P17" t="s">
        <v>26</v>
      </c>
      <c r="Q17" s="10">
        <v>64</v>
      </c>
      <c r="R17" s="10">
        <v>43</v>
      </c>
      <c r="S17" s="10">
        <v>73</v>
      </c>
      <c r="T17" s="10">
        <v>5</v>
      </c>
      <c r="U17" s="10">
        <v>17</v>
      </c>
      <c r="V17" s="10">
        <v>16</v>
      </c>
      <c r="W17" s="10">
        <v>4</v>
      </c>
    </row>
    <row r="18" spans="1:23" ht="30.75">
      <c r="A18" s="2" t="s">
        <v>64</v>
      </c>
      <c r="B18" s="2" t="s">
        <v>65</v>
      </c>
      <c r="C18">
        <v>1</v>
      </c>
      <c r="D18" s="5">
        <v>44981</v>
      </c>
      <c r="E18">
        <v>2942</v>
      </c>
      <c r="F18">
        <v>77</v>
      </c>
      <c r="G18">
        <v>496795686</v>
      </c>
      <c r="H18" t="str">
        <f t="shared" si="0"/>
        <v>yes</v>
      </c>
      <c r="I18">
        <v>91</v>
      </c>
      <c r="J18">
        <v>212</v>
      </c>
      <c r="K18">
        <v>78</v>
      </c>
      <c r="L18">
        <v>6</v>
      </c>
      <c r="M18">
        <v>0</v>
      </c>
      <c r="N18">
        <v>120</v>
      </c>
      <c r="O18" t="s">
        <v>25</v>
      </c>
      <c r="P18" t="s">
        <v>41</v>
      </c>
      <c r="Q18" s="10">
        <v>78</v>
      </c>
      <c r="R18" s="10">
        <v>76</v>
      </c>
      <c r="S18" s="10">
        <v>59</v>
      </c>
      <c r="T18" s="10">
        <v>43</v>
      </c>
      <c r="U18" s="10">
        <v>0</v>
      </c>
      <c r="V18" s="10">
        <v>34</v>
      </c>
      <c r="W18" s="10">
        <v>3</v>
      </c>
    </row>
    <row r="19" spans="1:23" ht="91.5">
      <c r="A19" s="2" t="s">
        <v>66</v>
      </c>
      <c r="B19" s="2" t="s">
        <v>67</v>
      </c>
      <c r="C19">
        <v>1</v>
      </c>
      <c r="D19" s="5">
        <v>45120</v>
      </c>
      <c r="E19">
        <v>873</v>
      </c>
      <c r="F19">
        <v>104</v>
      </c>
      <c r="G19">
        <v>30546883</v>
      </c>
      <c r="H19" t="str">
        <f t="shared" si="0"/>
        <v>no</v>
      </c>
      <c r="I19">
        <v>80</v>
      </c>
      <c r="J19">
        <v>227</v>
      </c>
      <c r="K19">
        <v>95</v>
      </c>
      <c r="L19">
        <v>24</v>
      </c>
      <c r="M19" s="1">
        <v>1173</v>
      </c>
      <c r="N19">
        <v>78</v>
      </c>
      <c r="P19" t="s">
        <v>26</v>
      </c>
      <c r="Q19" s="10">
        <v>44</v>
      </c>
      <c r="R19" s="10">
        <v>14</v>
      </c>
      <c r="S19" s="10">
        <v>9</v>
      </c>
      <c r="T19" s="10">
        <v>96</v>
      </c>
      <c r="U19" s="10">
        <v>0</v>
      </c>
      <c r="V19" s="10">
        <v>10</v>
      </c>
      <c r="W19" s="10">
        <v>3</v>
      </c>
    </row>
    <row r="20" spans="1:23" ht="30.75">
      <c r="A20" s="2" t="s">
        <v>68</v>
      </c>
      <c r="B20" s="2" t="s">
        <v>69</v>
      </c>
      <c r="C20">
        <v>2</v>
      </c>
      <c r="D20" s="5">
        <v>45016</v>
      </c>
      <c r="E20">
        <v>2610</v>
      </c>
      <c r="F20">
        <v>40</v>
      </c>
      <c r="G20">
        <v>335222234</v>
      </c>
      <c r="H20" t="str">
        <f t="shared" si="0"/>
        <v>yes</v>
      </c>
      <c r="I20">
        <v>43</v>
      </c>
      <c r="J20">
        <v>100</v>
      </c>
      <c r="K20">
        <v>54</v>
      </c>
      <c r="L20">
        <v>14</v>
      </c>
      <c r="M20">
        <v>187</v>
      </c>
      <c r="N20">
        <v>100</v>
      </c>
      <c r="O20" t="s">
        <v>25</v>
      </c>
      <c r="P20" t="s">
        <v>26</v>
      </c>
      <c r="Q20" s="10">
        <v>86</v>
      </c>
      <c r="R20" s="10">
        <v>67</v>
      </c>
      <c r="S20" s="10">
        <v>66</v>
      </c>
      <c r="T20" s="10">
        <v>14</v>
      </c>
      <c r="U20" s="10">
        <v>0</v>
      </c>
      <c r="V20" s="10">
        <v>12</v>
      </c>
      <c r="W20" s="10">
        <v>16</v>
      </c>
    </row>
    <row r="21" spans="1:23" ht="30.75">
      <c r="A21" s="2" t="s">
        <v>70</v>
      </c>
      <c r="B21" s="2" t="s">
        <v>71</v>
      </c>
      <c r="C21">
        <v>1</v>
      </c>
      <c r="D21" s="5">
        <v>45009</v>
      </c>
      <c r="E21">
        <v>596</v>
      </c>
      <c r="F21">
        <v>68</v>
      </c>
      <c r="G21">
        <v>363369738</v>
      </c>
      <c r="H21" t="str">
        <f t="shared" si="0"/>
        <v>yes</v>
      </c>
      <c r="I21">
        <v>8</v>
      </c>
      <c r="J21">
        <v>104</v>
      </c>
      <c r="K21">
        <v>23</v>
      </c>
      <c r="L21">
        <v>2</v>
      </c>
      <c r="M21">
        <v>29</v>
      </c>
      <c r="N21">
        <v>120</v>
      </c>
      <c r="O21" t="s">
        <v>72</v>
      </c>
      <c r="P21" t="s">
        <v>26</v>
      </c>
      <c r="Q21" s="10">
        <v>63</v>
      </c>
      <c r="R21" s="10">
        <v>36</v>
      </c>
      <c r="S21" s="10">
        <v>73</v>
      </c>
      <c r="T21" s="10">
        <v>0</v>
      </c>
      <c r="U21" s="10">
        <v>0</v>
      </c>
      <c r="V21" s="10">
        <v>36</v>
      </c>
      <c r="W21" s="10">
        <v>4</v>
      </c>
    </row>
    <row r="22" spans="1:23">
      <c r="A22" s="2" t="s">
        <v>73</v>
      </c>
      <c r="B22" s="2" t="s">
        <v>74</v>
      </c>
      <c r="C22">
        <v>3</v>
      </c>
      <c r="D22" s="5">
        <v>45099</v>
      </c>
      <c r="E22">
        <v>332</v>
      </c>
      <c r="F22">
        <v>26</v>
      </c>
      <c r="G22">
        <v>86444842</v>
      </c>
      <c r="H22" t="str">
        <f t="shared" si="0"/>
        <v>no</v>
      </c>
      <c r="I22">
        <v>11</v>
      </c>
      <c r="J22">
        <v>163</v>
      </c>
      <c r="K22">
        <v>10</v>
      </c>
      <c r="L22">
        <v>4</v>
      </c>
      <c r="M22">
        <v>0</v>
      </c>
      <c r="N22">
        <v>140</v>
      </c>
      <c r="O22" t="s">
        <v>32</v>
      </c>
      <c r="P22" t="s">
        <v>41</v>
      </c>
      <c r="Q22" s="10">
        <v>65</v>
      </c>
      <c r="R22" s="10">
        <v>87</v>
      </c>
      <c r="S22" s="10">
        <v>74</v>
      </c>
      <c r="T22" s="10">
        <v>22</v>
      </c>
      <c r="U22" s="10">
        <v>0</v>
      </c>
      <c r="V22" s="10">
        <v>42</v>
      </c>
      <c r="W22" s="10">
        <v>4</v>
      </c>
    </row>
    <row r="23" spans="1:23" ht="60.75">
      <c r="A23" s="2" t="s">
        <v>75</v>
      </c>
      <c r="B23" s="2" t="s">
        <v>76</v>
      </c>
      <c r="C23">
        <v>1</v>
      </c>
      <c r="D23" s="5">
        <v>45114</v>
      </c>
      <c r="E23">
        <v>516</v>
      </c>
      <c r="F23">
        <v>38</v>
      </c>
      <c r="G23">
        <v>52135248</v>
      </c>
      <c r="H23" t="str">
        <f t="shared" si="0"/>
        <v>no</v>
      </c>
      <c r="I23">
        <v>73</v>
      </c>
      <c r="J23">
        <v>119</v>
      </c>
      <c r="K23">
        <v>42</v>
      </c>
      <c r="L23">
        <v>1</v>
      </c>
      <c r="M23">
        <v>150</v>
      </c>
      <c r="N23">
        <v>123</v>
      </c>
      <c r="O23" t="s">
        <v>53</v>
      </c>
      <c r="P23" t="s">
        <v>26</v>
      </c>
      <c r="Q23" s="10">
        <v>69</v>
      </c>
      <c r="R23" s="10">
        <v>82</v>
      </c>
      <c r="S23" s="10">
        <v>76</v>
      </c>
      <c r="T23" s="10">
        <v>6</v>
      </c>
      <c r="U23" s="10">
        <v>0</v>
      </c>
      <c r="V23" s="10">
        <v>6</v>
      </c>
      <c r="W23" s="10">
        <v>3</v>
      </c>
    </row>
    <row r="24" spans="1:23" ht="30.75">
      <c r="A24" s="2" t="s">
        <v>77</v>
      </c>
      <c r="B24" s="2" t="s">
        <v>78</v>
      </c>
      <c r="C24">
        <v>1</v>
      </c>
      <c r="D24" s="5">
        <v>41275</v>
      </c>
      <c r="E24">
        <v>12859</v>
      </c>
      <c r="F24">
        <v>110</v>
      </c>
      <c r="G24">
        <v>1297026226</v>
      </c>
      <c r="H24" t="str">
        <f t="shared" si="0"/>
        <v>yes</v>
      </c>
      <c r="I24">
        <v>24</v>
      </c>
      <c r="J24">
        <v>98</v>
      </c>
      <c r="K24">
        <v>582</v>
      </c>
      <c r="L24">
        <v>2</v>
      </c>
      <c r="M24">
        <v>73</v>
      </c>
      <c r="N24">
        <v>135</v>
      </c>
      <c r="P24" t="s">
        <v>41</v>
      </c>
      <c r="Q24" s="10">
        <v>48</v>
      </c>
      <c r="R24" s="10">
        <v>44</v>
      </c>
      <c r="S24" s="10">
        <v>42</v>
      </c>
      <c r="T24" s="10">
        <v>12</v>
      </c>
      <c r="U24" s="10">
        <v>2</v>
      </c>
      <c r="V24" s="10">
        <v>11</v>
      </c>
      <c r="W24" s="10">
        <v>3</v>
      </c>
    </row>
    <row r="25" spans="1:23" ht="60.75">
      <c r="A25" s="2" t="s">
        <v>79</v>
      </c>
      <c r="B25" s="2" t="s">
        <v>80</v>
      </c>
      <c r="C25">
        <v>2</v>
      </c>
      <c r="D25" s="5">
        <v>45077</v>
      </c>
      <c r="E25">
        <v>1313</v>
      </c>
      <c r="F25">
        <v>40</v>
      </c>
      <c r="G25">
        <v>200647221</v>
      </c>
      <c r="H25" t="str">
        <f t="shared" si="0"/>
        <v>yes</v>
      </c>
      <c r="I25">
        <v>17</v>
      </c>
      <c r="J25">
        <v>152</v>
      </c>
      <c r="K25">
        <v>32</v>
      </c>
      <c r="L25">
        <v>11</v>
      </c>
      <c r="M25">
        <v>139</v>
      </c>
      <c r="N25">
        <v>133</v>
      </c>
      <c r="O25" t="s">
        <v>32</v>
      </c>
      <c r="P25" t="s">
        <v>41</v>
      </c>
      <c r="Q25" s="10">
        <v>85</v>
      </c>
      <c r="R25" s="10">
        <v>81</v>
      </c>
      <c r="S25" s="10">
        <v>67</v>
      </c>
      <c r="T25" s="10">
        <v>26</v>
      </c>
      <c r="U25" s="10">
        <v>0</v>
      </c>
      <c r="V25" s="10">
        <v>12</v>
      </c>
      <c r="W25" s="10">
        <v>5</v>
      </c>
    </row>
    <row r="26" spans="1:23" ht="121.5">
      <c r="A26" s="2" t="s">
        <v>81</v>
      </c>
      <c r="B26" s="2" t="s">
        <v>82</v>
      </c>
      <c r="C26">
        <v>3</v>
      </c>
      <c r="D26" s="5">
        <v>45079</v>
      </c>
      <c r="E26">
        <v>1945</v>
      </c>
      <c r="F26">
        <v>87</v>
      </c>
      <c r="G26">
        <v>115364561</v>
      </c>
      <c r="H26" t="str">
        <f t="shared" si="0"/>
        <v>no</v>
      </c>
      <c r="I26">
        <v>74</v>
      </c>
      <c r="J26">
        <v>182</v>
      </c>
      <c r="K26">
        <v>87</v>
      </c>
      <c r="L26">
        <v>14</v>
      </c>
      <c r="M26" s="1">
        <v>1093</v>
      </c>
      <c r="N26">
        <v>99</v>
      </c>
      <c r="O26" t="s">
        <v>29</v>
      </c>
      <c r="P26" t="s">
        <v>26</v>
      </c>
      <c r="Q26" s="10">
        <v>85</v>
      </c>
      <c r="R26" s="10">
        <v>83</v>
      </c>
      <c r="S26" s="10">
        <v>68</v>
      </c>
      <c r="T26" s="10">
        <v>7</v>
      </c>
      <c r="U26" s="10">
        <v>0</v>
      </c>
      <c r="V26" s="10">
        <v>36</v>
      </c>
      <c r="W26" s="10">
        <v>20</v>
      </c>
    </row>
    <row r="27" spans="1:23" ht="30.75">
      <c r="A27" s="2" t="s">
        <v>83</v>
      </c>
      <c r="B27" s="2" t="s">
        <v>84</v>
      </c>
      <c r="C27">
        <v>1</v>
      </c>
      <c r="D27" s="5">
        <v>45099</v>
      </c>
      <c r="E27">
        <v>250</v>
      </c>
      <c r="F27">
        <v>26</v>
      </c>
      <c r="G27">
        <v>78300654</v>
      </c>
      <c r="H27" t="str">
        <f t="shared" si="0"/>
        <v>no</v>
      </c>
      <c r="I27">
        <v>16</v>
      </c>
      <c r="J27">
        <v>149</v>
      </c>
      <c r="K27">
        <v>10</v>
      </c>
      <c r="L27">
        <v>5</v>
      </c>
      <c r="M27">
        <v>168</v>
      </c>
      <c r="N27">
        <v>130</v>
      </c>
      <c r="O27" t="s">
        <v>72</v>
      </c>
      <c r="P27" t="s">
        <v>41</v>
      </c>
      <c r="Q27" s="10">
        <v>79</v>
      </c>
      <c r="R27" s="10">
        <v>96</v>
      </c>
      <c r="S27" s="10">
        <v>86</v>
      </c>
      <c r="T27" s="10">
        <v>9</v>
      </c>
      <c r="U27" s="10">
        <v>0</v>
      </c>
      <c r="V27" s="10">
        <v>9</v>
      </c>
      <c r="W27" s="10">
        <v>9</v>
      </c>
    </row>
    <row r="28" spans="1:23" ht="45.75">
      <c r="A28" s="2" t="s">
        <v>85</v>
      </c>
      <c r="B28" s="2" t="s">
        <v>86</v>
      </c>
      <c r="C28">
        <v>2</v>
      </c>
      <c r="D28" s="5">
        <v>44645</v>
      </c>
      <c r="E28">
        <v>7112</v>
      </c>
      <c r="F28">
        <v>77</v>
      </c>
      <c r="G28">
        <v>899183384</v>
      </c>
      <c r="H28" t="str">
        <f t="shared" si="0"/>
        <v>yes</v>
      </c>
      <c r="I28">
        <v>202</v>
      </c>
      <c r="J28">
        <v>119</v>
      </c>
      <c r="K28">
        <v>318</v>
      </c>
      <c r="L28">
        <v>38</v>
      </c>
      <c r="M28">
        <v>96</v>
      </c>
      <c r="N28">
        <v>107</v>
      </c>
      <c r="O28" t="s">
        <v>25</v>
      </c>
      <c r="P28" t="s">
        <v>26</v>
      </c>
      <c r="Q28" s="10">
        <v>80</v>
      </c>
      <c r="R28" s="10">
        <v>82</v>
      </c>
      <c r="S28" s="10">
        <v>80</v>
      </c>
      <c r="T28" s="10">
        <v>43</v>
      </c>
      <c r="U28" s="10">
        <v>0</v>
      </c>
      <c r="V28" s="10">
        <v>14</v>
      </c>
      <c r="W28" s="10">
        <v>4</v>
      </c>
    </row>
    <row r="29" spans="1:23" ht="30.75">
      <c r="A29" s="2" t="s">
        <v>87</v>
      </c>
      <c r="B29" s="2" t="s">
        <v>88</v>
      </c>
      <c r="C29">
        <v>2</v>
      </c>
      <c r="D29" s="5">
        <v>45106</v>
      </c>
      <c r="E29">
        <v>859</v>
      </c>
      <c r="F29">
        <v>40</v>
      </c>
      <c r="G29">
        <v>61245289</v>
      </c>
      <c r="H29" t="str">
        <f t="shared" si="0"/>
        <v>no</v>
      </c>
      <c r="I29">
        <v>35</v>
      </c>
      <c r="J29">
        <v>109</v>
      </c>
      <c r="K29">
        <v>41</v>
      </c>
      <c r="L29">
        <v>14</v>
      </c>
      <c r="M29">
        <v>211</v>
      </c>
      <c r="N29">
        <v>122</v>
      </c>
      <c r="O29" t="s">
        <v>53</v>
      </c>
      <c r="P29" t="s">
        <v>41</v>
      </c>
      <c r="Q29" s="10">
        <v>81</v>
      </c>
      <c r="R29" s="10">
        <v>74</v>
      </c>
      <c r="S29" s="10">
        <v>71</v>
      </c>
      <c r="T29" s="10">
        <v>14</v>
      </c>
      <c r="U29" s="10">
        <v>0</v>
      </c>
      <c r="V29" s="10">
        <v>56</v>
      </c>
      <c r="W29" s="10">
        <v>4</v>
      </c>
    </row>
    <row r="30" spans="1:23" ht="30.75">
      <c r="A30" s="2" t="s">
        <v>89</v>
      </c>
      <c r="B30" s="2" t="s">
        <v>90</v>
      </c>
      <c r="C30">
        <v>1</v>
      </c>
      <c r="D30" s="5">
        <v>44957</v>
      </c>
      <c r="E30">
        <v>2420</v>
      </c>
      <c r="F30">
        <v>19</v>
      </c>
      <c r="G30">
        <v>429829812</v>
      </c>
      <c r="H30" t="str">
        <f t="shared" si="0"/>
        <v>yes</v>
      </c>
      <c r="I30">
        <v>52</v>
      </c>
      <c r="J30">
        <v>107</v>
      </c>
      <c r="K30">
        <v>15</v>
      </c>
      <c r="L30">
        <v>1</v>
      </c>
      <c r="M30">
        <v>325</v>
      </c>
      <c r="N30">
        <v>204</v>
      </c>
      <c r="O30" t="s">
        <v>53</v>
      </c>
      <c r="P30" t="s">
        <v>26</v>
      </c>
      <c r="Q30" s="10">
        <v>52</v>
      </c>
      <c r="R30" s="10">
        <v>52</v>
      </c>
      <c r="S30" s="10">
        <v>68</v>
      </c>
      <c r="T30" s="10">
        <v>46</v>
      </c>
      <c r="U30" s="10">
        <v>0</v>
      </c>
      <c r="V30" s="10">
        <v>15</v>
      </c>
      <c r="W30" s="10">
        <v>4</v>
      </c>
    </row>
    <row r="31" spans="1:23" ht="106.5">
      <c r="A31" s="2" t="s">
        <v>91</v>
      </c>
      <c r="B31" s="2" t="s">
        <v>92</v>
      </c>
      <c r="C31">
        <v>1</v>
      </c>
      <c r="D31" s="5">
        <v>45071</v>
      </c>
      <c r="E31">
        <v>2988</v>
      </c>
      <c r="F31">
        <v>101</v>
      </c>
      <c r="G31">
        <v>127408954</v>
      </c>
      <c r="H31" t="str">
        <f t="shared" si="0"/>
        <v>no</v>
      </c>
      <c r="I31">
        <v>0</v>
      </c>
      <c r="J31">
        <v>0</v>
      </c>
      <c r="K31">
        <v>143</v>
      </c>
      <c r="L31">
        <v>38</v>
      </c>
      <c r="M31">
        <v>0</v>
      </c>
      <c r="N31">
        <v>110</v>
      </c>
      <c r="O31" t="s">
        <v>25</v>
      </c>
      <c r="P31" t="s">
        <v>41</v>
      </c>
      <c r="Q31" s="10">
        <v>67</v>
      </c>
      <c r="R31" s="10">
        <v>78</v>
      </c>
      <c r="S31" s="10">
        <v>85</v>
      </c>
      <c r="T31" s="10">
        <v>2</v>
      </c>
      <c r="U31" s="10">
        <v>0</v>
      </c>
      <c r="V31" s="10">
        <v>33</v>
      </c>
      <c r="W31" s="10">
        <v>5</v>
      </c>
    </row>
    <row r="32" spans="1:23">
      <c r="A32" s="2" t="s">
        <v>93</v>
      </c>
      <c r="B32" s="2" t="s">
        <v>94</v>
      </c>
      <c r="C32">
        <v>1</v>
      </c>
      <c r="D32" s="5">
        <v>45120</v>
      </c>
      <c r="E32">
        <v>864</v>
      </c>
      <c r="F32">
        <v>78</v>
      </c>
      <c r="G32">
        <v>22581161</v>
      </c>
      <c r="H32" t="str">
        <f t="shared" si="0"/>
        <v>no</v>
      </c>
      <c r="I32">
        <v>71</v>
      </c>
      <c r="J32">
        <v>135</v>
      </c>
      <c r="K32">
        <v>50</v>
      </c>
      <c r="L32">
        <v>1</v>
      </c>
      <c r="M32">
        <v>294</v>
      </c>
      <c r="N32">
        <v>126</v>
      </c>
      <c r="O32" t="s">
        <v>32</v>
      </c>
      <c r="P32" t="s">
        <v>41</v>
      </c>
      <c r="Q32" s="10">
        <v>74</v>
      </c>
      <c r="R32" s="10">
        <v>35</v>
      </c>
      <c r="S32" s="10">
        <v>84</v>
      </c>
      <c r="T32" s="10">
        <v>0</v>
      </c>
      <c r="U32" s="10">
        <v>0</v>
      </c>
      <c r="V32" s="10">
        <v>11</v>
      </c>
      <c r="W32" s="10">
        <v>6</v>
      </c>
    </row>
    <row r="33" spans="1:23">
      <c r="A33" s="2" t="s">
        <v>93</v>
      </c>
      <c r="B33" s="2" t="s">
        <v>95</v>
      </c>
      <c r="C33">
        <v>2</v>
      </c>
      <c r="D33" s="5">
        <v>45105</v>
      </c>
      <c r="E33">
        <v>266</v>
      </c>
      <c r="F33">
        <v>34</v>
      </c>
      <c r="G33">
        <v>52294266</v>
      </c>
      <c r="H33" t="str">
        <f t="shared" si="0"/>
        <v>no</v>
      </c>
      <c r="I33">
        <v>20</v>
      </c>
      <c r="J33">
        <v>185</v>
      </c>
      <c r="K33">
        <v>13</v>
      </c>
      <c r="L33">
        <v>8</v>
      </c>
      <c r="M33">
        <v>197</v>
      </c>
      <c r="N33">
        <v>168</v>
      </c>
      <c r="O33" t="s">
        <v>53</v>
      </c>
      <c r="P33" t="s">
        <v>26</v>
      </c>
      <c r="Q33" s="10">
        <v>56</v>
      </c>
      <c r="R33" s="10">
        <v>63</v>
      </c>
      <c r="S33" s="10">
        <v>87</v>
      </c>
      <c r="T33" s="10">
        <v>39</v>
      </c>
      <c r="U33" s="10">
        <v>0</v>
      </c>
      <c r="V33" s="10">
        <v>11</v>
      </c>
      <c r="W33" s="10">
        <v>5</v>
      </c>
    </row>
    <row r="34" spans="1:23">
      <c r="A34" s="2" t="s">
        <v>93</v>
      </c>
      <c r="B34" s="2" t="s">
        <v>96</v>
      </c>
      <c r="C34">
        <v>3</v>
      </c>
      <c r="D34" s="5">
        <v>44897</v>
      </c>
      <c r="E34">
        <v>6036</v>
      </c>
      <c r="F34">
        <v>88</v>
      </c>
      <c r="G34">
        <v>843957510</v>
      </c>
      <c r="H34" t="str">
        <f t="shared" si="0"/>
        <v>yes</v>
      </c>
      <c r="I34">
        <v>113</v>
      </c>
      <c r="J34">
        <v>149</v>
      </c>
      <c r="K34">
        <v>245</v>
      </c>
      <c r="L34">
        <v>23</v>
      </c>
      <c r="M34">
        <v>27</v>
      </c>
      <c r="N34">
        <v>98</v>
      </c>
      <c r="O34" t="s">
        <v>29</v>
      </c>
      <c r="P34" t="s">
        <v>41</v>
      </c>
      <c r="Q34" s="10">
        <v>71</v>
      </c>
      <c r="R34" s="10">
        <v>17</v>
      </c>
      <c r="S34" s="10">
        <v>61</v>
      </c>
      <c r="T34" s="10">
        <v>36</v>
      </c>
      <c r="U34" s="10">
        <v>0</v>
      </c>
      <c r="V34" s="10">
        <v>8</v>
      </c>
      <c r="W34" s="10">
        <v>5</v>
      </c>
    </row>
    <row r="35" spans="1:23">
      <c r="A35" s="2" t="s">
        <v>93</v>
      </c>
      <c r="B35" s="2" t="s">
        <v>97</v>
      </c>
      <c r="C35">
        <v>1</v>
      </c>
      <c r="D35" s="5">
        <v>44855</v>
      </c>
      <c r="E35">
        <v>9082</v>
      </c>
      <c r="F35">
        <v>56</v>
      </c>
      <c r="G35">
        <v>999748277</v>
      </c>
      <c r="H35" t="str">
        <f t="shared" si="0"/>
        <v>yes</v>
      </c>
      <c r="I35">
        <v>242</v>
      </c>
      <c r="J35">
        <v>142</v>
      </c>
      <c r="K35">
        <v>165</v>
      </c>
      <c r="L35">
        <v>9</v>
      </c>
      <c r="M35">
        <v>310</v>
      </c>
      <c r="N35">
        <v>97</v>
      </c>
      <c r="O35" t="s">
        <v>98</v>
      </c>
      <c r="P35" t="s">
        <v>26</v>
      </c>
      <c r="Q35" s="10">
        <v>64</v>
      </c>
      <c r="R35" s="10">
        <v>51</v>
      </c>
      <c r="S35" s="10">
        <v>63</v>
      </c>
      <c r="T35" s="10">
        <v>12</v>
      </c>
      <c r="U35" s="10">
        <v>0</v>
      </c>
      <c r="V35" s="10">
        <v>19</v>
      </c>
      <c r="W35" s="10">
        <v>5</v>
      </c>
    </row>
    <row r="36" spans="1:23">
      <c r="A36" s="2" t="s">
        <v>99</v>
      </c>
      <c r="B36" s="2" t="s">
        <v>100</v>
      </c>
      <c r="C36">
        <v>2</v>
      </c>
      <c r="D36" s="5">
        <v>44980</v>
      </c>
      <c r="E36">
        <v>4284</v>
      </c>
      <c r="F36">
        <v>49</v>
      </c>
      <c r="G36">
        <v>618990393</v>
      </c>
      <c r="H36" t="str">
        <f t="shared" si="0"/>
        <v>yes</v>
      </c>
      <c r="I36">
        <v>115</v>
      </c>
      <c r="J36">
        <v>123</v>
      </c>
      <c r="K36">
        <v>184</v>
      </c>
      <c r="L36">
        <v>18</v>
      </c>
      <c r="M36">
        <v>354</v>
      </c>
      <c r="N36">
        <v>180</v>
      </c>
      <c r="O36" t="s">
        <v>98</v>
      </c>
      <c r="P36" t="s">
        <v>41</v>
      </c>
      <c r="Q36" s="10">
        <v>72</v>
      </c>
      <c r="R36" s="10">
        <v>61</v>
      </c>
      <c r="S36" s="10">
        <v>63</v>
      </c>
      <c r="T36" s="10">
        <v>67</v>
      </c>
      <c r="U36" s="10">
        <v>0</v>
      </c>
      <c r="V36" s="10">
        <v>9</v>
      </c>
      <c r="W36" s="10">
        <v>28</v>
      </c>
    </row>
    <row r="37" spans="1:23" ht="30.75">
      <c r="A37" s="2" t="s">
        <v>99</v>
      </c>
      <c r="B37" s="2" t="s">
        <v>101</v>
      </c>
      <c r="C37">
        <v>8</v>
      </c>
      <c r="D37" s="5">
        <v>45078</v>
      </c>
      <c r="E37">
        <v>1150</v>
      </c>
      <c r="F37">
        <v>31</v>
      </c>
      <c r="G37">
        <v>123122413</v>
      </c>
      <c r="H37" t="str">
        <f t="shared" si="0"/>
        <v>no</v>
      </c>
      <c r="I37">
        <v>22</v>
      </c>
      <c r="J37">
        <v>33</v>
      </c>
      <c r="K37">
        <v>34</v>
      </c>
      <c r="L37">
        <v>7</v>
      </c>
      <c r="M37">
        <v>184</v>
      </c>
      <c r="N37">
        <v>120</v>
      </c>
      <c r="P37" t="s">
        <v>26</v>
      </c>
      <c r="Q37" s="10">
        <v>81</v>
      </c>
      <c r="R37" s="10">
        <v>63</v>
      </c>
      <c r="S37" s="10">
        <v>68</v>
      </c>
      <c r="T37" s="10">
        <v>11</v>
      </c>
      <c r="U37" s="10">
        <v>0</v>
      </c>
      <c r="V37" s="10">
        <v>11</v>
      </c>
      <c r="W37" s="10">
        <v>4</v>
      </c>
    </row>
    <row r="38" spans="1:23" ht="45.75">
      <c r="A38" s="2" t="s">
        <v>102</v>
      </c>
      <c r="B38" s="2" t="s">
        <v>103</v>
      </c>
      <c r="C38">
        <v>2</v>
      </c>
      <c r="D38" s="5">
        <v>45023</v>
      </c>
      <c r="E38">
        <v>672</v>
      </c>
      <c r="F38">
        <v>34</v>
      </c>
      <c r="G38">
        <v>188933502</v>
      </c>
      <c r="H38" t="str">
        <f t="shared" si="0"/>
        <v>no</v>
      </c>
      <c r="I38">
        <v>19</v>
      </c>
      <c r="J38">
        <v>108</v>
      </c>
      <c r="K38">
        <v>24</v>
      </c>
      <c r="L38">
        <v>9</v>
      </c>
      <c r="M38">
        <v>212</v>
      </c>
      <c r="N38">
        <v>150</v>
      </c>
      <c r="O38" t="s">
        <v>53</v>
      </c>
      <c r="P38" t="s">
        <v>26</v>
      </c>
      <c r="Q38" s="10">
        <v>61</v>
      </c>
      <c r="R38" s="10">
        <v>39</v>
      </c>
      <c r="S38" s="10">
        <v>73</v>
      </c>
      <c r="T38" s="10">
        <v>37</v>
      </c>
      <c r="U38" s="10">
        <v>0</v>
      </c>
      <c r="V38" s="10">
        <v>11</v>
      </c>
      <c r="W38" s="10">
        <v>3</v>
      </c>
    </row>
    <row r="39" spans="1:23" ht="30.75">
      <c r="A39" s="2" t="s">
        <v>102</v>
      </c>
      <c r="B39" s="2" t="s">
        <v>104</v>
      </c>
      <c r="C39">
        <v>1</v>
      </c>
      <c r="D39" s="5">
        <v>41640</v>
      </c>
      <c r="E39">
        <v>11434</v>
      </c>
      <c r="F39">
        <v>53</v>
      </c>
      <c r="G39">
        <v>1355959075</v>
      </c>
      <c r="H39" t="str">
        <f t="shared" si="0"/>
        <v>yes</v>
      </c>
      <c r="I39">
        <v>154</v>
      </c>
      <c r="J39">
        <v>123</v>
      </c>
      <c r="K39">
        <v>410</v>
      </c>
      <c r="L39">
        <v>2</v>
      </c>
      <c r="M39">
        <v>81</v>
      </c>
      <c r="N39">
        <v>96</v>
      </c>
      <c r="O39" t="s">
        <v>32</v>
      </c>
      <c r="P39" t="s">
        <v>26</v>
      </c>
      <c r="Q39" s="10">
        <v>75</v>
      </c>
      <c r="R39" s="10">
        <v>57</v>
      </c>
      <c r="S39" s="10">
        <v>68</v>
      </c>
      <c r="T39" s="10">
        <v>9</v>
      </c>
      <c r="U39" s="10">
        <v>0</v>
      </c>
      <c r="V39" s="10">
        <v>13</v>
      </c>
      <c r="W39" s="10">
        <v>6</v>
      </c>
    </row>
    <row r="40" spans="1:23" ht="30.75">
      <c r="A40" s="2" t="s">
        <v>105</v>
      </c>
      <c r="B40" s="2" t="s">
        <v>106</v>
      </c>
      <c r="C40">
        <v>1</v>
      </c>
      <c r="D40" s="5">
        <v>41640</v>
      </c>
      <c r="E40">
        <v>7830</v>
      </c>
      <c r="F40">
        <v>42</v>
      </c>
      <c r="G40">
        <v>786181836</v>
      </c>
      <c r="H40" t="str">
        <f t="shared" si="0"/>
        <v>yes</v>
      </c>
      <c r="I40">
        <v>94</v>
      </c>
      <c r="J40">
        <v>111</v>
      </c>
      <c r="K40">
        <v>151</v>
      </c>
      <c r="L40">
        <v>4</v>
      </c>
      <c r="M40">
        <v>82</v>
      </c>
      <c r="N40">
        <v>95</v>
      </c>
      <c r="O40" t="s">
        <v>51</v>
      </c>
      <c r="P40" t="s">
        <v>26</v>
      </c>
      <c r="Q40" s="10">
        <v>60</v>
      </c>
      <c r="R40" s="10">
        <v>48</v>
      </c>
      <c r="S40" s="10">
        <v>79</v>
      </c>
      <c r="T40" s="10">
        <v>0</v>
      </c>
      <c r="U40" s="10">
        <v>0</v>
      </c>
      <c r="V40" s="10">
        <v>12</v>
      </c>
      <c r="W40" s="10">
        <v>4</v>
      </c>
    </row>
    <row r="41" spans="1:23" ht="60.75">
      <c r="A41" s="2" t="s">
        <v>107</v>
      </c>
      <c r="B41" s="2" t="s">
        <v>108</v>
      </c>
      <c r="C41">
        <v>1</v>
      </c>
      <c r="D41" s="5">
        <v>45065</v>
      </c>
      <c r="E41">
        <v>584</v>
      </c>
      <c r="F41">
        <v>28</v>
      </c>
      <c r="G41">
        <v>176553476</v>
      </c>
      <c r="H41" t="str">
        <f t="shared" si="0"/>
        <v>no</v>
      </c>
      <c r="I41">
        <v>16</v>
      </c>
      <c r="J41">
        <v>159</v>
      </c>
      <c r="K41">
        <v>15</v>
      </c>
      <c r="L41">
        <v>6</v>
      </c>
      <c r="M41">
        <v>100</v>
      </c>
      <c r="N41">
        <v>125</v>
      </c>
      <c r="O41" t="s">
        <v>32</v>
      </c>
      <c r="P41" t="s">
        <v>41</v>
      </c>
      <c r="Q41" s="10">
        <v>79</v>
      </c>
      <c r="R41" s="10">
        <v>96</v>
      </c>
      <c r="S41" s="10">
        <v>85</v>
      </c>
      <c r="T41" s="10">
        <v>27</v>
      </c>
      <c r="U41" s="10">
        <v>0</v>
      </c>
      <c r="V41" s="10">
        <v>11</v>
      </c>
      <c r="W41" s="10">
        <v>6</v>
      </c>
    </row>
    <row r="42" spans="1:23" ht="91.5">
      <c r="A42" s="2" t="s">
        <v>109</v>
      </c>
      <c r="B42" s="2" t="s">
        <v>110</v>
      </c>
      <c r="C42">
        <v>2</v>
      </c>
      <c r="D42" s="5">
        <v>44967</v>
      </c>
      <c r="E42">
        <v>692</v>
      </c>
      <c r="F42">
        <v>25</v>
      </c>
      <c r="G42">
        <v>354495408</v>
      </c>
      <c r="H42" t="str">
        <f t="shared" si="0"/>
        <v>yes</v>
      </c>
      <c r="I42">
        <v>10</v>
      </c>
      <c r="J42">
        <v>107</v>
      </c>
      <c r="K42">
        <v>6</v>
      </c>
      <c r="L42">
        <v>3</v>
      </c>
      <c r="M42">
        <v>62</v>
      </c>
      <c r="N42">
        <v>144</v>
      </c>
      <c r="O42" t="s">
        <v>37</v>
      </c>
      <c r="P42" t="s">
        <v>41</v>
      </c>
      <c r="Q42" s="10">
        <v>56</v>
      </c>
      <c r="R42" s="10">
        <v>84</v>
      </c>
      <c r="S42" s="10">
        <v>65</v>
      </c>
      <c r="T42" s="10">
        <v>23</v>
      </c>
      <c r="U42" s="10">
        <v>0</v>
      </c>
      <c r="V42" s="10">
        <v>10</v>
      </c>
      <c r="W42" s="10">
        <v>6</v>
      </c>
    </row>
    <row r="43" spans="1:23" ht="60.75">
      <c r="A43" s="2" t="s">
        <v>111</v>
      </c>
      <c r="B43" s="2" t="s">
        <v>112</v>
      </c>
      <c r="C43">
        <v>2</v>
      </c>
      <c r="D43" s="5">
        <v>43382</v>
      </c>
      <c r="E43">
        <v>24094</v>
      </c>
      <c r="F43">
        <v>78</v>
      </c>
      <c r="G43">
        <v>2808096550</v>
      </c>
      <c r="H43" t="str">
        <f t="shared" si="0"/>
        <v>yes</v>
      </c>
      <c r="I43">
        <v>372</v>
      </c>
      <c r="J43">
        <v>117</v>
      </c>
      <c r="K43">
        <v>843</v>
      </c>
      <c r="L43">
        <v>4</v>
      </c>
      <c r="M43">
        <v>69</v>
      </c>
      <c r="N43">
        <v>90</v>
      </c>
      <c r="O43" t="s">
        <v>51</v>
      </c>
      <c r="P43" t="s">
        <v>26</v>
      </c>
      <c r="Q43" s="10">
        <v>76</v>
      </c>
      <c r="R43" s="10">
        <v>91</v>
      </c>
      <c r="S43" s="10">
        <v>50</v>
      </c>
      <c r="T43" s="10">
        <v>54</v>
      </c>
      <c r="U43" s="10">
        <v>0</v>
      </c>
      <c r="V43" s="10">
        <v>7</v>
      </c>
      <c r="W43" s="10">
        <v>5</v>
      </c>
    </row>
    <row r="44" spans="1:23" ht="30.75">
      <c r="A44" s="2" t="s">
        <v>113</v>
      </c>
      <c r="B44" s="2" t="s">
        <v>114</v>
      </c>
      <c r="C44">
        <v>2</v>
      </c>
      <c r="D44" s="5">
        <v>44799</v>
      </c>
      <c r="E44">
        <v>12482</v>
      </c>
      <c r="F44">
        <v>80</v>
      </c>
      <c r="G44">
        <v>1109433169</v>
      </c>
      <c r="H44" t="str">
        <f t="shared" si="0"/>
        <v>yes</v>
      </c>
      <c r="I44">
        <v>291</v>
      </c>
      <c r="J44">
        <v>184</v>
      </c>
      <c r="K44">
        <v>537</v>
      </c>
      <c r="L44">
        <v>45</v>
      </c>
      <c r="M44">
        <v>727</v>
      </c>
      <c r="N44">
        <v>128</v>
      </c>
      <c r="O44" t="s">
        <v>72</v>
      </c>
      <c r="P44" t="s">
        <v>41</v>
      </c>
      <c r="Q44" s="10">
        <v>56</v>
      </c>
      <c r="R44" s="10">
        <v>38</v>
      </c>
      <c r="S44" s="10">
        <v>97</v>
      </c>
      <c r="T44" s="10">
        <v>4</v>
      </c>
      <c r="U44" s="10">
        <v>0</v>
      </c>
      <c r="V44" s="10">
        <v>35</v>
      </c>
      <c r="W44" s="10">
        <v>4</v>
      </c>
    </row>
    <row r="45" spans="1:23">
      <c r="A45" s="2" t="s">
        <v>115</v>
      </c>
      <c r="B45" s="2" t="s">
        <v>116</v>
      </c>
      <c r="C45">
        <v>3</v>
      </c>
      <c r="D45" s="5">
        <v>42937</v>
      </c>
      <c r="E45">
        <v>13387</v>
      </c>
      <c r="F45">
        <v>64</v>
      </c>
      <c r="G45">
        <v>1047101291</v>
      </c>
      <c r="H45" t="str">
        <f t="shared" si="0"/>
        <v>yes</v>
      </c>
      <c r="I45">
        <v>77</v>
      </c>
      <c r="J45">
        <v>58</v>
      </c>
      <c r="K45">
        <v>247</v>
      </c>
      <c r="L45">
        <v>1</v>
      </c>
      <c r="M45">
        <v>311</v>
      </c>
      <c r="N45">
        <v>79</v>
      </c>
      <c r="O45" t="s">
        <v>53</v>
      </c>
      <c r="P45" t="s">
        <v>26</v>
      </c>
      <c r="Q45" s="10">
        <v>56</v>
      </c>
      <c r="R45" s="10">
        <v>58</v>
      </c>
      <c r="S45" s="10">
        <v>56</v>
      </c>
      <c r="T45" s="10">
        <v>37</v>
      </c>
      <c r="U45" s="10">
        <v>0</v>
      </c>
      <c r="V45" s="10">
        <v>11</v>
      </c>
      <c r="W45" s="10">
        <v>10</v>
      </c>
    </row>
    <row r="46" spans="1:23" ht="60.75">
      <c r="A46" s="2" t="s">
        <v>115</v>
      </c>
      <c r="B46" s="2" t="s">
        <v>117</v>
      </c>
      <c r="C46">
        <v>3</v>
      </c>
      <c r="D46" s="5">
        <v>45100</v>
      </c>
      <c r="E46">
        <v>1117</v>
      </c>
      <c r="F46">
        <v>80</v>
      </c>
      <c r="G46">
        <v>65156199</v>
      </c>
      <c r="H46" t="str">
        <f t="shared" si="0"/>
        <v>no</v>
      </c>
      <c r="I46">
        <v>82</v>
      </c>
      <c r="J46">
        <v>145</v>
      </c>
      <c r="K46">
        <v>65</v>
      </c>
      <c r="L46">
        <v>16</v>
      </c>
      <c r="M46" s="1">
        <v>1133</v>
      </c>
      <c r="N46">
        <v>144</v>
      </c>
      <c r="P46" t="s">
        <v>26</v>
      </c>
      <c r="Q46" s="10">
        <v>77</v>
      </c>
      <c r="R46" s="10">
        <v>75</v>
      </c>
      <c r="S46" s="10">
        <v>58</v>
      </c>
      <c r="T46" s="10">
        <v>52</v>
      </c>
      <c r="U46" s="10">
        <v>0</v>
      </c>
      <c r="V46" s="10">
        <v>23</v>
      </c>
      <c r="W46" s="10">
        <v>25</v>
      </c>
    </row>
    <row r="47" spans="1:23" ht="30.75">
      <c r="A47" s="2" t="s">
        <v>118</v>
      </c>
      <c r="B47" s="2" t="s">
        <v>119</v>
      </c>
      <c r="C47">
        <v>1</v>
      </c>
      <c r="D47" s="5">
        <v>44162</v>
      </c>
      <c r="E47">
        <v>3372</v>
      </c>
      <c r="F47">
        <v>19</v>
      </c>
      <c r="G47">
        <v>570515054</v>
      </c>
      <c r="H47" t="str">
        <f t="shared" si="0"/>
        <v>yes</v>
      </c>
      <c r="I47">
        <v>65</v>
      </c>
      <c r="J47">
        <v>48</v>
      </c>
      <c r="K47">
        <v>138</v>
      </c>
      <c r="L47">
        <v>1</v>
      </c>
      <c r="M47">
        <v>102</v>
      </c>
      <c r="N47">
        <v>122</v>
      </c>
      <c r="O47" t="s">
        <v>32</v>
      </c>
      <c r="P47" t="s">
        <v>26</v>
      </c>
      <c r="Q47" s="10">
        <v>67</v>
      </c>
      <c r="R47" s="10">
        <v>49</v>
      </c>
      <c r="S47" s="10">
        <v>64</v>
      </c>
      <c r="T47" s="10">
        <v>10</v>
      </c>
      <c r="U47" s="10">
        <v>0</v>
      </c>
      <c r="V47" s="10">
        <v>10</v>
      </c>
      <c r="W47" s="10">
        <v>3</v>
      </c>
    </row>
    <row r="48" spans="1:23" ht="30.75">
      <c r="A48" s="2" t="s">
        <v>120</v>
      </c>
      <c r="B48" s="2" t="s">
        <v>121</v>
      </c>
      <c r="C48">
        <v>1</v>
      </c>
      <c r="D48" s="5">
        <v>44694</v>
      </c>
      <c r="E48">
        <v>8431</v>
      </c>
      <c r="F48">
        <v>76</v>
      </c>
      <c r="G48">
        <v>1085685420</v>
      </c>
      <c r="H48" t="str">
        <f t="shared" si="0"/>
        <v>yes</v>
      </c>
      <c r="I48">
        <v>241</v>
      </c>
      <c r="J48">
        <v>127</v>
      </c>
      <c r="K48">
        <v>458</v>
      </c>
      <c r="L48">
        <v>37</v>
      </c>
      <c r="M48">
        <v>332</v>
      </c>
      <c r="N48">
        <v>140</v>
      </c>
      <c r="P48" t="s">
        <v>26</v>
      </c>
      <c r="Q48" s="10">
        <v>71</v>
      </c>
      <c r="R48" s="10">
        <v>82</v>
      </c>
      <c r="S48" s="10">
        <v>81</v>
      </c>
      <c r="T48" s="10">
        <v>11</v>
      </c>
      <c r="U48" s="10">
        <v>0</v>
      </c>
      <c r="V48" s="10">
        <v>6</v>
      </c>
      <c r="W48" s="10">
        <v>5</v>
      </c>
    </row>
    <row r="49" spans="1:23">
      <c r="A49" s="2" t="s">
        <v>122</v>
      </c>
      <c r="B49" s="2" t="s">
        <v>123</v>
      </c>
      <c r="C49">
        <v>1</v>
      </c>
      <c r="D49" s="5">
        <v>42698</v>
      </c>
      <c r="E49">
        <v>2483</v>
      </c>
      <c r="F49">
        <v>59</v>
      </c>
      <c r="G49">
        <v>1647990401</v>
      </c>
      <c r="H49" t="str">
        <f t="shared" si="0"/>
        <v>yes</v>
      </c>
      <c r="I49">
        <v>68</v>
      </c>
      <c r="J49">
        <v>21</v>
      </c>
      <c r="K49">
        <v>24</v>
      </c>
      <c r="L49">
        <v>0</v>
      </c>
      <c r="M49">
        <v>259</v>
      </c>
      <c r="N49">
        <v>134</v>
      </c>
      <c r="O49" t="s">
        <v>29</v>
      </c>
      <c r="P49" t="s">
        <v>41</v>
      </c>
      <c r="Q49" s="10">
        <v>59</v>
      </c>
      <c r="R49" s="10">
        <v>51</v>
      </c>
      <c r="S49" s="10">
        <v>52</v>
      </c>
      <c r="T49" s="10">
        <v>9</v>
      </c>
      <c r="U49" s="10">
        <v>0</v>
      </c>
      <c r="V49" s="10">
        <v>15</v>
      </c>
      <c r="W49" s="10">
        <v>7</v>
      </c>
    </row>
    <row r="50" spans="1:23">
      <c r="A50" s="2" t="s">
        <v>124</v>
      </c>
      <c r="B50" s="2" t="s">
        <v>125</v>
      </c>
      <c r="C50">
        <v>2</v>
      </c>
      <c r="D50" s="5">
        <v>42634</v>
      </c>
      <c r="E50">
        <v>29536</v>
      </c>
      <c r="F50">
        <v>79</v>
      </c>
      <c r="G50">
        <v>2565529693</v>
      </c>
      <c r="H50" t="str">
        <f t="shared" si="0"/>
        <v>yes</v>
      </c>
      <c r="I50">
        <v>281</v>
      </c>
      <c r="J50">
        <v>137</v>
      </c>
      <c r="K50" s="1">
        <v>2445</v>
      </c>
      <c r="L50">
        <v>1</v>
      </c>
      <c r="M50">
        <v>140</v>
      </c>
      <c r="N50">
        <v>186</v>
      </c>
      <c r="O50" t="s">
        <v>72</v>
      </c>
      <c r="P50" t="s">
        <v>26</v>
      </c>
      <c r="Q50" s="10">
        <v>68</v>
      </c>
      <c r="R50" s="10">
        <v>49</v>
      </c>
      <c r="S50" s="10">
        <v>59</v>
      </c>
      <c r="T50" s="10">
        <v>16</v>
      </c>
      <c r="U50" s="10">
        <v>0</v>
      </c>
      <c r="V50" s="10">
        <v>13</v>
      </c>
      <c r="W50" s="10">
        <v>28</v>
      </c>
    </row>
    <row r="51" spans="1:23" ht="30.75">
      <c r="A51" s="2" t="s">
        <v>124</v>
      </c>
      <c r="B51" s="2" t="s">
        <v>126</v>
      </c>
      <c r="C51">
        <v>2</v>
      </c>
      <c r="D51" s="5">
        <v>44981</v>
      </c>
      <c r="E51">
        <v>3408</v>
      </c>
      <c r="F51">
        <v>47</v>
      </c>
      <c r="G51">
        <v>518745108</v>
      </c>
      <c r="H51" t="str">
        <f t="shared" si="0"/>
        <v>yes</v>
      </c>
      <c r="I51">
        <v>87</v>
      </c>
      <c r="J51">
        <v>86</v>
      </c>
      <c r="K51">
        <v>74</v>
      </c>
      <c r="L51">
        <v>1</v>
      </c>
      <c r="M51">
        <v>16</v>
      </c>
      <c r="N51">
        <v>67</v>
      </c>
      <c r="O51" t="s">
        <v>29</v>
      </c>
      <c r="P51" t="s">
        <v>41</v>
      </c>
      <c r="Q51" s="10">
        <v>53</v>
      </c>
      <c r="R51" s="10">
        <v>50</v>
      </c>
      <c r="S51" s="10">
        <v>53</v>
      </c>
      <c r="T51" s="10">
        <v>23</v>
      </c>
      <c r="U51" s="10">
        <v>0</v>
      </c>
      <c r="V51" s="10">
        <v>44</v>
      </c>
      <c r="W51" s="10">
        <v>7</v>
      </c>
    </row>
    <row r="52" spans="1:23">
      <c r="A52" s="2" t="s">
        <v>124</v>
      </c>
      <c r="B52" s="2" t="s">
        <v>127</v>
      </c>
      <c r="C52">
        <v>3</v>
      </c>
      <c r="D52" s="5">
        <v>45079</v>
      </c>
      <c r="E52">
        <v>1298</v>
      </c>
      <c r="F52">
        <v>38</v>
      </c>
      <c r="G52">
        <v>107753850</v>
      </c>
      <c r="H52" t="str">
        <f t="shared" si="0"/>
        <v>no</v>
      </c>
      <c r="I52">
        <v>44</v>
      </c>
      <c r="J52">
        <v>64</v>
      </c>
      <c r="K52">
        <v>57</v>
      </c>
      <c r="L52">
        <v>10</v>
      </c>
      <c r="M52">
        <v>110</v>
      </c>
      <c r="N52">
        <v>106</v>
      </c>
      <c r="O52" t="s">
        <v>128</v>
      </c>
      <c r="P52" t="s">
        <v>41</v>
      </c>
      <c r="Q52" s="10">
        <v>72</v>
      </c>
      <c r="R52" s="10">
        <v>17</v>
      </c>
      <c r="S52" s="10">
        <v>64</v>
      </c>
      <c r="T52" s="10">
        <v>7</v>
      </c>
      <c r="U52" s="10">
        <v>0</v>
      </c>
      <c r="V52" s="10">
        <v>10</v>
      </c>
      <c r="W52" s="10">
        <v>5</v>
      </c>
    </row>
    <row r="53" spans="1:23" ht="30.75">
      <c r="A53" s="2" t="s">
        <v>124</v>
      </c>
      <c r="B53" s="2" t="s">
        <v>129</v>
      </c>
      <c r="C53">
        <v>3</v>
      </c>
      <c r="D53" s="5">
        <v>45022</v>
      </c>
      <c r="E53">
        <v>4277</v>
      </c>
      <c r="F53">
        <v>66</v>
      </c>
      <c r="G53">
        <v>177740666</v>
      </c>
      <c r="H53" t="str">
        <f t="shared" si="0"/>
        <v>no</v>
      </c>
      <c r="I53">
        <v>145</v>
      </c>
      <c r="J53">
        <v>111</v>
      </c>
      <c r="K53">
        <v>213</v>
      </c>
      <c r="L53">
        <v>11</v>
      </c>
      <c r="M53">
        <v>810</v>
      </c>
      <c r="N53">
        <v>128</v>
      </c>
      <c r="O53" t="s">
        <v>72</v>
      </c>
      <c r="P53" t="s">
        <v>26</v>
      </c>
      <c r="Q53" s="10">
        <v>60</v>
      </c>
      <c r="R53" s="10">
        <v>23</v>
      </c>
      <c r="S53" s="10">
        <v>91</v>
      </c>
      <c r="T53" s="10">
        <v>0</v>
      </c>
      <c r="U53" s="10">
        <v>0</v>
      </c>
      <c r="V53" s="10">
        <v>12</v>
      </c>
      <c r="W53" s="10">
        <v>3</v>
      </c>
    </row>
    <row r="54" spans="1:23">
      <c r="A54" s="2" t="s">
        <v>124</v>
      </c>
      <c r="B54" s="2" t="s">
        <v>130</v>
      </c>
      <c r="C54">
        <v>1</v>
      </c>
      <c r="D54" s="5">
        <v>44981</v>
      </c>
      <c r="E54">
        <v>1133</v>
      </c>
      <c r="F54">
        <v>39</v>
      </c>
      <c r="G54">
        <v>153372011</v>
      </c>
      <c r="H54" t="str">
        <f t="shared" si="0"/>
        <v>no</v>
      </c>
      <c r="I54">
        <v>14</v>
      </c>
      <c r="J54">
        <v>71</v>
      </c>
      <c r="K54">
        <v>23</v>
      </c>
      <c r="L54">
        <v>10</v>
      </c>
      <c r="M54">
        <v>176</v>
      </c>
      <c r="N54">
        <v>107</v>
      </c>
      <c r="O54" t="s">
        <v>53</v>
      </c>
      <c r="P54" t="s">
        <v>41</v>
      </c>
      <c r="Q54" s="10">
        <v>92</v>
      </c>
      <c r="R54" s="10">
        <v>55</v>
      </c>
      <c r="S54" s="10">
        <v>70</v>
      </c>
      <c r="T54" s="10">
        <v>18</v>
      </c>
      <c r="U54" s="10">
        <v>0</v>
      </c>
      <c r="V54" s="10">
        <v>15</v>
      </c>
      <c r="W54" s="10">
        <v>7</v>
      </c>
    </row>
    <row r="55" spans="1:23" ht="30.75">
      <c r="A55" s="2" t="s">
        <v>124</v>
      </c>
      <c r="B55" s="2" t="s">
        <v>131</v>
      </c>
      <c r="C55">
        <v>1</v>
      </c>
      <c r="D55" s="5">
        <v>45092</v>
      </c>
      <c r="E55">
        <v>2259</v>
      </c>
      <c r="F55">
        <v>59</v>
      </c>
      <c r="G55">
        <v>57876440</v>
      </c>
      <c r="H55" t="str">
        <f t="shared" si="0"/>
        <v>no</v>
      </c>
      <c r="I55">
        <v>0</v>
      </c>
      <c r="J55">
        <v>0</v>
      </c>
      <c r="K55">
        <v>109</v>
      </c>
      <c r="L55">
        <v>17</v>
      </c>
      <c r="M55">
        <v>0</v>
      </c>
      <c r="N55">
        <v>130</v>
      </c>
      <c r="O55" t="s">
        <v>72</v>
      </c>
      <c r="P55" t="s">
        <v>41</v>
      </c>
      <c r="Q55" s="10">
        <v>67</v>
      </c>
      <c r="R55" s="10">
        <v>96</v>
      </c>
      <c r="S55" s="10">
        <v>88</v>
      </c>
      <c r="T55" s="10">
        <v>12</v>
      </c>
      <c r="U55" s="10">
        <v>19</v>
      </c>
      <c r="V55" s="10">
        <v>8</v>
      </c>
      <c r="W55" s="10">
        <v>4</v>
      </c>
    </row>
    <row r="56" spans="1:23">
      <c r="A56" s="2" t="s">
        <v>124</v>
      </c>
      <c r="B56" s="2" t="s">
        <v>132</v>
      </c>
      <c r="C56">
        <v>1</v>
      </c>
      <c r="D56" s="5">
        <v>41197</v>
      </c>
      <c r="E56">
        <v>18371</v>
      </c>
      <c r="F56">
        <v>83</v>
      </c>
      <c r="G56">
        <v>1813673666</v>
      </c>
      <c r="H56" t="str">
        <f t="shared" si="0"/>
        <v>yes</v>
      </c>
      <c r="I56">
        <v>250</v>
      </c>
      <c r="J56">
        <v>122</v>
      </c>
      <c r="K56" s="1">
        <v>3394</v>
      </c>
      <c r="L56">
        <v>19</v>
      </c>
      <c r="N56">
        <v>123</v>
      </c>
      <c r="O56" t="s">
        <v>98</v>
      </c>
      <c r="P56" t="s">
        <v>41</v>
      </c>
      <c r="Q56" s="10">
        <v>45</v>
      </c>
      <c r="R56" s="10">
        <v>13</v>
      </c>
      <c r="S56" s="10">
        <v>54</v>
      </c>
      <c r="T56" s="10">
        <v>70</v>
      </c>
      <c r="U56" s="10">
        <v>0</v>
      </c>
      <c r="V56" s="10">
        <v>9</v>
      </c>
      <c r="W56" s="10">
        <v>4</v>
      </c>
    </row>
    <row r="57" spans="1:23">
      <c r="A57" s="2" t="s">
        <v>124</v>
      </c>
      <c r="B57" s="2" t="s">
        <v>133</v>
      </c>
      <c r="C57">
        <v>1</v>
      </c>
      <c r="D57" s="5">
        <v>43798</v>
      </c>
      <c r="E57">
        <v>43899</v>
      </c>
      <c r="F57">
        <v>69</v>
      </c>
      <c r="G57">
        <v>3703895074</v>
      </c>
      <c r="H57" t="str">
        <f t="shared" si="0"/>
        <v>yes</v>
      </c>
      <c r="I57">
        <v>672</v>
      </c>
      <c r="J57">
        <v>199</v>
      </c>
      <c r="K57" s="1">
        <v>3421</v>
      </c>
      <c r="L57">
        <v>20</v>
      </c>
      <c r="N57">
        <v>171</v>
      </c>
      <c r="O57" t="s">
        <v>29</v>
      </c>
      <c r="P57" t="s">
        <v>26</v>
      </c>
      <c r="Q57" s="10">
        <v>50</v>
      </c>
      <c r="R57" s="10">
        <v>38</v>
      </c>
      <c r="S57" s="10">
        <v>80</v>
      </c>
      <c r="T57" s="10">
        <v>0</v>
      </c>
      <c r="U57" s="10">
        <v>0</v>
      </c>
      <c r="V57" s="10">
        <v>9</v>
      </c>
      <c r="W57" s="10">
        <v>7</v>
      </c>
    </row>
    <row r="58" spans="1:23">
      <c r="A58" s="2" t="s">
        <v>124</v>
      </c>
      <c r="B58" s="2" t="s">
        <v>134</v>
      </c>
      <c r="C58">
        <v>1</v>
      </c>
      <c r="D58" s="5">
        <v>44981</v>
      </c>
      <c r="E58">
        <v>2649</v>
      </c>
      <c r="F58">
        <v>42</v>
      </c>
      <c r="G58">
        <v>256483385</v>
      </c>
      <c r="H58" t="str">
        <f t="shared" si="0"/>
        <v>yes</v>
      </c>
      <c r="I58">
        <v>67</v>
      </c>
      <c r="J58">
        <v>79</v>
      </c>
      <c r="K58">
        <v>57</v>
      </c>
      <c r="L58">
        <v>1</v>
      </c>
      <c r="M58">
        <v>615</v>
      </c>
      <c r="N58">
        <v>137</v>
      </c>
      <c r="O58" t="s">
        <v>72</v>
      </c>
      <c r="P58" t="s">
        <v>41</v>
      </c>
      <c r="Q58" s="10">
        <v>64</v>
      </c>
      <c r="R58" s="10">
        <v>88</v>
      </c>
      <c r="S58" s="10">
        <v>72</v>
      </c>
      <c r="T58" s="10">
        <v>51</v>
      </c>
      <c r="U58" s="10">
        <v>0</v>
      </c>
      <c r="V58" s="10">
        <v>17</v>
      </c>
      <c r="W58" s="10">
        <v>5</v>
      </c>
    </row>
    <row r="59" spans="1:23">
      <c r="A59" s="2" t="s">
        <v>124</v>
      </c>
      <c r="B59" s="2" t="s">
        <v>135</v>
      </c>
      <c r="C59">
        <v>1</v>
      </c>
      <c r="D59" s="5">
        <v>44707</v>
      </c>
      <c r="E59">
        <v>6804</v>
      </c>
      <c r="F59">
        <v>45</v>
      </c>
      <c r="G59">
        <v>1214083358</v>
      </c>
      <c r="H59" t="str">
        <f t="shared" si="0"/>
        <v>yes</v>
      </c>
      <c r="I59">
        <v>139</v>
      </c>
      <c r="J59">
        <v>111</v>
      </c>
      <c r="K59">
        <v>161</v>
      </c>
      <c r="L59">
        <v>15</v>
      </c>
      <c r="M59">
        <v>210</v>
      </c>
      <c r="N59">
        <v>125</v>
      </c>
      <c r="O59" t="s">
        <v>72</v>
      </c>
      <c r="P59" t="s">
        <v>41</v>
      </c>
      <c r="Q59" s="10">
        <v>84</v>
      </c>
      <c r="R59" s="10">
        <v>85</v>
      </c>
      <c r="S59" s="10">
        <v>68</v>
      </c>
      <c r="T59" s="10">
        <v>58</v>
      </c>
      <c r="U59" s="10">
        <v>0</v>
      </c>
      <c r="V59" s="10">
        <v>22</v>
      </c>
      <c r="W59" s="10">
        <v>4</v>
      </c>
    </row>
    <row r="60" spans="1:23">
      <c r="A60" s="2" t="s">
        <v>124</v>
      </c>
      <c r="B60" s="2" t="s">
        <v>136</v>
      </c>
      <c r="C60">
        <v>1</v>
      </c>
      <c r="D60" s="5">
        <v>45121</v>
      </c>
      <c r="E60">
        <v>525</v>
      </c>
      <c r="F60">
        <v>41</v>
      </c>
      <c r="G60">
        <v>16011326</v>
      </c>
      <c r="H60" t="str">
        <f t="shared" si="0"/>
        <v>no</v>
      </c>
      <c r="I60">
        <v>34</v>
      </c>
      <c r="J60">
        <v>115</v>
      </c>
      <c r="K60">
        <v>39</v>
      </c>
      <c r="L60">
        <v>6</v>
      </c>
      <c r="M60">
        <v>216</v>
      </c>
      <c r="N60">
        <v>128</v>
      </c>
      <c r="P60" t="s">
        <v>41</v>
      </c>
      <c r="Q60" s="10">
        <v>86</v>
      </c>
      <c r="R60" s="10">
        <v>42</v>
      </c>
      <c r="S60" s="10">
        <v>72</v>
      </c>
      <c r="T60" s="10">
        <v>59</v>
      </c>
      <c r="U60" s="10">
        <v>0</v>
      </c>
      <c r="V60" s="10">
        <v>9</v>
      </c>
      <c r="W60" s="10">
        <v>19</v>
      </c>
    </row>
    <row r="61" spans="1:23">
      <c r="A61" s="2" t="s">
        <v>124</v>
      </c>
      <c r="B61" s="2" t="s">
        <v>137</v>
      </c>
      <c r="C61">
        <v>1</v>
      </c>
      <c r="D61" s="5">
        <v>44036</v>
      </c>
      <c r="E61">
        <v>7923</v>
      </c>
      <c r="F61">
        <v>29</v>
      </c>
      <c r="G61">
        <v>812019557</v>
      </c>
      <c r="H61" t="str">
        <f t="shared" si="0"/>
        <v>yes</v>
      </c>
      <c r="I61">
        <v>106</v>
      </c>
      <c r="J61">
        <v>112</v>
      </c>
      <c r="K61">
        <v>142</v>
      </c>
      <c r="L61">
        <v>4</v>
      </c>
      <c r="M61">
        <v>215</v>
      </c>
      <c r="N61">
        <v>130</v>
      </c>
      <c r="P61" t="s">
        <v>41</v>
      </c>
      <c r="Q61" s="10">
        <v>61</v>
      </c>
      <c r="R61" s="10">
        <v>53</v>
      </c>
      <c r="S61" s="10">
        <v>58</v>
      </c>
      <c r="T61" s="10">
        <v>55</v>
      </c>
      <c r="U61" s="10">
        <v>0</v>
      </c>
      <c r="V61" s="10">
        <v>27</v>
      </c>
      <c r="W61" s="10">
        <v>4</v>
      </c>
    </row>
    <row r="62" spans="1:23">
      <c r="A62" s="2" t="s">
        <v>124</v>
      </c>
      <c r="B62" s="2" t="s">
        <v>138</v>
      </c>
      <c r="C62">
        <v>2</v>
      </c>
      <c r="D62" s="5">
        <v>45050</v>
      </c>
      <c r="E62">
        <v>731</v>
      </c>
      <c r="F62">
        <v>15</v>
      </c>
      <c r="G62">
        <v>111947664</v>
      </c>
      <c r="H62" t="str">
        <f t="shared" si="0"/>
        <v>no</v>
      </c>
      <c r="I62">
        <v>27</v>
      </c>
      <c r="J62">
        <v>17</v>
      </c>
      <c r="K62">
        <v>73</v>
      </c>
      <c r="L62">
        <v>4</v>
      </c>
      <c r="M62">
        <v>167</v>
      </c>
      <c r="N62">
        <v>130</v>
      </c>
      <c r="O62" t="s">
        <v>25</v>
      </c>
      <c r="P62" t="s">
        <v>26</v>
      </c>
      <c r="Q62" s="10">
        <v>86</v>
      </c>
      <c r="R62" s="10">
        <v>59</v>
      </c>
      <c r="S62" s="10">
        <v>96</v>
      </c>
      <c r="T62" s="10">
        <v>50</v>
      </c>
      <c r="U62" s="10">
        <v>1</v>
      </c>
      <c r="V62" s="10">
        <v>9</v>
      </c>
      <c r="W62" s="10">
        <v>5</v>
      </c>
    </row>
    <row r="63" spans="1:23" ht="30.75">
      <c r="A63" s="2" t="s">
        <v>124</v>
      </c>
      <c r="B63" s="2" t="s">
        <v>139</v>
      </c>
      <c r="C63">
        <v>2</v>
      </c>
      <c r="D63" s="5">
        <v>44960</v>
      </c>
      <c r="E63">
        <v>5184</v>
      </c>
      <c r="F63">
        <v>41</v>
      </c>
      <c r="G63">
        <v>156338624</v>
      </c>
      <c r="H63" t="str">
        <f t="shared" si="0"/>
        <v>no</v>
      </c>
      <c r="I63">
        <v>154</v>
      </c>
      <c r="J63">
        <v>84</v>
      </c>
      <c r="K63">
        <v>102</v>
      </c>
      <c r="L63">
        <v>14</v>
      </c>
      <c r="M63">
        <v>37</v>
      </c>
      <c r="N63">
        <v>133</v>
      </c>
      <c r="O63" t="s">
        <v>32</v>
      </c>
      <c r="P63" t="s">
        <v>26</v>
      </c>
      <c r="Q63" s="10">
        <v>70</v>
      </c>
      <c r="R63" s="10">
        <v>86</v>
      </c>
      <c r="S63" s="10">
        <v>81</v>
      </c>
      <c r="T63" s="10">
        <v>25</v>
      </c>
      <c r="U63" s="10">
        <v>0</v>
      </c>
      <c r="V63" s="10">
        <v>25</v>
      </c>
      <c r="W63" s="10">
        <v>5</v>
      </c>
    </row>
    <row r="64" spans="1:23" ht="45.75">
      <c r="A64" s="2" t="s">
        <v>124</v>
      </c>
      <c r="B64" s="2" t="s">
        <v>140</v>
      </c>
      <c r="C64">
        <v>3</v>
      </c>
      <c r="D64" s="5">
        <v>44736</v>
      </c>
      <c r="E64">
        <v>3107</v>
      </c>
      <c r="F64">
        <v>39</v>
      </c>
      <c r="G64">
        <v>720434240</v>
      </c>
      <c r="H64" t="str">
        <f t="shared" si="0"/>
        <v>yes</v>
      </c>
      <c r="I64">
        <v>38</v>
      </c>
      <c r="J64">
        <v>0</v>
      </c>
      <c r="K64">
        <v>4</v>
      </c>
      <c r="L64">
        <v>0</v>
      </c>
      <c r="M64">
        <v>0</v>
      </c>
      <c r="N64">
        <v>101</v>
      </c>
      <c r="O64" t="s">
        <v>51</v>
      </c>
      <c r="P64" t="s">
        <v>26</v>
      </c>
      <c r="Q64" s="10">
        <v>88</v>
      </c>
      <c r="R64" s="10">
        <v>72</v>
      </c>
      <c r="S64" s="10">
        <v>59</v>
      </c>
      <c r="T64" s="10">
        <v>62</v>
      </c>
      <c r="U64" s="10">
        <v>0</v>
      </c>
      <c r="V64" s="10">
        <v>9</v>
      </c>
      <c r="W64" s="10">
        <v>3</v>
      </c>
    </row>
    <row r="65" spans="1:23">
      <c r="A65" s="2" t="s">
        <v>124</v>
      </c>
      <c r="B65" s="2" t="s">
        <v>141</v>
      </c>
      <c r="C65">
        <v>2</v>
      </c>
      <c r="D65" s="5">
        <v>45009</v>
      </c>
      <c r="E65">
        <v>4053</v>
      </c>
      <c r="F65">
        <v>50</v>
      </c>
      <c r="G65">
        <v>357925728</v>
      </c>
      <c r="H65" t="str">
        <f t="shared" si="0"/>
        <v>yes</v>
      </c>
      <c r="I65">
        <v>82</v>
      </c>
      <c r="J65">
        <v>121</v>
      </c>
      <c r="K65">
        <v>182</v>
      </c>
      <c r="L65">
        <v>12</v>
      </c>
      <c r="M65">
        <v>171</v>
      </c>
      <c r="N65">
        <v>95</v>
      </c>
      <c r="O65" t="s">
        <v>32</v>
      </c>
      <c r="P65" t="s">
        <v>41</v>
      </c>
      <c r="Q65" s="10">
        <v>77</v>
      </c>
      <c r="R65" s="10">
        <v>53</v>
      </c>
      <c r="S65" s="10">
        <v>64</v>
      </c>
      <c r="T65" s="10">
        <v>74</v>
      </c>
      <c r="U65" s="10">
        <v>0</v>
      </c>
      <c r="V65" s="10">
        <v>17</v>
      </c>
      <c r="W65" s="10">
        <v>14</v>
      </c>
    </row>
    <row r="66" spans="1:23">
      <c r="A66" s="2" t="s">
        <v>124</v>
      </c>
      <c r="B66" s="2" t="s">
        <v>142</v>
      </c>
      <c r="C66">
        <v>2</v>
      </c>
      <c r="D66" s="5">
        <v>44840</v>
      </c>
      <c r="E66">
        <v>4637</v>
      </c>
      <c r="F66">
        <v>38</v>
      </c>
      <c r="G66">
        <v>674072710</v>
      </c>
      <c r="H66" t="str">
        <f t="shared" ref="H66:H129" si="1">IF(G66&gt;$Z$2,$Z$4,$Z$5)</f>
        <v>yes</v>
      </c>
      <c r="I66">
        <v>63</v>
      </c>
      <c r="J66">
        <v>79</v>
      </c>
      <c r="K66">
        <v>89</v>
      </c>
      <c r="L66">
        <v>11</v>
      </c>
      <c r="M66">
        <v>16</v>
      </c>
      <c r="N66">
        <v>98</v>
      </c>
      <c r="O66" t="s">
        <v>29</v>
      </c>
      <c r="P66" t="s">
        <v>41</v>
      </c>
      <c r="Q66" s="10">
        <v>90</v>
      </c>
      <c r="R66" s="10">
        <v>40</v>
      </c>
      <c r="S66" s="10">
        <v>59</v>
      </c>
      <c r="T66" s="10">
        <v>0</v>
      </c>
      <c r="U66" s="10">
        <v>0</v>
      </c>
      <c r="V66" s="10">
        <v>10</v>
      </c>
      <c r="W66" s="10">
        <v>29</v>
      </c>
    </row>
    <row r="67" spans="1:23">
      <c r="A67" s="2" t="s">
        <v>124</v>
      </c>
      <c r="B67" s="2" t="s">
        <v>143</v>
      </c>
      <c r="C67">
        <v>1</v>
      </c>
      <c r="D67" s="5">
        <v>36161</v>
      </c>
      <c r="E67">
        <v>31358</v>
      </c>
      <c r="F67">
        <v>43</v>
      </c>
      <c r="G67">
        <v>1755214421</v>
      </c>
      <c r="H67" t="str">
        <f t="shared" si="1"/>
        <v>yes</v>
      </c>
      <c r="I67">
        <v>196</v>
      </c>
      <c r="J67">
        <v>2</v>
      </c>
      <c r="K67" s="1">
        <v>4053</v>
      </c>
      <c r="L67">
        <v>5</v>
      </c>
      <c r="M67">
        <v>0</v>
      </c>
      <c r="N67">
        <v>173</v>
      </c>
      <c r="O67" t="s">
        <v>25</v>
      </c>
      <c r="P67" t="s">
        <v>26</v>
      </c>
      <c r="Q67" s="10">
        <v>43</v>
      </c>
      <c r="R67" s="10">
        <v>28</v>
      </c>
      <c r="S67" s="10">
        <v>66</v>
      </c>
      <c r="T67" s="10">
        <v>0</v>
      </c>
      <c r="U67" s="10">
        <v>0</v>
      </c>
      <c r="V67" s="10">
        <v>23</v>
      </c>
      <c r="W67" s="10">
        <v>3</v>
      </c>
    </row>
    <row r="68" spans="1:23">
      <c r="A68" s="2" t="s">
        <v>124</v>
      </c>
      <c r="B68" s="2" t="s">
        <v>144</v>
      </c>
      <c r="C68">
        <v>1</v>
      </c>
      <c r="D68" s="5">
        <v>44855</v>
      </c>
      <c r="E68">
        <v>3818</v>
      </c>
      <c r="F68">
        <v>23</v>
      </c>
      <c r="G68">
        <v>404562836</v>
      </c>
      <c r="H68" t="str">
        <f t="shared" si="1"/>
        <v>yes</v>
      </c>
      <c r="I68">
        <v>37</v>
      </c>
      <c r="J68">
        <v>55</v>
      </c>
      <c r="K68">
        <v>32</v>
      </c>
      <c r="L68">
        <v>0</v>
      </c>
      <c r="M68">
        <v>272</v>
      </c>
      <c r="N68">
        <v>90</v>
      </c>
      <c r="O68" t="s">
        <v>63</v>
      </c>
      <c r="P68" t="s">
        <v>26</v>
      </c>
      <c r="Q68" s="10">
        <v>64</v>
      </c>
      <c r="R68" s="10">
        <v>10</v>
      </c>
      <c r="S68" s="10">
        <v>62</v>
      </c>
      <c r="T68" s="10">
        <v>7</v>
      </c>
      <c r="U68" s="10">
        <v>0</v>
      </c>
      <c r="V68" s="10">
        <v>48</v>
      </c>
      <c r="W68" s="10">
        <v>7</v>
      </c>
    </row>
    <row r="69" spans="1:23" ht="30.75">
      <c r="A69" s="2" t="s">
        <v>145</v>
      </c>
      <c r="B69" s="2" t="s">
        <v>146</v>
      </c>
      <c r="C69">
        <v>1</v>
      </c>
      <c r="D69" s="5">
        <v>44897</v>
      </c>
      <c r="E69">
        <v>3506</v>
      </c>
      <c r="F69">
        <v>56</v>
      </c>
      <c r="G69">
        <v>373199958</v>
      </c>
      <c r="H69" t="str">
        <f t="shared" si="1"/>
        <v>yes</v>
      </c>
      <c r="I69">
        <v>105</v>
      </c>
      <c r="J69">
        <v>64</v>
      </c>
      <c r="K69">
        <v>169</v>
      </c>
      <c r="L69">
        <v>8</v>
      </c>
      <c r="M69">
        <v>529</v>
      </c>
      <c r="N69">
        <v>198</v>
      </c>
      <c r="O69" t="s">
        <v>128</v>
      </c>
      <c r="P69" t="s">
        <v>41</v>
      </c>
      <c r="Q69" s="10">
        <v>59</v>
      </c>
      <c r="R69" s="10">
        <v>71</v>
      </c>
      <c r="S69" s="10">
        <v>42</v>
      </c>
      <c r="T69" s="10">
        <v>55</v>
      </c>
      <c r="U69" s="10">
        <v>0</v>
      </c>
      <c r="V69" s="10">
        <v>10</v>
      </c>
      <c r="W69" s="10">
        <v>7</v>
      </c>
    </row>
    <row r="70" spans="1:23" ht="30.75">
      <c r="A70" s="2" t="s">
        <v>147</v>
      </c>
      <c r="B70" s="2" t="s">
        <v>148</v>
      </c>
      <c r="C70">
        <v>1</v>
      </c>
      <c r="D70" s="5">
        <v>45121</v>
      </c>
      <c r="E70">
        <v>410</v>
      </c>
      <c r="F70">
        <v>36</v>
      </c>
      <c r="G70">
        <v>14780425</v>
      </c>
      <c r="H70" t="str">
        <f t="shared" si="1"/>
        <v>no</v>
      </c>
      <c r="I70">
        <v>36</v>
      </c>
      <c r="J70">
        <v>32</v>
      </c>
      <c r="K70">
        <v>31</v>
      </c>
      <c r="L70">
        <v>1</v>
      </c>
      <c r="M70">
        <v>26</v>
      </c>
      <c r="N70">
        <v>140</v>
      </c>
      <c r="O70" t="s">
        <v>29</v>
      </c>
      <c r="P70" t="s">
        <v>26</v>
      </c>
      <c r="Q70" s="10">
        <v>56</v>
      </c>
      <c r="R70" s="10">
        <v>48</v>
      </c>
      <c r="S70" s="10">
        <v>73</v>
      </c>
      <c r="T70" s="10">
        <v>0</v>
      </c>
      <c r="U70" s="10">
        <v>0</v>
      </c>
      <c r="V70" s="10">
        <v>35</v>
      </c>
      <c r="W70" s="10">
        <v>4</v>
      </c>
    </row>
    <row r="71" spans="1:23" ht="45.75">
      <c r="A71" s="2" t="s">
        <v>149</v>
      </c>
      <c r="B71" s="2" t="s">
        <v>150</v>
      </c>
      <c r="C71">
        <v>1</v>
      </c>
      <c r="D71" s="5">
        <v>45114</v>
      </c>
      <c r="E71">
        <v>148</v>
      </c>
      <c r="F71">
        <v>24</v>
      </c>
      <c r="G71">
        <v>39578178</v>
      </c>
      <c r="H71" t="str">
        <f t="shared" si="1"/>
        <v>no</v>
      </c>
      <c r="I71">
        <v>32</v>
      </c>
      <c r="J71">
        <v>93</v>
      </c>
      <c r="K71">
        <v>8</v>
      </c>
      <c r="L71">
        <v>2</v>
      </c>
      <c r="M71">
        <v>5</v>
      </c>
      <c r="N71">
        <v>82</v>
      </c>
      <c r="O71" t="s">
        <v>63</v>
      </c>
      <c r="P71" t="s">
        <v>26</v>
      </c>
      <c r="Q71" s="10">
        <v>51</v>
      </c>
      <c r="R71" s="10">
        <v>22</v>
      </c>
      <c r="S71" s="10">
        <v>53</v>
      </c>
      <c r="T71" s="10">
        <v>1</v>
      </c>
      <c r="U71" s="10">
        <v>0</v>
      </c>
      <c r="V71" s="10">
        <v>15</v>
      </c>
      <c r="W71" s="10">
        <v>3</v>
      </c>
    </row>
    <row r="72" spans="1:23" ht="30.75">
      <c r="A72" s="2" t="s">
        <v>149</v>
      </c>
      <c r="B72" s="2" t="s">
        <v>151</v>
      </c>
      <c r="C72">
        <v>2</v>
      </c>
      <c r="D72" s="5">
        <v>45100</v>
      </c>
      <c r="E72">
        <v>1004</v>
      </c>
      <c r="F72">
        <v>35</v>
      </c>
      <c r="G72">
        <v>54266102</v>
      </c>
      <c r="H72" t="str">
        <f t="shared" si="1"/>
        <v>no</v>
      </c>
      <c r="I72">
        <v>42</v>
      </c>
      <c r="J72">
        <v>80</v>
      </c>
      <c r="K72">
        <v>58</v>
      </c>
      <c r="L72">
        <v>3</v>
      </c>
      <c r="M72">
        <v>169</v>
      </c>
      <c r="N72">
        <v>130</v>
      </c>
      <c r="O72" t="s">
        <v>29</v>
      </c>
      <c r="P72" t="s">
        <v>41</v>
      </c>
      <c r="Q72" s="10">
        <v>77</v>
      </c>
      <c r="R72" s="10">
        <v>84</v>
      </c>
      <c r="S72" s="10">
        <v>89</v>
      </c>
      <c r="T72" s="10">
        <v>17</v>
      </c>
      <c r="U72" s="10">
        <v>0</v>
      </c>
      <c r="V72" s="10">
        <v>43</v>
      </c>
      <c r="W72" s="10">
        <v>5</v>
      </c>
    </row>
    <row r="73" spans="1:23" ht="30.75">
      <c r="A73" s="2" t="s">
        <v>152</v>
      </c>
      <c r="B73" s="2" t="s">
        <v>153</v>
      </c>
      <c r="C73">
        <v>1</v>
      </c>
      <c r="D73" s="5">
        <v>44010</v>
      </c>
      <c r="E73">
        <v>22543</v>
      </c>
      <c r="F73">
        <v>63</v>
      </c>
      <c r="G73">
        <v>2557975762</v>
      </c>
      <c r="H73" t="str">
        <f t="shared" si="1"/>
        <v>yes</v>
      </c>
      <c r="I73">
        <v>386</v>
      </c>
      <c r="J73">
        <v>144</v>
      </c>
      <c r="K73">
        <v>707</v>
      </c>
      <c r="L73">
        <v>28</v>
      </c>
      <c r="N73">
        <v>81</v>
      </c>
      <c r="O73" t="s">
        <v>25</v>
      </c>
      <c r="P73" t="s">
        <v>26</v>
      </c>
      <c r="Q73" s="10">
        <v>76</v>
      </c>
      <c r="R73" s="10">
        <v>53</v>
      </c>
      <c r="S73" s="10">
        <v>53</v>
      </c>
      <c r="T73" s="10">
        <v>44</v>
      </c>
      <c r="U73" s="10">
        <v>0</v>
      </c>
      <c r="V73" s="10">
        <v>9</v>
      </c>
      <c r="W73" s="10">
        <v>9</v>
      </c>
    </row>
    <row r="74" spans="1:23">
      <c r="A74" s="2" t="s">
        <v>154</v>
      </c>
      <c r="B74" s="2" t="s">
        <v>155</v>
      </c>
      <c r="C74">
        <v>1</v>
      </c>
      <c r="D74" s="5">
        <v>44757</v>
      </c>
      <c r="E74">
        <v>4511</v>
      </c>
      <c r="F74">
        <v>36</v>
      </c>
      <c r="G74">
        <v>751134527</v>
      </c>
      <c r="H74" t="str">
        <f t="shared" si="1"/>
        <v>yes</v>
      </c>
      <c r="I74">
        <v>70</v>
      </c>
      <c r="J74">
        <v>58</v>
      </c>
      <c r="K74">
        <v>109</v>
      </c>
      <c r="L74">
        <v>18</v>
      </c>
      <c r="M74">
        <v>230</v>
      </c>
      <c r="N74">
        <v>94</v>
      </c>
      <c r="O74" t="s">
        <v>29</v>
      </c>
      <c r="P74" t="s">
        <v>41</v>
      </c>
      <c r="Q74" s="10">
        <v>51</v>
      </c>
      <c r="R74" s="10">
        <v>14</v>
      </c>
      <c r="S74" s="10">
        <v>59</v>
      </c>
      <c r="T74" s="10">
        <v>65</v>
      </c>
      <c r="U74" s="10">
        <v>18</v>
      </c>
      <c r="V74" s="10">
        <v>25</v>
      </c>
      <c r="W74" s="10">
        <v>3</v>
      </c>
    </row>
    <row r="75" spans="1:23" ht="30.75">
      <c r="A75" s="2" t="s">
        <v>156</v>
      </c>
      <c r="B75" s="2" t="s">
        <v>157</v>
      </c>
      <c r="C75">
        <v>1</v>
      </c>
      <c r="D75" s="5">
        <v>41043</v>
      </c>
      <c r="E75">
        <v>16413</v>
      </c>
      <c r="F75">
        <v>61</v>
      </c>
      <c r="G75">
        <v>2282771485</v>
      </c>
      <c r="H75" t="str">
        <f t="shared" si="1"/>
        <v>yes</v>
      </c>
      <c r="I75">
        <v>166</v>
      </c>
      <c r="J75">
        <v>87</v>
      </c>
      <c r="K75" s="1">
        <v>1056</v>
      </c>
      <c r="L75">
        <v>1</v>
      </c>
      <c r="N75">
        <v>124</v>
      </c>
      <c r="O75" t="s">
        <v>128</v>
      </c>
      <c r="P75" t="s">
        <v>26</v>
      </c>
      <c r="Q75" s="10">
        <v>61</v>
      </c>
      <c r="R75" s="10">
        <v>41</v>
      </c>
      <c r="S75" s="10">
        <v>81</v>
      </c>
      <c r="T75" s="10">
        <v>5</v>
      </c>
      <c r="U75" s="10">
        <v>2</v>
      </c>
      <c r="V75" s="10">
        <v>10</v>
      </c>
      <c r="W75" s="10">
        <v>3</v>
      </c>
    </row>
    <row r="76" spans="1:23" ht="60.75">
      <c r="A76" s="2" t="s">
        <v>158</v>
      </c>
      <c r="B76" s="2" t="s">
        <v>159</v>
      </c>
      <c r="C76">
        <v>2</v>
      </c>
      <c r="D76" s="5">
        <v>44748</v>
      </c>
      <c r="E76">
        <v>8506</v>
      </c>
      <c r="F76">
        <v>45</v>
      </c>
      <c r="G76">
        <v>1356565093</v>
      </c>
      <c r="H76" t="str">
        <f t="shared" si="1"/>
        <v>yes</v>
      </c>
      <c r="I76">
        <v>94</v>
      </c>
      <c r="J76">
        <v>65</v>
      </c>
      <c r="K76">
        <v>164</v>
      </c>
      <c r="L76">
        <v>14</v>
      </c>
      <c r="M76">
        <v>176</v>
      </c>
      <c r="N76">
        <v>128</v>
      </c>
      <c r="O76" t="s">
        <v>51</v>
      </c>
      <c r="P76" t="s">
        <v>26</v>
      </c>
      <c r="Q76" s="10">
        <v>62</v>
      </c>
      <c r="R76" s="10">
        <v>55</v>
      </c>
      <c r="S76" s="10">
        <v>78</v>
      </c>
      <c r="T76" s="10">
        <v>1</v>
      </c>
      <c r="U76" s="10">
        <v>3</v>
      </c>
      <c r="V76" s="10">
        <v>23</v>
      </c>
      <c r="W76" s="10">
        <v>4</v>
      </c>
    </row>
    <row r="77" spans="1:23">
      <c r="A77" s="2" t="s">
        <v>160</v>
      </c>
      <c r="B77" s="2" t="s">
        <v>161</v>
      </c>
      <c r="C77">
        <v>1</v>
      </c>
      <c r="D77" s="5">
        <v>39448</v>
      </c>
      <c r="E77">
        <v>33898</v>
      </c>
      <c r="F77">
        <v>62</v>
      </c>
      <c r="G77">
        <v>1592909789</v>
      </c>
      <c r="H77" t="str">
        <f t="shared" si="1"/>
        <v>yes</v>
      </c>
      <c r="I77">
        <v>233</v>
      </c>
      <c r="J77">
        <v>0</v>
      </c>
      <c r="K77" s="1">
        <v>4095</v>
      </c>
      <c r="L77">
        <v>9</v>
      </c>
      <c r="M77">
        <v>0</v>
      </c>
      <c r="N77">
        <v>138</v>
      </c>
      <c r="O77" t="s">
        <v>32</v>
      </c>
      <c r="P77" t="s">
        <v>41</v>
      </c>
      <c r="Q77" s="10">
        <v>49</v>
      </c>
      <c r="R77" s="10">
        <v>42</v>
      </c>
      <c r="S77" s="10">
        <v>62</v>
      </c>
      <c r="T77" s="10">
        <v>9</v>
      </c>
      <c r="U77" s="10">
        <v>0</v>
      </c>
      <c r="V77" s="10">
        <v>11</v>
      </c>
      <c r="W77" s="10">
        <v>3</v>
      </c>
    </row>
    <row r="78" spans="1:23">
      <c r="A78" s="2" t="s">
        <v>162</v>
      </c>
      <c r="B78" s="2" t="s">
        <v>163</v>
      </c>
      <c r="C78">
        <v>1</v>
      </c>
      <c r="D78" s="5">
        <v>44759</v>
      </c>
      <c r="E78">
        <v>3246</v>
      </c>
      <c r="F78">
        <v>23</v>
      </c>
      <c r="G78">
        <v>635412045</v>
      </c>
      <c r="H78" t="str">
        <f t="shared" si="1"/>
        <v>yes</v>
      </c>
      <c r="I78">
        <v>94</v>
      </c>
      <c r="J78">
        <v>85</v>
      </c>
      <c r="K78">
        <v>68</v>
      </c>
      <c r="L78">
        <v>1</v>
      </c>
      <c r="M78">
        <v>84</v>
      </c>
      <c r="N78">
        <v>132</v>
      </c>
      <c r="O78" t="s">
        <v>98</v>
      </c>
      <c r="P78" t="s">
        <v>26</v>
      </c>
      <c r="Q78" s="10">
        <v>58</v>
      </c>
      <c r="R78" s="10">
        <v>27</v>
      </c>
      <c r="S78" s="10">
        <v>48</v>
      </c>
      <c r="T78" s="10">
        <v>50</v>
      </c>
      <c r="U78" s="10">
        <v>0</v>
      </c>
      <c r="V78" s="10">
        <v>12</v>
      </c>
      <c r="W78" s="10">
        <v>3</v>
      </c>
    </row>
    <row r="79" spans="1:23" ht="30.75">
      <c r="A79" s="2" t="s">
        <v>164</v>
      </c>
      <c r="B79" s="2" t="s">
        <v>165</v>
      </c>
      <c r="C79">
        <v>2</v>
      </c>
      <c r="D79" s="5">
        <v>44826</v>
      </c>
      <c r="E79">
        <v>8576</v>
      </c>
      <c r="F79">
        <v>42</v>
      </c>
      <c r="G79">
        <v>1230675890</v>
      </c>
      <c r="H79" t="str">
        <f t="shared" si="1"/>
        <v>yes</v>
      </c>
      <c r="I79">
        <v>216</v>
      </c>
      <c r="J79">
        <v>108</v>
      </c>
      <c r="K79">
        <v>331</v>
      </c>
      <c r="L79">
        <v>26</v>
      </c>
      <c r="M79">
        <v>154</v>
      </c>
      <c r="N79">
        <v>131</v>
      </c>
      <c r="O79" t="s">
        <v>51</v>
      </c>
      <c r="P79" t="s">
        <v>26</v>
      </c>
      <c r="Q79" s="10">
        <v>71</v>
      </c>
      <c r="R79" s="10">
        <v>24</v>
      </c>
      <c r="S79" s="10">
        <v>47</v>
      </c>
      <c r="T79" s="10">
        <v>1</v>
      </c>
      <c r="U79" s="10">
        <v>0</v>
      </c>
      <c r="V79" s="10">
        <v>27</v>
      </c>
      <c r="W79" s="10">
        <v>9</v>
      </c>
    </row>
    <row r="80" spans="1:23" ht="30.75">
      <c r="A80" s="2" t="s">
        <v>166</v>
      </c>
      <c r="B80" s="2" t="s">
        <v>167</v>
      </c>
      <c r="C80">
        <v>2</v>
      </c>
      <c r="D80" s="5">
        <v>44915</v>
      </c>
      <c r="E80">
        <v>3618</v>
      </c>
      <c r="F80">
        <v>38</v>
      </c>
      <c r="G80">
        <v>585695368</v>
      </c>
      <c r="H80" t="str">
        <f t="shared" si="1"/>
        <v>yes</v>
      </c>
      <c r="I80">
        <v>47</v>
      </c>
      <c r="J80">
        <v>74</v>
      </c>
      <c r="K80">
        <v>80</v>
      </c>
      <c r="L80">
        <v>14</v>
      </c>
      <c r="M80">
        <v>194</v>
      </c>
      <c r="N80">
        <v>168</v>
      </c>
      <c r="O80" t="s">
        <v>53</v>
      </c>
      <c r="P80" t="s">
        <v>41</v>
      </c>
      <c r="Q80" s="10">
        <v>78</v>
      </c>
      <c r="R80" s="10">
        <v>58</v>
      </c>
      <c r="S80" s="10">
        <v>73</v>
      </c>
      <c r="T80" s="10">
        <v>5</v>
      </c>
      <c r="U80" s="10">
        <v>0</v>
      </c>
      <c r="V80" s="10">
        <v>10</v>
      </c>
      <c r="W80" s="10">
        <v>7</v>
      </c>
    </row>
    <row r="81" spans="1:23" ht="30.75">
      <c r="A81" s="2" t="s">
        <v>168</v>
      </c>
      <c r="B81" s="2" t="s">
        <v>169</v>
      </c>
      <c r="C81">
        <v>1</v>
      </c>
      <c r="D81" s="5">
        <v>45099</v>
      </c>
      <c r="E81">
        <v>370</v>
      </c>
      <c r="F81">
        <v>20</v>
      </c>
      <c r="G81">
        <v>43857627</v>
      </c>
      <c r="H81" t="str">
        <f t="shared" si="1"/>
        <v>no</v>
      </c>
      <c r="I81">
        <v>12</v>
      </c>
      <c r="J81">
        <v>16</v>
      </c>
      <c r="K81">
        <v>18</v>
      </c>
      <c r="L81">
        <v>4</v>
      </c>
      <c r="M81">
        <v>93</v>
      </c>
      <c r="N81">
        <v>98</v>
      </c>
      <c r="O81" t="s">
        <v>29</v>
      </c>
      <c r="P81" t="s">
        <v>26</v>
      </c>
      <c r="Q81" s="10">
        <v>68</v>
      </c>
      <c r="R81" s="10">
        <v>40</v>
      </c>
      <c r="S81" s="10">
        <v>79</v>
      </c>
      <c r="T81" s="10">
        <v>33</v>
      </c>
      <c r="U81" s="10">
        <v>0</v>
      </c>
      <c r="V81" s="10">
        <v>30</v>
      </c>
      <c r="W81" s="10">
        <v>6</v>
      </c>
    </row>
    <row r="82" spans="1:23">
      <c r="A82" s="2" t="s">
        <v>170</v>
      </c>
      <c r="B82" s="2" t="s">
        <v>171</v>
      </c>
      <c r="C82">
        <v>1</v>
      </c>
      <c r="D82" s="5">
        <v>27395</v>
      </c>
      <c r="E82">
        <v>31123</v>
      </c>
      <c r="F82">
        <v>55</v>
      </c>
      <c r="G82">
        <v>2009094673</v>
      </c>
      <c r="H82" t="str">
        <f t="shared" si="1"/>
        <v>yes</v>
      </c>
      <c r="I82">
        <v>300</v>
      </c>
      <c r="J82">
        <v>65</v>
      </c>
      <c r="K82" s="1">
        <v>1003</v>
      </c>
      <c r="L82">
        <v>1</v>
      </c>
      <c r="M82">
        <v>0</v>
      </c>
      <c r="N82">
        <v>102</v>
      </c>
      <c r="O82" t="s">
        <v>29</v>
      </c>
      <c r="P82" t="s">
        <v>26</v>
      </c>
      <c r="Q82" s="10">
        <v>48</v>
      </c>
      <c r="R82" s="10">
        <v>50</v>
      </c>
      <c r="S82" s="10">
        <v>73</v>
      </c>
      <c r="T82" s="10">
        <v>43</v>
      </c>
      <c r="U82" s="10">
        <v>0</v>
      </c>
      <c r="V82" s="10">
        <v>15</v>
      </c>
      <c r="W82" s="10">
        <v>4</v>
      </c>
    </row>
    <row r="83" spans="1:23" ht="76.5">
      <c r="A83" s="2" t="s">
        <v>172</v>
      </c>
      <c r="B83" s="2" t="s">
        <v>173</v>
      </c>
      <c r="C83">
        <v>2</v>
      </c>
      <c r="D83" s="5">
        <v>44673</v>
      </c>
      <c r="E83">
        <v>2790</v>
      </c>
      <c r="F83">
        <v>30</v>
      </c>
      <c r="G83">
        <v>600976848</v>
      </c>
      <c r="H83" t="str">
        <f t="shared" si="1"/>
        <v>yes</v>
      </c>
      <c r="I83">
        <v>60</v>
      </c>
      <c r="J83">
        <v>96</v>
      </c>
      <c r="K83">
        <v>71</v>
      </c>
      <c r="L83">
        <v>0</v>
      </c>
      <c r="M83">
        <v>115</v>
      </c>
      <c r="N83">
        <v>101</v>
      </c>
      <c r="O83" t="s">
        <v>128</v>
      </c>
      <c r="P83" t="s">
        <v>26</v>
      </c>
      <c r="Q83" s="10">
        <v>34</v>
      </c>
      <c r="R83" s="10">
        <v>32</v>
      </c>
      <c r="S83" s="10">
        <v>57</v>
      </c>
      <c r="T83" s="10">
        <v>78</v>
      </c>
      <c r="U83" s="10">
        <v>0</v>
      </c>
      <c r="V83" s="10">
        <v>20</v>
      </c>
      <c r="W83" s="10">
        <v>3</v>
      </c>
    </row>
    <row r="84" spans="1:23" ht="30.75">
      <c r="A84" s="2" t="s">
        <v>172</v>
      </c>
      <c r="B84" s="2" t="s">
        <v>174</v>
      </c>
      <c r="C84">
        <v>2</v>
      </c>
      <c r="D84" s="5">
        <v>45100</v>
      </c>
      <c r="E84">
        <v>267</v>
      </c>
      <c r="F84">
        <v>9</v>
      </c>
      <c r="G84">
        <v>39709092</v>
      </c>
      <c r="H84" t="str">
        <f t="shared" si="1"/>
        <v>no</v>
      </c>
      <c r="I84">
        <v>9</v>
      </c>
      <c r="J84">
        <v>6</v>
      </c>
      <c r="K84">
        <v>25</v>
      </c>
      <c r="L84">
        <v>2</v>
      </c>
      <c r="M84">
        <v>72</v>
      </c>
      <c r="N84">
        <v>130</v>
      </c>
      <c r="O84" t="s">
        <v>32</v>
      </c>
      <c r="P84" t="s">
        <v>26</v>
      </c>
      <c r="Q84" s="10">
        <v>63</v>
      </c>
      <c r="R84" s="10">
        <v>36</v>
      </c>
      <c r="S84" s="10">
        <v>34</v>
      </c>
      <c r="T84" s="10">
        <v>76</v>
      </c>
      <c r="U84" s="10">
        <v>0</v>
      </c>
      <c r="V84" s="10">
        <v>35</v>
      </c>
      <c r="W84" s="10">
        <v>9</v>
      </c>
    </row>
    <row r="85" spans="1:23" ht="60.75">
      <c r="A85" s="2" t="s">
        <v>172</v>
      </c>
      <c r="B85" s="2" t="s">
        <v>175</v>
      </c>
      <c r="C85">
        <v>1</v>
      </c>
      <c r="D85" s="5">
        <v>45114</v>
      </c>
      <c r="E85">
        <v>139</v>
      </c>
      <c r="F85">
        <v>17</v>
      </c>
      <c r="G85">
        <v>39228929</v>
      </c>
      <c r="H85" t="str">
        <f t="shared" si="1"/>
        <v>no</v>
      </c>
      <c r="I85">
        <v>16</v>
      </c>
      <c r="J85">
        <v>72</v>
      </c>
      <c r="K85">
        <v>5</v>
      </c>
      <c r="L85">
        <v>0</v>
      </c>
      <c r="M85">
        <v>8</v>
      </c>
      <c r="N85">
        <v>142</v>
      </c>
      <c r="O85" t="s">
        <v>51</v>
      </c>
      <c r="P85" t="s">
        <v>26</v>
      </c>
      <c r="Q85" s="10">
        <v>50</v>
      </c>
      <c r="R85" s="10">
        <v>20</v>
      </c>
      <c r="S85" s="10">
        <v>64</v>
      </c>
      <c r="T85" s="10">
        <v>1</v>
      </c>
      <c r="U85" s="10">
        <v>0</v>
      </c>
      <c r="V85" s="10">
        <v>12</v>
      </c>
      <c r="W85" s="10">
        <v>3</v>
      </c>
    </row>
    <row r="86" spans="1:23" ht="76.5">
      <c r="A86" s="2" t="s">
        <v>176</v>
      </c>
      <c r="B86" s="2" t="s">
        <v>177</v>
      </c>
      <c r="C86">
        <v>2</v>
      </c>
      <c r="D86" s="5">
        <v>44386</v>
      </c>
      <c r="E86">
        <v>17050</v>
      </c>
      <c r="F86">
        <v>36</v>
      </c>
      <c r="G86">
        <v>2665343922</v>
      </c>
      <c r="H86" t="str">
        <f t="shared" si="1"/>
        <v>yes</v>
      </c>
      <c r="I86">
        <v>492</v>
      </c>
      <c r="J86">
        <v>99</v>
      </c>
      <c r="K86">
        <v>798</v>
      </c>
      <c r="L86">
        <v>31</v>
      </c>
      <c r="M86">
        <v>0</v>
      </c>
      <c r="N86">
        <v>170</v>
      </c>
      <c r="O86" t="s">
        <v>29</v>
      </c>
      <c r="P86" t="s">
        <v>26</v>
      </c>
      <c r="Q86" s="10">
        <v>59</v>
      </c>
      <c r="R86" s="10">
        <v>48</v>
      </c>
      <c r="S86" s="10">
        <v>76</v>
      </c>
      <c r="T86" s="10">
        <v>4</v>
      </c>
      <c r="U86" s="10">
        <v>0</v>
      </c>
      <c r="V86" s="10">
        <v>10</v>
      </c>
      <c r="W86" s="10">
        <v>5</v>
      </c>
    </row>
    <row r="87" spans="1:23" ht="30.75">
      <c r="A87" s="2" t="s">
        <v>178</v>
      </c>
      <c r="B87" s="2" t="s">
        <v>179</v>
      </c>
      <c r="C87">
        <v>2</v>
      </c>
      <c r="D87" s="5">
        <v>44988</v>
      </c>
      <c r="E87">
        <v>2114</v>
      </c>
      <c r="F87">
        <v>44</v>
      </c>
      <c r="G87">
        <v>223633238</v>
      </c>
      <c r="H87" t="str">
        <f t="shared" si="1"/>
        <v>yes</v>
      </c>
      <c r="I87">
        <v>80</v>
      </c>
      <c r="J87">
        <v>75</v>
      </c>
      <c r="K87">
        <v>110</v>
      </c>
      <c r="L87">
        <v>11</v>
      </c>
      <c r="M87">
        <v>323</v>
      </c>
      <c r="N87">
        <v>124</v>
      </c>
      <c r="O87" t="s">
        <v>63</v>
      </c>
      <c r="P87" t="s">
        <v>41</v>
      </c>
      <c r="Q87" s="10">
        <v>78</v>
      </c>
      <c r="R87" s="10">
        <v>70</v>
      </c>
      <c r="S87" s="10">
        <v>68</v>
      </c>
      <c r="T87" s="10">
        <v>3</v>
      </c>
      <c r="U87" s="10">
        <v>1</v>
      </c>
      <c r="V87" s="10">
        <v>11</v>
      </c>
      <c r="W87" s="10">
        <v>4</v>
      </c>
    </row>
    <row r="88" spans="1:23" ht="30.75">
      <c r="A88" s="2" t="s">
        <v>180</v>
      </c>
      <c r="B88" s="2" t="s">
        <v>181</v>
      </c>
      <c r="C88">
        <v>1</v>
      </c>
      <c r="D88" s="5">
        <v>43412</v>
      </c>
      <c r="E88">
        <v>17836</v>
      </c>
      <c r="F88">
        <v>53</v>
      </c>
      <c r="G88">
        <v>2887241814</v>
      </c>
      <c r="H88" t="str">
        <f t="shared" si="1"/>
        <v>yes</v>
      </c>
      <c r="I88">
        <v>440</v>
      </c>
      <c r="J88">
        <v>125</v>
      </c>
      <c r="K88" s="1">
        <v>1800</v>
      </c>
      <c r="L88">
        <v>0</v>
      </c>
      <c r="N88">
        <v>110</v>
      </c>
      <c r="O88" t="s">
        <v>29</v>
      </c>
      <c r="P88" t="s">
        <v>26</v>
      </c>
      <c r="Q88" s="10">
        <v>50</v>
      </c>
      <c r="R88" s="10">
        <v>45</v>
      </c>
      <c r="S88" s="10">
        <v>41</v>
      </c>
      <c r="T88" s="10">
        <v>75</v>
      </c>
      <c r="U88" s="10">
        <v>0</v>
      </c>
      <c r="V88" s="10">
        <v>11</v>
      </c>
      <c r="W88" s="10">
        <v>3</v>
      </c>
    </row>
    <row r="89" spans="1:23" ht="30.75">
      <c r="A89" s="2" t="s">
        <v>182</v>
      </c>
      <c r="B89" s="2" t="s">
        <v>183</v>
      </c>
      <c r="C89">
        <v>2</v>
      </c>
      <c r="D89" s="5">
        <v>44687</v>
      </c>
      <c r="E89">
        <v>8870</v>
      </c>
      <c r="F89">
        <v>43</v>
      </c>
      <c r="G89">
        <v>1440757818</v>
      </c>
      <c r="H89" t="str">
        <f t="shared" si="1"/>
        <v>yes</v>
      </c>
      <c r="I89">
        <v>104</v>
      </c>
      <c r="J89">
        <v>120</v>
      </c>
      <c r="K89">
        <v>141</v>
      </c>
      <c r="L89">
        <v>26</v>
      </c>
      <c r="M89">
        <v>49</v>
      </c>
      <c r="N89">
        <v>92</v>
      </c>
      <c r="O89" t="s">
        <v>29</v>
      </c>
      <c r="P89" t="s">
        <v>41</v>
      </c>
      <c r="Q89" s="10">
        <v>91</v>
      </c>
      <c r="R89" s="10">
        <v>43</v>
      </c>
      <c r="S89" s="10">
        <v>71</v>
      </c>
      <c r="T89" s="10">
        <v>9</v>
      </c>
      <c r="U89" s="10">
        <v>0</v>
      </c>
      <c r="V89" s="10">
        <v>9</v>
      </c>
      <c r="W89" s="10">
        <v>8</v>
      </c>
    </row>
    <row r="90" spans="1:23">
      <c r="A90" s="2" t="s">
        <v>182</v>
      </c>
      <c r="B90" s="2" t="s">
        <v>184</v>
      </c>
      <c r="C90">
        <v>1</v>
      </c>
      <c r="D90" s="5">
        <v>42177</v>
      </c>
      <c r="E90">
        <v>6060</v>
      </c>
      <c r="F90">
        <v>53</v>
      </c>
      <c r="G90">
        <v>165484133</v>
      </c>
      <c r="H90" t="str">
        <f t="shared" si="1"/>
        <v>no</v>
      </c>
      <c r="I90">
        <v>150</v>
      </c>
      <c r="J90">
        <v>148</v>
      </c>
      <c r="K90" s="1">
        <v>2703</v>
      </c>
      <c r="L90">
        <v>22</v>
      </c>
      <c r="M90" s="1">
        <v>1451</v>
      </c>
      <c r="N90">
        <v>116</v>
      </c>
      <c r="O90" t="s">
        <v>51</v>
      </c>
      <c r="P90" t="s">
        <v>26</v>
      </c>
      <c r="Q90" s="10">
        <v>82</v>
      </c>
      <c r="R90" s="10">
        <v>40</v>
      </c>
      <c r="S90" s="10">
        <v>66</v>
      </c>
      <c r="T90" s="10">
        <v>39</v>
      </c>
      <c r="U90" s="10">
        <v>51</v>
      </c>
      <c r="V90" s="10">
        <v>25</v>
      </c>
      <c r="W90" s="10">
        <v>7</v>
      </c>
    </row>
    <row r="91" spans="1:23" ht="30.75">
      <c r="A91" s="2" t="s">
        <v>182</v>
      </c>
      <c r="B91" s="2" t="s">
        <v>185</v>
      </c>
      <c r="C91">
        <v>2</v>
      </c>
      <c r="D91" s="5">
        <v>41080</v>
      </c>
      <c r="E91">
        <v>641</v>
      </c>
      <c r="F91">
        <v>50</v>
      </c>
      <c r="G91">
        <v>58054811</v>
      </c>
      <c r="H91" t="str">
        <f t="shared" si="1"/>
        <v>no</v>
      </c>
      <c r="I91">
        <v>1</v>
      </c>
      <c r="J91">
        <v>52</v>
      </c>
      <c r="K91">
        <v>8</v>
      </c>
      <c r="L91">
        <v>0</v>
      </c>
      <c r="M91" s="1">
        <v>1170</v>
      </c>
      <c r="N91">
        <v>129</v>
      </c>
      <c r="O91" t="s">
        <v>37</v>
      </c>
      <c r="P91" t="s">
        <v>26</v>
      </c>
      <c r="Q91" s="10">
        <v>63</v>
      </c>
      <c r="R91" s="10">
        <v>84</v>
      </c>
      <c r="S91" s="10">
        <v>82</v>
      </c>
      <c r="T91" s="10">
        <v>70</v>
      </c>
      <c r="U91" s="10">
        <v>8</v>
      </c>
      <c r="V91" s="10">
        <v>9</v>
      </c>
      <c r="W91" s="10">
        <v>7</v>
      </c>
    </row>
    <row r="92" spans="1:23">
      <c r="A92" s="2" t="s">
        <v>182</v>
      </c>
      <c r="B92" s="2" t="s">
        <v>186</v>
      </c>
      <c r="C92">
        <v>1</v>
      </c>
      <c r="D92" s="5">
        <v>45009</v>
      </c>
      <c r="E92">
        <v>1446</v>
      </c>
      <c r="F92">
        <v>12</v>
      </c>
      <c r="G92">
        <v>157058870</v>
      </c>
      <c r="H92" t="str">
        <f t="shared" si="1"/>
        <v>no</v>
      </c>
      <c r="I92">
        <v>57</v>
      </c>
      <c r="J92">
        <v>97</v>
      </c>
      <c r="K92">
        <v>35</v>
      </c>
      <c r="L92">
        <v>0</v>
      </c>
      <c r="M92">
        <v>429</v>
      </c>
      <c r="N92">
        <v>98</v>
      </c>
      <c r="O92" t="s">
        <v>63</v>
      </c>
      <c r="P92" t="s">
        <v>26</v>
      </c>
      <c r="Q92" s="10">
        <v>71</v>
      </c>
      <c r="R92" s="10">
        <v>67</v>
      </c>
      <c r="S92" s="10">
        <v>60</v>
      </c>
      <c r="T92" s="10">
        <v>19</v>
      </c>
      <c r="U92" s="10">
        <v>0</v>
      </c>
      <c r="V92" s="10">
        <v>12</v>
      </c>
      <c r="W92" s="10">
        <v>3</v>
      </c>
    </row>
    <row r="93" spans="1:23" ht="30.75">
      <c r="A93" s="2" t="s">
        <v>182</v>
      </c>
      <c r="B93" s="2" t="s">
        <v>187</v>
      </c>
      <c r="C93">
        <v>1</v>
      </c>
      <c r="D93" s="5">
        <v>45002</v>
      </c>
      <c r="E93">
        <v>804</v>
      </c>
      <c r="F93">
        <v>25</v>
      </c>
      <c r="G93">
        <v>95131998</v>
      </c>
      <c r="H93" t="str">
        <f t="shared" si="1"/>
        <v>no</v>
      </c>
      <c r="I93">
        <v>29</v>
      </c>
      <c r="J93">
        <v>76</v>
      </c>
      <c r="K93">
        <v>24</v>
      </c>
      <c r="L93">
        <v>0</v>
      </c>
      <c r="M93">
        <v>162</v>
      </c>
      <c r="N93">
        <v>172</v>
      </c>
      <c r="O93" t="s">
        <v>29</v>
      </c>
      <c r="P93" t="s">
        <v>41</v>
      </c>
      <c r="Q93" s="10">
        <v>74</v>
      </c>
      <c r="R93" s="10">
        <v>76</v>
      </c>
      <c r="S93" s="10">
        <v>76</v>
      </c>
      <c r="T93" s="10">
        <v>6</v>
      </c>
      <c r="U93" s="10">
        <v>0</v>
      </c>
      <c r="V93" s="10">
        <v>10</v>
      </c>
      <c r="W93" s="10">
        <v>9</v>
      </c>
    </row>
    <row r="94" spans="1:23" ht="30.75">
      <c r="A94" s="2" t="s">
        <v>188</v>
      </c>
      <c r="B94" s="2" t="s">
        <v>189</v>
      </c>
      <c r="C94">
        <v>2</v>
      </c>
      <c r="D94" s="5">
        <v>45002</v>
      </c>
      <c r="E94">
        <v>1962</v>
      </c>
      <c r="F94">
        <v>38</v>
      </c>
      <c r="G94">
        <v>250305248</v>
      </c>
      <c r="H94" t="str">
        <f t="shared" si="1"/>
        <v>yes</v>
      </c>
      <c r="I94">
        <v>28</v>
      </c>
      <c r="J94">
        <v>89</v>
      </c>
      <c r="K94">
        <v>29</v>
      </c>
      <c r="L94">
        <v>5</v>
      </c>
      <c r="M94">
        <v>82</v>
      </c>
      <c r="N94">
        <v>150</v>
      </c>
      <c r="O94" t="s">
        <v>51</v>
      </c>
      <c r="P94" t="s">
        <v>26</v>
      </c>
      <c r="Q94" s="10">
        <v>68</v>
      </c>
      <c r="R94" s="10">
        <v>14</v>
      </c>
      <c r="S94" s="10">
        <v>76</v>
      </c>
      <c r="T94" s="10">
        <v>4</v>
      </c>
      <c r="U94" s="10">
        <v>0</v>
      </c>
      <c r="V94" s="10">
        <v>10</v>
      </c>
      <c r="W94" s="10">
        <v>4</v>
      </c>
    </row>
    <row r="95" spans="1:23" ht="76.5">
      <c r="A95" s="2" t="s">
        <v>190</v>
      </c>
      <c r="B95" s="2" t="s">
        <v>191</v>
      </c>
      <c r="C95">
        <v>1</v>
      </c>
      <c r="D95" s="5">
        <v>43047</v>
      </c>
      <c r="E95">
        <v>4875</v>
      </c>
      <c r="F95">
        <v>23</v>
      </c>
      <c r="G95">
        <v>685032533</v>
      </c>
      <c r="H95" t="str">
        <f t="shared" si="1"/>
        <v>yes</v>
      </c>
      <c r="I95">
        <v>19</v>
      </c>
      <c r="J95">
        <v>45</v>
      </c>
      <c r="K95">
        <v>0</v>
      </c>
      <c r="L95">
        <v>0</v>
      </c>
      <c r="M95">
        <v>10</v>
      </c>
      <c r="N95">
        <v>136</v>
      </c>
      <c r="O95" t="s">
        <v>37</v>
      </c>
      <c r="P95" t="s">
        <v>41</v>
      </c>
      <c r="Q95" s="10">
        <v>62</v>
      </c>
      <c r="R95" s="10">
        <v>19</v>
      </c>
      <c r="S95" s="10">
        <v>53</v>
      </c>
      <c r="T95" s="10">
        <v>11</v>
      </c>
      <c r="U95" s="10">
        <v>0</v>
      </c>
      <c r="V95" s="10">
        <v>6</v>
      </c>
      <c r="W95" s="10">
        <v>4</v>
      </c>
    </row>
    <row r="96" spans="1:23" ht="30.75">
      <c r="A96" s="2" t="s">
        <v>192</v>
      </c>
      <c r="B96" s="2" t="s">
        <v>193</v>
      </c>
      <c r="C96">
        <v>1</v>
      </c>
      <c r="D96" s="5">
        <v>43987</v>
      </c>
      <c r="E96">
        <v>31</v>
      </c>
      <c r="F96">
        <v>39</v>
      </c>
      <c r="G96">
        <v>38411956</v>
      </c>
      <c r="H96" t="str">
        <f t="shared" si="1"/>
        <v>no</v>
      </c>
      <c r="I96">
        <v>2</v>
      </c>
      <c r="J96">
        <v>107</v>
      </c>
      <c r="K96">
        <v>8</v>
      </c>
      <c r="L96">
        <v>0</v>
      </c>
      <c r="M96">
        <v>0</v>
      </c>
      <c r="N96">
        <v>88</v>
      </c>
      <c r="O96" t="s">
        <v>29</v>
      </c>
      <c r="P96" t="s">
        <v>41</v>
      </c>
      <c r="Q96" s="10">
        <v>53</v>
      </c>
      <c r="R96" s="10">
        <v>34</v>
      </c>
      <c r="S96" s="10">
        <v>47</v>
      </c>
      <c r="T96" s="10">
        <v>9</v>
      </c>
      <c r="U96" s="10">
        <v>0</v>
      </c>
      <c r="V96" s="10">
        <v>83</v>
      </c>
      <c r="W96" s="10">
        <v>4</v>
      </c>
    </row>
    <row r="97" spans="1:23" ht="30.75">
      <c r="A97" s="2" t="s">
        <v>194</v>
      </c>
      <c r="B97" s="2" t="s">
        <v>195</v>
      </c>
      <c r="C97">
        <v>2</v>
      </c>
      <c r="D97" s="5">
        <v>45058</v>
      </c>
      <c r="E97">
        <v>2175</v>
      </c>
      <c r="F97">
        <v>23</v>
      </c>
      <c r="G97">
        <v>144565150</v>
      </c>
      <c r="H97" t="str">
        <f t="shared" si="1"/>
        <v>no</v>
      </c>
      <c r="I97">
        <v>69</v>
      </c>
      <c r="J97">
        <v>145</v>
      </c>
      <c r="K97">
        <v>69</v>
      </c>
      <c r="L97">
        <v>2</v>
      </c>
      <c r="M97">
        <v>478</v>
      </c>
      <c r="N97">
        <v>143</v>
      </c>
      <c r="O97" t="s">
        <v>196</v>
      </c>
      <c r="P97" t="s">
        <v>26</v>
      </c>
      <c r="Q97" s="10">
        <v>83</v>
      </c>
      <c r="R97" s="10">
        <v>69</v>
      </c>
      <c r="S97" s="10">
        <v>44</v>
      </c>
      <c r="T97" s="10">
        <v>15</v>
      </c>
      <c r="U97" s="10">
        <v>0</v>
      </c>
      <c r="V97" s="10">
        <v>10</v>
      </c>
      <c r="W97" s="10">
        <v>33</v>
      </c>
    </row>
    <row r="98" spans="1:23" ht="30.75">
      <c r="A98" s="2" t="s">
        <v>197</v>
      </c>
      <c r="B98" s="2" t="s">
        <v>198</v>
      </c>
      <c r="C98">
        <v>1</v>
      </c>
      <c r="D98" s="5">
        <v>45002</v>
      </c>
      <c r="E98">
        <v>2000</v>
      </c>
      <c r="F98">
        <v>46</v>
      </c>
      <c r="G98">
        <v>127567540</v>
      </c>
      <c r="H98" t="str">
        <f t="shared" si="1"/>
        <v>no</v>
      </c>
      <c r="I98">
        <v>49</v>
      </c>
      <c r="J98">
        <v>105</v>
      </c>
      <c r="K98">
        <v>63</v>
      </c>
      <c r="L98">
        <v>1</v>
      </c>
      <c r="M98">
        <v>0</v>
      </c>
      <c r="N98">
        <v>100</v>
      </c>
      <c r="O98" t="s">
        <v>53</v>
      </c>
      <c r="P98" t="s">
        <v>41</v>
      </c>
      <c r="Q98" s="10">
        <v>49</v>
      </c>
      <c r="R98" s="10">
        <v>17</v>
      </c>
      <c r="S98" s="10">
        <v>35</v>
      </c>
      <c r="T98" s="10">
        <v>71</v>
      </c>
      <c r="U98" s="10">
        <v>9</v>
      </c>
      <c r="V98" s="10">
        <v>11</v>
      </c>
      <c r="W98" s="10">
        <v>3</v>
      </c>
    </row>
    <row r="99" spans="1:23" ht="30.75">
      <c r="A99" s="2" t="s">
        <v>199</v>
      </c>
      <c r="B99" s="2" t="s">
        <v>200</v>
      </c>
      <c r="C99">
        <v>1</v>
      </c>
      <c r="D99" s="5">
        <v>44904</v>
      </c>
      <c r="E99">
        <v>2839</v>
      </c>
      <c r="F99">
        <v>25</v>
      </c>
      <c r="G99">
        <v>399686758</v>
      </c>
      <c r="H99" t="str">
        <f t="shared" si="1"/>
        <v>yes</v>
      </c>
      <c r="I99">
        <v>58</v>
      </c>
      <c r="J99">
        <v>156</v>
      </c>
      <c r="K99">
        <v>42</v>
      </c>
      <c r="L99">
        <v>1</v>
      </c>
      <c r="M99">
        <v>236</v>
      </c>
      <c r="N99">
        <v>143</v>
      </c>
      <c r="O99" t="s">
        <v>32</v>
      </c>
      <c r="P99" t="s">
        <v>26</v>
      </c>
      <c r="Q99" s="10">
        <v>56</v>
      </c>
      <c r="R99" s="10">
        <v>39</v>
      </c>
      <c r="S99" s="10">
        <v>55</v>
      </c>
      <c r="T99" s="10">
        <v>14</v>
      </c>
      <c r="U99" s="10">
        <v>0</v>
      </c>
      <c r="V99" s="10">
        <v>11</v>
      </c>
      <c r="W99" s="10">
        <v>13</v>
      </c>
    </row>
    <row r="100" spans="1:23" ht="30.75">
      <c r="A100" s="2" t="s">
        <v>201</v>
      </c>
      <c r="B100" s="2" t="s">
        <v>202</v>
      </c>
      <c r="C100">
        <v>1</v>
      </c>
      <c r="D100" s="5">
        <v>40544</v>
      </c>
      <c r="E100">
        <v>20333</v>
      </c>
      <c r="F100">
        <v>52</v>
      </c>
      <c r="G100">
        <v>983637508</v>
      </c>
      <c r="H100" t="str">
        <f t="shared" si="1"/>
        <v>yes</v>
      </c>
      <c r="I100">
        <v>89</v>
      </c>
      <c r="J100">
        <v>143</v>
      </c>
      <c r="K100" s="1">
        <v>1632</v>
      </c>
      <c r="L100">
        <v>3</v>
      </c>
      <c r="M100">
        <v>200</v>
      </c>
      <c r="N100">
        <v>112</v>
      </c>
      <c r="O100" t="s">
        <v>29</v>
      </c>
      <c r="P100" t="s">
        <v>41</v>
      </c>
      <c r="Q100" s="10">
        <v>56</v>
      </c>
      <c r="R100" s="10">
        <v>24</v>
      </c>
      <c r="S100" s="10">
        <v>66</v>
      </c>
      <c r="T100" s="10">
        <v>7</v>
      </c>
      <c r="U100" s="10">
        <v>0</v>
      </c>
      <c r="V100" s="10">
        <v>12</v>
      </c>
      <c r="W100" s="10">
        <v>3</v>
      </c>
    </row>
    <row r="101" spans="1:23" ht="30.75">
      <c r="A101" s="2" t="s">
        <v>203</v>
      </c>
      <c r="B101" s="2" t="s">
        <v>204</v>
      </c>
      <c r="C101">
        <v>1</v>
      </c>
      <c r="D101" s="5">
        <v>45086</v>
      </c>
      <c r="E101">
        <v>674</v>
      </c>
      <c r="F101">
        <v>47</v>
      </c>
      <c r="G101">
        <v>118482347</v>
      </c>
      <c r="H101" t="str">
        <f t="shared" si="1"/>
        <v>no</v>
      </c>
      <c r="I101">
        <v>20</v>
      </c>
      <c r="J101">
        <v>106</v>
      </c>
      <c r="K101">
        <v>25</v>
      </c>
      <c r="L101">
        <v>4</v>
      </c>
      <c r="M101">
        <v>78</v>
      </c>
      <c r="N101">
        <v>93</v>
      </c>
      <c r="O101" t="s">
        <v>72</v>
      </c>
      <c r="P101" t="s">
        <v>26</v>
      </c>
      <c r="Q101" s="10">
        <v>62</v>
      </c>
      <c r="R101" s="10">
        <v>57</v>
      </c>
      <c r="S101" s="10">
        <v>59</v>
      </c>
      <c r="T101" s="10">
        <v>3</v>
      </c>
      <c r="U101" s="10">
        <v>0</v>
      </c>
      <c r="V101" s="10">
        <v>38</v>
      </c>
      <c r="W101" s="10">
        <v>3</v>
      </c>
    </row>
    <row r="102" spans="1:23">
      <c r="A102" s="2" t="s">
        <v>205</v>
      </c>
      <c r="B102" s="2" t="s">
        <v>206</v>
      </c>
      <c r="C102">
        <v>1</v>
      </c>
      <c r="D102" s="5">
        <v>40909</v>
      </c>
      <c r="E102">
        <v>8448</v>
      </c>
      <c r="F102">
        <v>23</v>
      </c>
      <c r="G102">
        <v>882831184</v>
      </c>
      <c r="H102" t="str">
        <f t="shared" si="1"/>
        <v>yes</v>
      </c>
      <c r="I102">
        <v>160</v>
      </c>
      <c r="J102">
        <v>110</v>
      </c>
      <c r="K102">
        <v>163</v>
      </c>
      <c r="L102">
        <v>0</v>
      </c>
      <c r="M102">
        <v>5</v>
      </c>
      <c r="N102">
        <v>206</v>
      </c>
      <c r="O102" t="s">
        <v>72</v>
      </c>
      <c r="P102" t="s">
        <v>26</v>
      </c>
      <c r="Q102" s="10">
        <v>43</v>
      </c>
      <c r="R102" s="10">
        <v>50</v>
      </c>
      <c r="S102" s="10">
        <v>55</v>
      </c>
      <c r="T102" s="10">
        <v>50</v>
      </c>
      <c r="U102" s="10">
        <v>0</v>
      </c>
      <c r="V102" s="10">
        <v>15</v>
      </c>
      <c r="W102" s="10">
        <v>10</v>
      </c>
    </row>
    <row r="103" spans="1:23" ht="60.75">
      <c r="A103" s="2" t="s">
        <v>205</v>
      </c>
      <c r="B103" s="2" t="s">
        <v>207</v>
      </c>
      <c r="C103">
        <v>3</v>
      </c>
      <c r="D103" s="5">
        <v>44897</v>
      </c>
      <c r="E103">
        <v>2110</v>
      </c>
      <c r="F103">
        <v>58</v>
      </c>
      <c r="G103">
        <v>286400165</v>
      </c>
      <c r="H103" t="str">
        <f t="shared" si="1"/>
        <v>yes</v>
      </c>
      <c r="I103">
        <v>17</v>
      </c>
      <c r="J103">
        <v>119</v>
      </c>
      <c r="K103">
        <v>19</v>
      </c>
      <c r="L103">
        <v>2</v>
      </c>
      <c r="M103">
        <v>266</v>
      </c>
      <c r="N103">
        <v>88</v>
      </c>
      <c r="O103" t="s">
        <v>72</v>
      </c>
      <c r="P103" t="s">
        <v>41</v>
      </c>
      <c r="Q103" s="10">
        <v>68</v>
      </c>
      <c r="R103" s="10">
        <v>17</v>
      </c>
      <c r="S103" s="10">
        <v>71</v>
      </c>
      <c r="T103" s="10">
        <v>15</v>
      </c>
      <c r="U103" s="10">
        <v>0</v>
      </c>
      <c r="V103" s="10">
        <v>11</v>
      </c>
      <c r="W103" s="10">
        <v>5</v>
      </c>
    </row>
    <row r="104" spans="1:23">
      <c r="A104" s="2" t="s">
        <v>205</v>
      </c>
      <c r="B104" s="2" t="s">
        <v>208</v>
      </c>
      <c r="C104">
        <v>1</v>
      </c>
      <c r="D104" s="5">
        <v>45030</v>
      </c>
      <c r="E104">
        <v>2528</v>
      </c>
      <c r="F104">
        <v>39</v>
      </c>
      <c r="G104">
        <v>172825906</v>
      </c>
      <c r="H104" t="str">
        <f t="shared" si="1"/>
        <v>no</v>
      </c>
      <c r="I104">
        <v>56</v>
      </c>
      <c r="J104">
        <v>91</v>
      </c>
      <c r="K104">
        <v>59</v>
      </c>
      <c r="L104">
        <v>3</v>
      </c>
      <c r="M104">
        <v>486</v>
      </c>
      <c r="N104">
        <v>170</v>
      </c>
      <c r="O104" t="s">
        <v>51</v>
      </c>
      <c r="P104" t="s">
        <v>26</v>
      </c>
      <c r="Q104" s="10">
        <v>50</v>
      </c>
      <c r="R104" s="10">
        <v>37</v>
      </c>
      <c r="S104" s="10">
        <v>90</v>
      </c>
      <c r="T104" s="10">
        <v>0</v>
      </c>
      <c r="U104" s="10">
        <v>0</v>
      </c>
      <c r="V104" s="10">
        <v>12</v>
      </c>
      <c r="W104" s="10">
        <v>5</v>
      </c>
    </row>
    <row r="105" spans="1:23" ht="30.75">
      <c r="A105" s="2" t="s">
        <v>209</v>
      </c>
      <c r="B105" s="2" t="s">
        <v>210</v>
      </c>
      <c r="C105">
        <v>1</v>
      </c>
      <c r="D105" s="5">
        <v>37987</v>
      </c>
      <c r="E105">
        <v>12985</v>
      </c>
      <c r="F105">
        <v>61</v>
      </c>
      <c r="G105">
        <v>1241559043</v>
      </c>
      <c r="H105" t="str">
        <f t="shared" si="1"/>
        <v>yes</v>
      </c>
      <c r="I105">
        <v>49</v>
      </c>
      <c r="J105">
        <v>98</v>
      </c>
      <c r="K105" s="1">
        <v>2394</v>
      </c>
      <c r="L105">
        <v>5</v>
      </c>
      <c r="M105">
        <v>204</v>
      </c>
      <c r="N105">
        <v>84</v>
      </c>
      <c r="O105" t="s">
        <v>98</v>
      </c>
      <c r="P105" t="s">
        <v>41</v>
      </c>
      <c r="Q105" s="10">
        <v>62</v>
      </c>
      <c r="R105" s="10">
        <v>24</v>
      </c>
      <c r="S105" s="10">
        <v>67</v>
      </c>
      <c r="T105" s="10">
        <v>21</v>
      </c>
      <c r="U105" s="10">
        <v>0</v>
      </c>
      <c r="V105" s="10">
        <v>13</v>
      </c>
      <c r="W105" s="10">
        <v>28</v>
      </c>
    </row>
    <row r="106" spans="1:23">
      <c r="A106" s="2" t="s">
        <v>211</v>
      </c>
      <c r="B106" s="2" t="s">
        <v>212</v>
      </c>
      <c r="C106">
        <v>1</v>
      </c>
      <c r="D106" s="5">
        <v>45114</v>
      </c>
      <c r="E106">
        <v>77</v>
      </c>
      <c r="F106">
        <v>35</v>
      </c>
      <c r="G106">
        <v>29562220</v>
      </c>
      <c r="H106" t="str">
        <f t="shared" si="1"/>
        <v>no</v>
      </c>
      <c r="I106">
        <v>8</v>
      </c>
      <c r="J106">
        <v>166</v>
      </c>
      <c r="K106">
        <v>4</v>
      </c>
      <c r="L106">
        <v>4</v>
      </c>
      <c r="M106">
        <v>34</v>
      </c>
      <c r="N106">
        <v>134</v>
      </c>
      <c r="O106" t="s">
        <v>98</v>
      </c>
      <c r="P106" t="s">
        <v>41</v>
      </c>
      <c r="Q106" s="10">
        <v>81</v>
      </c>
      <c r="R106" s="10">
        <v>53</v>
      </c>
      <c r="S106" s="10">
        <v>72</v>
      </c>
      <c r="T106" s="10">
        <v>51</v>
      </c>
      <c r="U106" s="10">
        <v>0</v>
      </c>
      <c r="V106" s="10">
        <v>12</v>
      </c>
      <c r="W106" s="10">
        <v>5</v>
      </c>
    </row>
    <row r="107" spans="1:23" ht="45.75">
      <c r="A107" s="2" t="s">
        <v>213</v>
      </c>
      <c r="B107" s="2" t="s">
        <v>214</v>
      </c>
      <c r="C107">
        <v>1</v>
      </c>
      <c r="D107" s="5">
        <v>44671</v>
      </c>
      <c r="E107">
        <v>266</v>
      </c>
      <c r="F107">
        <v>27</v>
      </c>
      <c r="G107">
        <v>77309611</v>
      </c>
      <c r="H107" t="str">
        <f t="shared" si="1"/>
        <v>no</v>
      </c>
      <c r="I107">
        <v>6</v>
      </c>
      <c r="J107">
        <v>40</v>
      </c>
      <c r="K107">
        <v>6</v>
      </c>
      <c r="L107">
        <v>6</v>
      </c>
      <c r="M107">
        <v>202</v>
      </c>
      <c r="N107">
        <v>158</v>
      </c>
      <c r="O107" t="s">
        <v>128</v>
      </c>
      <c r="P107" t="s">
        <v>26</v>
      </c>
      <c r="Q107" s="10">
        <v>54</v>
      </c>
      <c r="R107" s="10">
        <v>50</v>
      </c>
      <c r="S107" s="10">
        <v>40</v>
      </c>
      <c r="T107" s="10">
        <v>61</v>
      </c>
      <c r="U107" s="10">
        <v>0</v>
      </c>
      <c r="V107" s="10">
        <v>10</v>
      </c>
      <c r="W107" s="10">
        <v>6</v>
      </c>
    </row>
    <row r="108" spans="1:23" ht="30.75">
      <c r="A108" s="2" t="s">
        <v>215</v>
      </c>
      <c r="B108" s="2" t="s">
        <v>216</v>
      </c>
      <c r="C108">
        <v>3</v>
      </c>
      <c r="D108" s="5">
        <v>43049</v>
      </c>
      <c r="E108">
        <v>21097</v>
      </c>
      <c r="F108">
        <v>52</v>
      </c>
      <c r="G108">
        <v>1605224506</v>
      </c>
      <c r="H108" t="str">
        <f t="shared" si="1"/>
        <v>yes</v>
      </c>
      <c r="I108">
        <v>384</v>
      </c>
      <c r="J108">
        <v>135</v>
      </c>
      <c r="K108" s="1">
        <v>1034</v>
      </c>
      <c r="L108">
        <v>37</v>
      </c>
      <c r="M108">
        <v>312</v>
      </c>
      <c r="N108">
        <v>116</v>
      </c>
      <c r="O108" t="s">
        <v>29</v>
      </c>
      <c r="P108" t="s">
        <v>26</v>
      </c>
      <c r="Q108" s="10">
        <v>80</v>
      </c>
      <c r="R108" s="10">
        <v>92</v>
      </c>
      <c r="S108" s="10">
        <v>80</v>
      </c>
      <c r="T108" s="10">
        <v>4</v>
      </c>
      <c r="U108" s="10">
        <v>0</v>
      </c>
      <c r="V108" s="10">
        <v>10</v>
      </c>
      <c r="W108" s="10">
        <v>3</v>
      </c>
    </row>
    <row r="109" spans="1:23">
      <c r="A109" s="2" t="s">
        <v>217</v>
      </c>
      <c r="B109" s="2" t="s">
        <v>218</v>
      </c>
      <c r="C109">
        <v>1</v>
      </c>
      <c r="D109" s="5">
        <v>42853</v>
      </c>
      <c r="E109">
        <v>3423</v>
      </c>
      <c r="F109">
        <v>21</v>
      </c>
      <c r="G109">
        <v>1116995633</v>
      </c>
      <c r="H109" t="str">
        <f t="shared" si="1"/>
        <v>yes</v>
      </c>
      <c r="I109">
        <v>41</v>
      </c>
      <c r="J109">
        <v>100</v>
      </c>
      <c r="K109">
        <v>59</v>
      </c>
      <c r="L109">
        <v>1</v>
      </c>
      <c r="M109">
        <v>32</v>
      </c>
      <c r="N109">
        <v>117</v>
      </c>
      <c r="O109" t="s">
        <v>29</v>
      </c>
      <c r="P109" t="s">
        <v>26</v>
      </c>
      <c r="Q109" s="10">
        <v>61</v>
      </c>
      <c r="R109" s="10">
        <v>45</v>
      </c>
      <c r="S109" s="10">
        <v>69</v>
      </c>
      <c r="T109" s="10">
        <v>2</v>
      </c>
      <c r="U109" s="10">
        <v>0</v>
      </c>
      <c r="V109" s="10">
        <v>9</v>
      </c>
      <c r="W109" s="10">
        <v>3</v>
      </c>
    </row>
    <row r="110" spans="1:23">
      <c r="A110" s="2" t="s">
        <v>219</v>
      </c>
      <c r="B110" s="2" t="s">
        <v>220</v>
      </c>
      <c r="C110">
        <v>1</v>
      </c>
      <c r="D110" s="5">
        <v>44266</v>
      </c>
      <c r="E110">
        <v>4198</v>
      </c>
      <c r="F110">
        <v>44</v>
      </c>
      <c r="G110">
        <v>838079900</v>
      </c>
      <c r="H110" t="str">
        <f t="shared" si="1"/>
        <v>yes</v>
      </c>
      <c r="I110">
        <v>98</v>
      </c>
      <c r="J110">
        <v>108</v>
      </c>
      <c r="K110">
        <v>327</v>
      </c>
      <c r="L110">
        <v>17</v>
      </c>
      <c r="M110">
        <v>153</v>
      </c>
      <c r="N110">
        <v>114</v>
      </c>
      <c r="O110" t="s">
        <v>32</v>
      </c>
      <c r="P110" t="s">
        <v>41</v>
      </c>
      <c r="Q110" s="10">
        <v>77</v>
      </c>
      <c r="R110" s="10">
        <v>65</v>
      </c>
      <c r="S110" s="10">
        <v>72</v>
      </c>
      <c r="T110" s="10">
        <v>2</v>
      </c>
      <c r="U110" s="10">
        <v>0</v>
      </c>
      <c r="V110" s="10">
        <v>7</v>
      </c>
      <c r="W110" s="10">
        <v>5</v>
      </c>
    </row>
    <row r="111" spans="1:23" ht="45.75">
      <c r="A111" s="2" t="s">
        <v>221</v>
      </c>
      <c r="B111" s="2" t="s">
        <v>222</v>
      </c>
      <c r="C111">
        <v>1</v>
      </c>
      <c r="D111" s="5">
        <v>40544</v>
      </c>
      <c r="E111">
        <v>14739</v>
      </c>
      <c r="F111">
        <v>43</v>
      </c>
      <c r="G111">
        <v>1163620694</v>
      </c>
      <c r="H111" t="str">
        <f t="shared" si="1"/>
        <v>yes</v>
      </c>
      <c r="I111">
        <v>88</v>
      </c>
      <c r="J111">
        <v>112</v>
      </c>
      <c r="K111" s="1">
        <v>2163</v>
      </c>
      <c r="L111">
        <v>5</v>
      </c>
      <c r="M111">
        <v>519</v>
      </c>
      <c r="N111">
        <v>108</v>
      </c>
      <c r="O111" t="s">
        <v>51</v>
      </c>
      <c r="P111" t="s">
        <v>41</v>
      </c>
      <c r="Q111" s="10">
        <v>61</v>
      </c>
      <c r="R111" s="10">
        <v>47</v>
      </c>
      <c r="S111" s="10">
        <v>68</v>
      </c>
      <c r="T111" s="10">
        <v>0</v>
      </c>
      <c r="U111" s="10">
        <v>0</v>
      </c>
      <c r="V111" s="10">
        <v>13</v>
      </c>
      <c r="W111" s="10">
        <v>3</v>
      </c>
    </row>
    <row r="112" spans="1:23">
      <c r="A112" s="2" t="s">
        <v>223</v>
      </c>
      <c r="B112" s="2" t="s">
        <v>224</v>
      </c>
      <c r="C112">
        <v>2</v>
      </c>
      <c r="D112" s="5">
        <v>40909</v>
      </c>
      <c r="E112">
        <v>26792</v>
      </c>
      <c r="F112">
        <v>32</v>
      </c>
      <c r="G112">
        <v>1093605526</v>
      </c>
      <c r="H112" t="str">
        <f t="shared" si="1"/>
        <v>yes</v>
      </c>
      <c r="I112">
        <v>69</v>
      </c>
      <c r="J112">
        <v>113</v>
      </c>
      <c r="K112">
        <v>695</v>
      </c>
      <c r="L112">
        <v>0</v>
      </c>
      <c r="M112">
        <v>458</v>
      </c>
      <c r="N112">
        <v>144</v>
      </c>
      <c r="O112" t="s">
        <v>98</v>
      </c>
      <c r="P112" t="s">
        <v>41</v>
      </c>
      <c r="Q112" s="10">
        <v>74</v>
      </c>
      <c r="R112" s="10">
        <v>37</v>
      </c>
      <c r="S112" s="10">
        <v>53</v>
      </c>
      <c r="T112" s="10">
        <v>7</v>
      </c>
      <c r="U112" s="10">
        <v>0</v>
      </c>
      <c r="V112" s="10">
        <v>21</v>
      </c>
      <c r="W112" s="10">
        <v>10</v>
      </c>
    </row>
    <row r="113" spans="1:23" ht="30.75">
      <c r="A113" s="2" t="s">
        <v>223</v>
      </c>
      <c r="B113" s="2" t="s">
        <v>225</v>
      </c>
      <c r="C113">
        <v>1</v>
      </c>
      <c r="D113" s="5">
        <v>44897</v>
      </c>
      <c r="E113">
        <v>213</v>
      </c>
      <c r="F113">
        <v>6</v>
      </c>
      <c r="G113">
        <v>179659294</v>
      </c>
      <c r="H113" t="str">
        <f t="shared" si="1"/>
        <v>no</v>
      </c>
      <c r="I113">
        <v>7</v>
      </c>
      <c r="J113">
        <v>6</v>
      </c>
      <c r="K113">
        <v>0</v>
      </c>
      <c r="L113">
        <v>0</v>
      </c>
      <c r="M113">
        <v>48</v>
      </c>
      <c r="N113">
        <v>130</v>
      </c>
      <c r="O113" t="s">
        <v>32</v>
      </c>
      <c r="P113" t="s">
        <v>26</v>
      </c>
      <c r="Q113" s="10">
        <v>51</v>
      </c>
      <c r="R113" s="10">
        <v>18</v>
      </c>
      <c r="S113" s="10">
        <v>44</v>
      </c>
      <c r="T113" s="10">
        <v>76</v>
      </c>
      <c r="U113" s="10">
        <v>0</v>
      </c>
      <c r="V113" s="10">
        <v>11</v>
      </c>
      <c r="W113" s="10">
        <v>3</v>
      </c>
    </row>
    <row r="114" spans="1:23">
      <c r="A114" s="2" t="s">
        <v>223</v>
      </c>
      <c r="B114" s="2" t="s">
        <v>226</v>
      </c>
      <c r="C114">
        <v>2</v>
      </c>
      <c r="D114" s="5">
        <v>45099</v>
      </c>
      <c r="E114">
        <v>58</v>
      </c>
      <c r="F114">
        <v>18</v>
      </c>
      <c r="G114">
        <v>39058561</v>
      </c>
      <c r="H114" t="str">
        <f t="shared" si="1"/>
        <v>no</v>
      </c>
      <c r="I114">
        <v>2</v>
      </c>
      <c r="J114">
        <v>106</v>
      </c>
      <c r="K114">
        <v>4</v>
      </c>
      <c r="L114">
        <v>2</v>
      </c>
      <c r="M114">
        <v>184</v>
      </c>
      <c r="N114">
        <v>116</v>
      </c>
      <c r="O114" t="s">
        <v>25</v>
      </c>
      <c r="P114" t="s">
        <v>26</v>
      </c>
      <c r="Q114" s="10">
        <v>77</v>
      </c>
      <c r="R114" s="10">
        <v>79</v>
      </c>
      <c r="S114" s="10">
        <v>62</v>
      </c>
      <c r="T114" s="10">
        <v>33</v>
      </c>
      <c r="U114" s="10">
        <v>1</v>
      </c>
      <c r="V114" s="10">
        <v>15</v>
      </c>
      <c r="W114" s="10">
        <v>3</v>
      </c>
    </row>
    <row r="115" spans="1:23" ht="30.75">
      <c r="A115" s="2" t="s">
        <v>223</v>
      </c>
      <c r="B115" s="2" t="s">
        <v>227</v>
      </c>
      <c r="C115">
        <v>1</v>
      </c>
      <c r="D115" s="5">
        <v>45114</v>
      </c>
      <c r="E115">
        <v>99</v>
      </c>
      <c r="F115">
        <v>15</v>
      </c>
      <c r="G115">
        <v>36912123</v>
      </c>
      <c r="H115" t="str">
        <f t="shared" si="1"/>
        <v>no</v>
      </c>
      <c r="I115">
        <v>21</v>
      </c>
      <c r="J115">
        <v>52</v>
      </c>
      <c r="K115">
        <v>6</v>
      </c>
      <c r="L115">
        <v>1</v>
      </c>
      <c r="M115">
        <v>0</v>
      </c>
      <c r="N115">
        <v>121</v>
      </c>
      <c r="O115" t="s">
        <v>72</v>
      </c>
      <c r="P115" t="s">
        <v>26</v>
      </c>
      <c r="Q115" s="10">
        <v>65</v>
      </c>
      <c r="R115" s="10">
        <v>49</v>
      </c>
      <c r="S115" s="10">
        <v>78</v>
      </c>
      <c r="T115" s="10">
        <v>0</v>
      </c>
      <c r="U115" s="10">
        <v>0</v>
      </c>
      <c r="V115" s="10">
        <v>17</v>
      </c>
      <c r="W115" s="10">
        <v>4</v>
      </c>
    </row>
    <row r="116" spans="1:23" ht="45.75">
      <c r="A116" s="2" t="s">
        <v>228</v>
      </c>
      <c r="B116" s="2" t="s">
        <v>229</v>
      </c>
      <c r="C116">
        <v>1</v>
      </c>
      <c r="D116" s="5">
        <v>31095</v>
      </c>
      <c r="E116">
        <v>41751</v>
      </c>
      <c r="F116">
        <v>25</v>
      </c>
      <c r="G116">
        <v>1205951614</v>
      </c>
      <c r="H116" t="str">
        <f t="shared" si="1"/>
        <v>yes</v>
      </c>
      <c r="I116">
        <v>101</v>
      </c>
      <c r="J116">
        <v>32</v>
      </c>
      <c r="K116" s="1">
        <v>2655</v>
      </c>
      <c r="L116">
        <v>0</v>
      </c>
      <c r="M116">
        <v>666</v>
      </c>
      <c r="N116">
        <v>112</v>
      </c>
      <c r="O116" t="s">
        <v>72</v>
      </c>
      <c r="P116" t="s">
        <v>26</v>
      </c>
      <c r="Q116" s="10">
        <v>64</v>
      </c>
      <c r="R116" s="10">
        <v>54</v>
      </c>
      <c r="S116" s="10">
        <v>81</v>
      </c>
      <c r="T116" s="10">
        <v>36</v>
      </c>
      <c r="U116" s="10">
        <v>0</v>
      </c>
      <c r="V116" s="10">
        <v>11</v>
      </c>
      <c r="W116" s="10">
        <v>6</v>
      </c>
    </row>
    <row r="117" spans="1:23" ht="45.75">
      <c r="A117" s="2" t="s">
        <v>228</v>
      </c>
      <c r="B117" s="2" t="s">
        <v>230</v>
      </c>
      <c r="C117">
        <v>1</v>
      </c>
      <c r="D117" s="5">
        <v>41982</v>
      </c>
      <c r="E117">
        <v>21164</v>
      </c>
      <c r="F117">
        <v>36</v>
      </c>
      <c r="G117">
        <v>1791000570</v>
      </c>
      <c r="H117" t="str">
        <f t="shared" si="1"/>
        <v>yes</v>
      </c>
      <c r="I117">
        <v>80</v>
      </c>
      <c r="J117">
        <v>65</v>
      </c>
      <c r="K117">
        <v>476</v>
      </c>
      <c r="L117">
        <v>0</v>
      </c>
      <c r="M117">
        <v>14</v>
      </c>
      <c r="N117">
        <v>100</v>
      </c>
      <c r="O117" t="s">
        <v>128</v>
      </c>
      <c r="P117" t="s">
        <v>41</v>
      </c>
      <c r="Q117" s="10">
        <v>70</v>
      </c>
      <c r="R117" s="10">
        <v>47</v>
      </c>
      <c r="S117" s="10">
        <v>52</v>
      </c>
      <c r="T117" s="10">
        <v>30</v>
      </c>
      <c r="U117" s="10">
        <v>0</v>
      </c>
      <c r="V117" s="10">
        <v>6</v>
      </c>
      <c r="W117" s="10">
        <v>33</v>
      </c>
    </row>
    <row r="118" spans="1:23">
      <c r="A118" s="2" t="s">
        <v>231</v>
      </c>
      <c r="B118" s="2" t="s">
        <v>232</v>
      </c>
      <c r="C118">
        <v>1</v>
      </c>
      <c r="D118" s="5">
        <v>44982</v>
      </c>
      <c r="E118">
        <v>2988</v>
      </c>
      <c r="F118">
        <v>59</v>
      </c>
      <c r="G118">
        <v>201660859</v>
      </c>
      <c r="H118" t="str">
        <f t="shared" si="1"/>
        <v>yes</v>
      </c>
      <c r="I118">
        <v>74</v>
      </c>
      <c r="J118">
        <v>102</v>
      </c>
      <c r="K118">
        <v>145</v>
      </c>
      <c r="L118">
        <v>18</v>
      </c>
      <c r="M118">
        <v>925</v>
      </c>
      <c r="N118">
        <v>150</v>
      </c>
      <c r="O118" t="s">
        <v>196</v>
      </c>
      <c r="P118" t="s">
        <v>41</v>
      </c>
      <c r="Q118" s="10">
        <v>55</v>
      </c>
      <c r="R118" s="10">
        <v>30</v>
      </c>
      <c r="S118" s="10">
        <v>78</v>
      </c>
      <c r="T118" s="10">
        <v>24</v>
      </c>
      <c r="U118" s="10">
        <v>0</v>
      </c>
      <c r="V118" s="10">
        <v>12</v>
      </c>
      <c r="W118" s="10">
        <v>8</v>
      </c>
    </row>
    <row r="119" spans="1:23">
      <c r="A119" s="2" t="s">
        <v>231</v>
      </c>
      <c r="B119" s="2" t="s">
        <v>233</v>
      </c>
      <c r="C119">
        <v>2</v>
      </c>
      <c r="D119" s="5">
        <v>44965</v>
      </c>
      <c r="E119">
        <v>893</v>
      </c>
      <c r="F119">
        <v>38</v>
      </c>
      <c r="G119">
        <v>248088961</v>
      </c>
      <c r="H119" t="str">
        <f t="shared" si="1"/>
        <v>yes</v>
      </c>
      <c r="I119">
        <v>19</v>
      </c>
      <c r="J119">
        <v>23</v>
      </c>
      <c r="K119">
        <v>24</v>
      </c>
      <c r="L119">
        <v>3</v>
      </c>
      <c r="M119">
        <v>88</v>
      </c>
      <c r="N119">
        <v>120</v>
      </c>
      <c r="O119" t="s">
        <v>32</v>
      </c>
      <c r="P119" t="s">
        <v>41</v>
      </c>
      <c r="Q119" s="10">
        <v>84</v>
      </c>
      <c r="R119" s="10">
        <v>96</v>
      </c>
      <c r="S119" s="10">
        <v>71</v>
      </c>
      <c r="T119" s="10">
        <v>18</v>
      </c>
      <c r="U119" s="10">
        <v>0</v>
      </c>
      <c r="V119" s="10">
        <v>34</v>
      </c>
      <c r="W119" s="10">
        <v>17</v>
      </c>
    </row>
    <row r="120" spans="1:23">
      <c r="A120" s="2" t="s">
        <v>231</v>
      </c>
      <c r="B120" s="2" t="s">
        <v>234</v>
      </c>
      <c r="C120">
        <v>3</v>
      </c>
      <c r="D120" s="5">
        <v>45058</v>
      </c>
      <c r="E120">
        <v>1094</v>
      </c>
      <c r="F120">
        <v>34</v>
      </c>
      <c r="G120">
        <v>90839753</v>
      </c>
      <c r="H120" t="str">
        <f t="shared" si="1"/>
        <v>no</v>
      </c>
      <c r="I120">
        <v>40</v>
      </c>
      <c r="J120">
        <v>58</v>
      </c>
      <c r="K120">
        <v>47</v>
      </c>
      <c r="L120">
        <v>8</v>
      </c>
      <c r="M120">
        <v>203</v>
      </c>
      <c r="N120">
        <v>127</v>
      </c>
      <c r="O120" t="s">
        <v>25</v>
      </c>
      <c r="P120" t="s">
        <v>41</v>
      </c>
      <c r="Q120" s="10">
        <v>82</v>
      </c>
      <c r="R120" s="10">
        <v>89</v>
      </c>
      <c r="S120" s="10">
        <v>85</v>
      </c>
      <c r="T120" s="10">
        <v>4</v>
      </c>
      <c r="U120" s="10">
        <v>0</v>
      </c>
      <c r="V120" s="10">
        <v>23</v>
      </c>
      <c r="W120" s="10">
        <v>6</v>
      </c>
    </row>
    <row r="121" spans="1:23">
      <c r="A121" s="2" t="s">
        <v>231</v>
      </c>
      <c r="B121" s="2" t="s">
        <v>235</v>
      </c>
      <c r="C121">
        <v>1</v>
      </c>
      <c r="D121" s="5">
        <v>44036</v>
      </c>
      <c r="E121">
        <v>7324</v>
      </c>
      <c r="F121">
        <v>22</v>
      </c>
      <c r="G121">
        <v>607123776</v>
      </c>
      <c r="H121" t="str">
        <f t="shared" si="1"/>
        <v>yes</v>
      </c>
      <c r="I121">
        <v>25</v>
      </c>
      <c r="J121">
        <v>81</v>
      </c>
      <c r="K121">
        <v>61</v>
      </c>
      <c r="L121">
        <v>1</v>
      </c>
      <c r="M121">
        <v>44</v>
      </c>
      <c r="N121">
        <v>90</v>
      </c>
      <c r="O121" t="s">
        <v>32</v>
      </c>
      <c r="P121" t="s">
        <v>26</v>
      </c>
      <c r="Q121" s="10">
        <v>51</v>
      </c>
      <c r="R121" s="10">
        <v>42</v>
      </c>
      <c r="S121" s="10">
        <v>61</v>
      </c>
      <c r="T121" s="10">
        <v>53</v>
      </c>
      <c r="U121" s="10">
        <v>0</v>
      </c>
      <c r="V121" s="10">
        <v>9</v>
      </c>
      <c r="W121" s="10">
        <v>3</v>
      </c>
    </row>
    <row r="122" spans="1:23">
      <c r="A122" s="2" t="s">
        <v>231</v>
      </c>
      <c r="B122" s="2" t="s">
        <v>236</v>
      </c>
      <c r="C122">
        <v>2</v>
      </c>
      <c r="D122" s="5">
        <v>45099</v>
      </c>
      <c r="E122">
        <v>201</v>
      </c>
      <c r="F122">
        <v>11</v>
      </c>
      <c r="G122">
        <v>55842345</v>
      </c>
      <c r="H122" t="str">
        <f t="shared" si="1"/>
        <v>no</v>
      </c>
      <c r="I122">
        <v>19</v>
      </c>
      <c r="J122">
        <v>117</v>
      </c>
      <c r="K122">
        <v>8</v>
      </c>
      <c r="L122">
        <v>1</v>
      </c>
      <c r="M122">
        <v>74</v>
      </c>
      <c r="N122">
        <v>128</v>
      </c>
      <c r="O122" t="s">
        <v>37</v>
      </c>
      <c r="P122" t="s">
        <v>41</v>
      </c>
      <c r="Q122" s="10">
        <v>75</v>
      </c>
      <c r="R122" s="10">
        <v>79</v>
      </c>
      <c r="S122" s="10">
        <v>63</v>
      </c>
      <c r="T122" s="10">
        <v>33</v>
      </c>
      <c r="U122" s="10">
        <v>0</v>
      </c>
      <c r="V122" s="10">
        <v>15</v>
      </c>
      <c r="W122" s="10">
        <v>4</v>
      </c>
    </row>
    <row r="123" spans="1:23" ht="30.75">
      <c r="A123" s="2" t="s">
        <v>231</v>
      </c>
      <c r="B123" s="2" t="s">
        <v>237</v>
      </c>
      <c r="C123">
        <v>2</v>
      </c>
      <c r="D123" s="5">
        <v>44995</v>
      </c>
      <c r="E123">
        <v>5120</v>
      </c>
      <c r="F123">
        <v>48</v>
      </c>
      <c r="G123">
        <v>211050784</v>
      </c>
      <c r="H123" t="str">
        <f t="shared" si="1"/>
        <v>yes</v>
      </c>
      <c r="I123">
        <v>161</v>
      </c>
      <c r="J123">
        <v>115</v>
      </c>
      <c r="K123">
        <v>246</v>
      </c>
      <c r="L123">
        <v>9</v>
      </c>
      <c r="M123">
        <v>638</v>
      </c>
      <c r="N123">
        <v>143</v>
      </c>
      <c r="O123" t="s">
        <v>37</v>
      </c>
      <c r="P123" t="s">
        <v>26</v>
      </c>
      <c r="Q123" s="10">
        <v>64</v>
      </c>
      <c r="R123" s="10">
        <v>31</v>
      </c>
      <c r="S123" s="10">
        <v>87</v>
      </c>
      <c r="T123" s="10">
        <v>4</v>
      </c>
      <c r="U123" s="10">
        <v>4</v>
      </c>
      <c r="V123" s="10">
        <v>8</v>
      </c>
      <c r="W123" s="10">
        <v>4</v>
      </c>
    </row>
    <row r="124" spans="1:23">
      <c r="A124" s="2" t="s">
        <v>231</v>
      </c>
      <c r="B124" s="2" t="s">
        <v>238</v>
      </c>
      <c r="C124">
        <v>1</v>
      </c>
      <c r="D124" s="5">
        <v>44757</v>
      </c>
      <c r="E124">
        <v>2346</v>
      </c>
      <c r="F124">
        <v>27</v>
      </c>
      <c r="G124">
        <v>342897938</v>
      </c>
      <c r="H124" t="str">
        <f t="shared" si="1"/>
        <v>yes</v>
      </c>
      <c r="I124">
        <v>69</v>
      </c>
      <c r="J124">
        <v>12</v>
      </c>
      <c r="K124">
        <v>38</v>
      </c>
      <c r="L124">
        <v>8</v>
      </c>
      <c r="M124">
        <v>64</v>
      </c>
      <c r="N124">
        <v>139</v>
      </c>
      <c r="O124" t="s">
        <v>63</v>
      </c>
      <c r="P124" t="s">
        <v>26</v>
      </c>
      <c r="Q124" s="10">
        <v>74</v>
      </c>
      <c r="R124" s="10">
        <v>68</v>
      </c>
      <c r="S124" s="10">
        <v>68</v>
      </c>
      <c r="T124" s="10">
        <v>3</v>
      </c>
      <c r="U124" s="10">
        <v>0</v>
      </c>
      <c r="V124" s="10">
        <v>26</v>
      </c>
      <c r="W124" s="10">
        <v>4</v>
      </c>
    </row>
    <row r="125" spans="1:23">
      <c r="A125" s="2" t="s">
        <v>231</v>
      </c>
      <c r="B125" s="2" t="s">
        <v>239</v>
      </c>
      <c r="C125">
        <v>2</v>
      </c>
      <c r="D125" s="5">
        <v>44904</v>
      </c>
      <c r="E125">
        <v>763</v>
      </c>
      <c r="F125">
        <v>26</v>
      </c>
      <c r="G125">
        <v>2762</v>
      </c>
      <c r="H125" t="str">
        <f t="shared" si="1"/>
        <v>no</v>
      </c>
      <c r="I125">
        <v>21</v>
      </c>
      <c r="J125">
        <v>110</v>
      </c>
      <c r="K125">
        <v>21</v>
      </c>
      <c r="L125">
        <v>9</v>
      </c>
      <c r="M125">
        <v>71</v>
      </c>
      <c r="N125">
        <v>162</v>
      </c>
      <c r="O125" t="s">
        <v>128</v>
      </c>
      <c r="P125" t="s">
        <v>26</v>
      </c>
      <c r="Q125" s="10">
        <v>49</v>
      </c>
      <c r="R125" s="10">
        <v>78</v>
      </c>
      <c r="S125" s="10">
        <v>64</v>
      </c>
      <c r="T125" s="10">
        <v>19</v>
      </c>
      <c r="U125" s="10">
        <v>0</v>
      </c>
      <c r="V125" s="10">
        <v>11</v>
      </c>
      <c r="W125" s="10">
        <v>4</v>
      </c>
    </row>
    <row r="126" spans="1:23" ht="30.75">
      <c r="A126" s="2" t="s">
        <v>240</v>
      </c>
      <c r="B126" s="2" t="s">
        <v>241</v>
      </c>
      <c r="C126">
        <v>1</v>
      </c>
      <c r="D126" s="5">
        <v>44358</v>
      </c>
      <c r="E126">
        <v>457</v>
      </c>
      <c r="F126">
        <v>24</v>
      </c>
      <c r="G126">
        <v>330346424</v>
      </c>
      <c r="H126" t="str">
        <f t="shared" si="1"/>
        <v>yes</v>
      </c>
      <c r="I126">
        <v>8</v>
      </c>
      <c r="J126">
        <v>116</v>
      </c>
      <c r="K126">
        <v>4</v>
      </c>
      <c r="L126">
        <v>3</v>
      </c>
      <c r="M126">
        <v>2</v>
      </c>
      <c r="N126">
        <v>92</v>
      </c>
      <c r="P126" t="s">
        <v>26</v>
      </c>
      <c r="Q126" s="10">
        <v>81</v>
      </c>
      <c r="R126" s="10">
        <v>39</v>
      </c>
      <c r="S126" s="10">
        <v>60</v>
      </c>
      <c r="T126" s="10">
        <v>31</v>
      </c>
      <c r="U126" s="10">
        <v>0</v>
      </c>
      <c r="V126" s="10">
        <v>7</v>
      </c>
      <c r="W126" s="10">
        <v>3</v>
      </c>
    </row>
    <row r="127" spans="1:23" ht="45.75">
      <c r="A127" s="2" t="s">
        <v>242</v>
      </c>
      <c r="B127" s="2" t="s">
        <v>243</v>
      </c>
      <c r="C127">
        <v>1</v>
      </c>
      <c r="D127" s="5">
        <v>44792</v>
      </c>
      <c r="E127">
        <v>3430</v>
      </c>
      <c r="F127">
        <v>38</v>
      </c>
      <c r="G127">
        <v>601863821</v>
      </c>
      <c r="H127" t="str">
        <f t="shared" si="1"/>
        <v>yes</v>
      </c>
      <c r="I127">
        <v>45</v>
      </c>
      <c r="J127">
        <v>69</v>
      </c>
      <c r="K127">
        <v>52</v>
      </c>
      <c r="L127">
        <v>4</v>
      </c>
      <c r="M127">
        <v>3</v>
      </c>
      <c r="N127">
        <v>95</v>
      </c>
      <c r="O127" t="s">
        <v>32</v>
      </c>
      <c r="P127" t="s">
        <v>26</v>
      </c>
      <c r="Q127" s="10">
        <v>87</v>
      </c>
      <c r="R127" s="10">
        <v>57</v>
      </c>
      <c r="S127" s="10">
        <v>55</v>
      </c>
      <c r="T127" s="10">
        <v>10</v>
      </c>
      <c r="U127" s="10">
        <v>0</v>
      </c>
      <c r="V127" s="10">
        <v>29</v>
      </c>
      <c r="W127" s="10">
        <v>7</v>
      </c>
    </row>
    <row r="128" spans="1:23" ht="45.75">
      <c r="A128" s="2" t="s">
        <v>244</v>
      </c>
      <c r="B128" s="2" t="s">
        <v>245</v>
      </c>
      <c r="C128">
        <v>3</v>
      </c>
      <c r="D128" s="5">
        <v>40771</v>
      </c>
      <c r="E128">
        <v>6074</v>
      </c>
      <c r="F128">
        <v>52</v>
      </c>
      <c r="G128">
        <v>1953533826</v>
      </c>
      <c r="H128" t="str">
        <f t="shared" si="1"/>
        <v>yes</v>
      </c>
      <c r="I128">
        <v>201</v>
      </c>
      <c r="J128">
        <v>44</v>
      </c>
      <c r="K128" s="1">
        <v>6551</v>
      </c>
      <c r="L128">
        <v>2</v>
      </c>
      <c r="M128">
        <v>0</v>
      </c>
      <c r="N128">
        <v>146</v>
      </c>
      <c r="O128" t="s">
        <v>51</v>
      </c>
      <c r="P128" t="s">
        <v>26</v>
      </c>
      <c r="Q128" s="10">
        <v>63</v>
      </c>
      <c r="R128" s="10">
        <v>88</v>
      </c>
      <c r="S128" s="10">
        <v>93</v>
      </c>
      <c r="T128" s="10">
        <v>3</v>
      </c>
      <c r="U128" s="10">
        <v>0</v>
      </c>
      <c r="V128" s="10">
        <v>10</v>
      </c>
      <c r="W128" s="10">
        <v>8</v>
      </c>
    </row>
    <row r="129" spans="1:23" ht="30.75">
      <c r="A129" s="2" t="s">
        <v>244</v>
      </c>
      <c r="B129" s="2" t="s">
        <v>246</v>
      </c>
      <c r="C129">
        <v>1</v>
      </c>
      <c r="D129" s="5">
        <v>43786</v>
      </c>
      <c r="E129">
        <v>21915</v>
      </c>
      <c r="F129">
        <v>34</v>
      </c>
      <c r="G129">
        <v>2322580122</v>
      </c>
      <c r="H129" t="str">
        <f t="shared" si="1"/>
        <v>yes</v>
      </c>
      <c r="I129">
        <v>437</v>
      </c>
      <c r="J129">
        <v>115</v>
      </c>
      <c r="K129" s="1">
        <v>1212</v>
      </c>
      <c r="L129">
        <v>12</v>
      </c>
      <c r="N129">
        <v>95</v>
      </c>
      <c r="P129" t="s">
        <v>26</v>
      </c>
      <c r="Q129" s="10">
        <v>55</v>
      </c>
      <c r="R129" s="10">
        <v>56</v>
      </c>
      <c r="S129" s="10">
        <v>82</v>
      </c>
      <c r="T129" s="10">
        <v>12</v>
      </c>
      <c r="U129" s="10">
        <v>0</v>
      </c>
      <c r="V129" s="10">
        <v>34</v>
      </c>
      <c r="W129" s="10">
        <v>5</v>
      </c>
    </row>
    <row r="130" spans="1:23" ht="30.75">
      <c r="A130" s="2" t="s">
        <v>247</v>
      </c>
      <c r="B130" s="2" t="s">
        <v>248</v>
      </c>
      <c r="C130">
        <v>2</v>
      </c>
      <c r="D130" s="5">
        <v>42958</v>
      </c>
      <c r="E130">
        <v>15032</v>
      </c>
      <c r="F130">
        <v>30</v>
      </c>
      <c r="G130">
        <v>2355719893</v>
      </c>
      <c r="H130" t="str">
        <f t="shared" ref="H130:H193" si="2">IF(G130&gt;$Z$2,$Z$4,$Z$5)</f>
        <v>yes</v>
      </c>
      <c r="I130">
        <v>221</v>
      </c>
      <c r="J130">
        <v>96</v>
      </c>
      <c r="K130" s="1">
        <v>1078</v>
      </c>
      <c r="L130">
        <v>2</v>
      </c>
      <c r="M130">
        <v>136</v>
      </c>
      <c r="N130">
        <v>115</v>
      </c>
      <c r="O130" t="s">
        <v>98</v>
      </c>
      <c r="P130" t="s">
        <v>41</v>
      </c>
      <c r="Q130" s="10">
        <v>35</v>
      </c>
      <c r="R130" s="10">
        <v>12</v>
      </c>
      <c r="S130" s="10">
        <v>30</v>
      </c>
      <c r="T130" s="10">
        <v>93</v>
      </c>
      <c r="U130" s="10">
        <v>0</v>
      </c>
      <c r="V130" s="10">
        <v>10</v>
      </c>
      <c r="W130" s="10">
        <v>3</v>
      </c>
    </row>
    <row r="131" spans="1:23" ht="76.5">
      <c r="A131" s="2" t="s">
        <v>249</v>
      </c>
      <c r="B131" s="2" t="s">
        <v>250</v>
      </c>
      <c r="C131">
        <v>2</v>
      </c>
      <c r="D131" s="5">
        <v>45098</v>
      </c>
      <c r="E131">
        <v>871</v>
      </c>
      <c r="F131">
        <v>32</v>
      </c>
      <c r="G131">
        <v>66902503</v>
      </c>
      <c r="H131" t="str">
        <f t="shared" si="2"/>
        <v>no</v>
      </c>
      <c r="I131">
        <v>25</v>
      </c>
      <c r="J131">
        <v>59</v>
      </c>
      <c r="K131">
        <v>32</v>
      </c>
      <c r="L131">
        <v>5</v>
      </c>
      <c r="M131">
        <v>88</v>
      </c>
      <c r="N131">
        <v>128</v>
      </c>
      <c r="O131" t="s">
        <v>25</v>
      </c>
      <c r="P131" t="s">
        <v>26</v>
      </c>
      <c r="Q131" s="10">
        <v>78</v>
      </c>
      <c r="R131" s="10">
        <v>59</v>
      </c>
      <c r="S131" s="10">
        <v>65</v>
      </c>
      <c r="T131" s="10">
        <v>10</v>
      </c>
      <c r="U131" s="10">
        <v>0</v>
      </c>
      <c r="V131" s="10">
        <v>26</v>
      </c>
      <c r="W131" s="10">
        <v>5</v>
      </c>
    </row>
    <row r="132" spans="1:23">
      <c r="A132" s="2" t="s">
        <v>251</v>
      </c>
      <c r="B132" s="2" t="s">
        <v>252</v>
      </c>
      <c r="C132">
        <v>1</v>
      </c>
      <c r="D132" s="5">
        <v>45061</v>
      </c>
      <c r="E132">
        <v>451</v>
      </c>
      <c r="F132">
        <v>33</v>
      </c>
      <c r="G132">
        <v>96273746</v>
      </c>
      <c r="H132" t="str">
        <f t="shared" si="2"/>
        <v>no</v>
      </c>
      <c r="I132">
        <v>10</v>
      </c>
      <c r="J132">
        <v>126</v>
      </c>
      <c r="K132">
        <v>7</v>
      </c>
      <c r="L132">
        <v>0</v>
      </c>
      <c r="M132">
        <v>148</v>
      </c>
      <c r="N132">
        <v>130</v>
      </c>
      <c r="O132" t="s">
        <v>98</v>
      </c>
      <c r="P132" t="s">
        <v>41</v>
      </c>
      <c r="Q132" s="10">
        <v>82</v>
      </c>
      <c r="R132" s="10">
        <v>69</v>
      </c>
      <c r="S132" s="10">
        <v>83</v>
      </c>
      <c r="T132" s="10">
        <v>3</v>
      </c>
      <c r="U132" s="10">
        <v>0</v>
      </c>
      <c r="V132" s="10">
        <v>27</v>
      </c>
      <c r="W132" s="10">
        <v>5</v>
      </c>
    </row>
    <row r="133" spans="1:23" ht="30.75">
      <c r="A133" s="2" t="s">
        <v>253</v>
      </c>
      <c r="B133" s="2" t="s">
        <v>254</v>
      </c>
      <c r="C133">
        <v>1</v>
      </c>
      <c r="D133" s="5">
        <v>44928</v>
      </c>
      <c r="E133">
        <v>1783</v>
      </c>
      <c r="F133">
        <v>27</v>
      </c>
      <c r="G133">
        <v>430977451</v>
      </c>
      <c r="H133" t="str">
        <f t="shared" si="2"/>
        <v>yes</v>
      </c>
      <c r="I133">
        <v>26</v>
      </c>
      <c r="J133">
        <v>124</v>
      </c>
      <c r="K133">
        <v>15</v>
      </c>
      <c r="L133">
        <v>1</v>
      </c>
      <c r="M133">
        <v>22</v>
      </c>
      <c r="N133">
        <v>127</v>
      </c>
      <c r="O133" t="s">
        <v>37</v>
      </c>
      <c r="P133" t="s">
        <v>41</v>
      </c>
      <c r="Q133" s="10">
        <v>80</v>
      </c>
      <c r="R133" s="10">
        <v>74</v>
      </c>
      <c r="S133" s="10">
        <v>77</v>
      </c>
      <c r="T133" s="10">
        <v>36</v>
      </c>
      <c r="U133" s="10">
        <v>0</v>
      </c>
      <c r="V133" s="10">
        <v>11</v>
      </c>
      <c r="W133" s="10">
        <v>4</v>
      </c>
    </row>
    <row r="134" spans="1:23" ht="30.75">
      <c r="A134" s="2" t="s">
        <v>255</v>
      </c>
      <c r="B134" s="2" t="s">
        <v>256</v>
      </c>
      <c r="C134">
        <v>1</v>
      </c>
      <c r="D134" s="5">
        <v>40544</v>
      </c>
      <c r="E134">
        <v>9389</v>
      </c>
      <c r="F134">
        <v>46</v>
      </c>
      <c r="G134">
        <v>284819874</v>
      </c>
      <c r="H134" t="str">
        <f t="shared" si="2"/>
        <v>yes</v>
      </c>
      <c r="I134">
        <v>24</v>
      </c>
      <c r="J134">
        <v>122</v>
      </c>
      <c r="K134">
        <v>282</v>
      </c>
      <c r="L134">
        <v>3</v>
      </c>
      <c r="M134">
        <v>368</v>
      </c>
      <c r="N134">
        <v>150</v>
      </c>
      <c r="O134" t="s">
        <v>51</v>
      </c>
      <c r="P134" t="s">
        <v>26</v>
      </c>
      <c r="Q134" s="10">
        <v>42</v>
      </c>
      <c r="R134" s="10">
        <v>20</v>
      </c>
      <c r="S134" s="10">
        <v>86</v>
      </c>
      <c r="T134" s="10">
        <v>21</v>
      </c>
      <c r="U134" s="10">
        <v>0</v>
      </c>
      <c r="V134" s="10">
        <v>9</v>
      </c>
      <c r="W134" s="10">
        <v>9</v>
      </c>
    </row>
    <row r="135" spans="1:23" ht="60.75">
      <c r="A135" s="2" t="s">
        <v>257</v>
      </c>
      <c r="B135" s="2" t="s">
        <v>258</v>
      </c>
      <c r="C135">
        <v>2</v>
      </c>
      <c r="D135" s="5">
        <v>44937</v>
      </c>
      <c r="E135">
        <v>5724</v>
      </c>
      <c r="F135">
        <v>44</v>
      </c>
      <c r="G135">
        <v>721975598</v>
      </c>
      <c r="H135" t="str">
        <f t="shared" si="2"/>
        <v>yes</v>
      </c>
      <c r="I135">
        <v>119</v>
      </c>
      <c r="J135">
        <v>108</v>
      </c>
      <c r="K135">
        <v>254</v>
      </c>
      <c r="L135">
        <v>29</v>
      </c>
      <c r="M135">
        <v>22</v>
      </c>
      <c r="N135">
        <v>122</v>
      </c>
      <c r="O135" t="s">
        <v>51</v>
      </c>
      <c r="P135" t="s">
        <v>41</v>
      </c>
      <c r="Q135" s="10">
        <v>78</v>
      </c>
      <c r="R135" s="10">
        <v>50</v>
      </c>
      <c r="S135" s="10">
        <v>63</v>
      </c>
      <c r="T135" s="10">
        <v>27</v>
      </c>
      <c r="U135" s="10">
        <v>0</v>
      </c>
      <c r="V135" s="10">
        <v>9</v>
      </c>
      <c r="W135" s="10">
        <v>5</v>
      </c>
    </row>
    <row r="136" spans="1:23" ht="60.75">
      <c r="A136" s="2" t="s">
        <v>259</v>
      </c>
      <c r="B136" s="2">
        <v>505</v>
      </c>
      <c r="C136">
        <v>1</v>
      </c>
      <c r="D136" s="5">
        <v>39192</v>
      </c>
      <c r="E136">
        <v>13985</v>
      </c>
      <c r="F136">
        <v>25</v>
      </c>
      <c r="G136">
        <v>1217120710</v>
      </c>
      <c r="H136" t="str">
        <f t="shared" si="2"/>
        <v>yes</v>
      </c>
      <c r="I136">
        <v>30</v>
      </c>
      <c r="J136">
        <v>80</v>
      </c>
      <c r="K136">
        <v>588</v>
      </c>
      <c r="L136">
        <v>1</v>
      </c>
      <c r="M136">
        <v>1</v>
      </c>
      <c r="N136">
        <v>140</v>
      </c>
      <c r="P136" t="s">
        <v>26</v>
      </c>
      <c r="Q136" s="10">
        <v>52</v>
      </c>
      <c r="R136" s="10">
        <v>20</v>
      </c>
      <c r="S136" s="10">
        <v>85</v>
      </c>
      <c r="T136" s="10">
        <v>0</v>
      </c>
      <c r="U136" s="10">
        <v>0</v>
      </c>
      <c r="V136" s="10">
        <v>7</v>
      </c>
      <c r="W136" s="10">
        <v>5</v>
      </c>
    </row>
    <row r="137" spans="1:23" ht="152.25">
      <c r="A137" s="2" t="s">
        <v>260</v>
      </c>
      <c r="B137" s="2" t="s">
        <v>261</v>
      </c>
      <c r="C137">
        <v>4</v>
      </c>
      <c r="D137" s="5">
        <v>45079</v>
      </c>
      <c r="E137">
        <v>1051</v>
      </c>
      <c r="F137">
        <v>16</v>
      </c>
      <c r="G137">
        <v>109276132</v>
      </c>
      <c r="H137" t="str">
        <f t="shared" si="2"/>
        <v>no</v>
      </c>
      <c r="I137">
        <v>31</v>
      </c>
      <c r="J137">
        <v>37</v>
      </c>
      <c r="K137">
        <v>31</v>
      </c>
      <c r="L137">
        <v>0</v>
      </c>
      <c r="M137">
        <v>189</v>
      </c>
      <c r="N137">
        <v>140</v>
      </c>
      <c r="P137" t="s">
        <v>26</v>
      </c>
      <c r="Q137" s="10">
        <v>63</v>
      </c>
      <c r="R137" s="10">
        <v>22</v>
      </c>
      <c r="S137" s="10">
        <v>54</v>
      </c>
      <c r="T137" s="10">
        <v>46</v>
      </c>
      <c r="U137" s="10">
        <v>0</v>
      </c>
      <c r="V137" s="10">
        <v>12</v>
      </c>
      <c r="W137" s="10">
        <v>8</v>
      </c>
    </row>
    <row r="138" spans="1:23" ht="45.75">
      <c r="A138" s="2" t="s">
        <v>262</v>
      </c>
      <c r="B138" s="2" t="s">
        <v>263</v>
      </c>
      <c r="C138">
        <v>3</v>
      </c>
      <c r="D138" s="5">
        <v>44897</v>
      </c>
      <c r="E138">
        <v>1682</v>
      </c>
      <c r="F138">
        <v>46</v>
      </c>
      <c r="G138">
        <v>276259178</v>
      </c>
      <c r="H138" t="str">
        <f t="shared" si="2"/>
        <v>yes</v>
      </c>
      <c r="I138">
        <v>24</v>
      </c>
      <c r="J138">
        <v>90</v>
      </c>
      <c r="K138">
        <v>30</v>
      </c>
      <c r="L138">
        <v>1</v>
      </c>
      <c r="M138">
        <v>176</v>
      </c>
      <c r="N138">
        <v>119</v>
      </c>
      <c r="O138" t="s">
        <v>29</v>
      </c>
      <c r="P138" t="s">
        <v>41</v>
      </c>
      <c r="Q138" s="10">
        <v>75</v>
      </c>
      <c r="R138" s="10">
        <v>48</v>
      </c>
      <c r="S138" s="10">
        <v>53</v>
      </c>
      <c r="T138" s="10">
        <v>18</v>
      </c>
      <c r="U138" s="10">
        <v>0</v>
      </c>
      <c r="V138" s="10">
        <v>18</v>
      </c>
      <c r="W138" s="10">
        <v>34</v>
      </c>
    </row>
    <row r="139" spans="1:23" ht="60.75">
      <c r="A139" s="2" t="s">
        <v>264</v>
      </c>
      <c r="B139" s="2" t="s">
        <v>265</v>
      </c>
      <c r="C139">
        <v>5</v>
      </c>
      <c r="D139" s="5">
        <v>45068</v>
      </c>
      <c r="E139">
        <v>182</v>
      </c>
      <c r="F139">
        <v>8</v>
      </c>
      <c r="G139">
        <v>54225632</v>
      </c>
      <c r="H139" t="str">
        <f t="shared" si="2"/>
        <v>no</v>
      </c>
      <c r="I139">
        <v>3</v>
      </c>
      <c r="J139">
        <v>88</v>
      </c>
      <c r="K139">
        <v>1</v>
      </c>
      <c r="L139">
        <v>0</v>
      </c>
      <c r="M139">
        <v>52</v>
      </c>
      <c r="N139">
        <v>110</v>
      </c>
      <c r="O139" t="s">
        <v>72</v>
      </c>
      <c r="P139" t="s">
        <v>41</v>
      </c>
      <c r="Q139" s="10">
        <v>76</v>
      </c>
      <c r="R139" s="10">
        <v>96</v>
      </c>
      <c r="S139" s="10">
        <v>72</v>
      </c>
      <c r="T139" s="10">
        <v>32</v>
      </c>
      <c r="U139" s="10">
        <v>0</v>
      </c>
      <c r="V139" s="10">
        <v>9</v>
      </c>
      <c r="W139" s="10">
        <v>4</v>
      </c>
    </row>
    <row r="140" spans="1:23" ht="30.75">
      <c r="A140" s="2" t="s">
        <v>266</v>
      </c>
      <c r="B140" s="2" t="s">
        <v>267</v>
      </c>
      <c r="C140">
        <v>1</v>
      </c>
      <c r="D140" s="5">
        <v>42736</v>
      </c>
      <c r="E140">
        <v>16596</v>
      </c>
      <c r="F140">
        <v>13</v>
      </c>
      <c r="G140">
        <v>2559529074</v>
      </c>
      <c r="H140" t="str">
        <f t="shared" si="2"/>
        <v>yes</v>
      </c>
      <c r="I140">
        <v>7</v>
      </c>
      <c r="J140">
        <v>0</v>
      </c>
      <c r="K140" s="1">
        <v>2094</v>
      </c>
      <c r="L140">
        <v>0</v>
      </c>
      <c r="M140">
        <v>0</v>
      </c>
      <c r="N140">
        <v>95</v>
      </c>
      <c r="O140" t="s">
        <v>63</v>
      </c>
      <c r="P140" t="s">
        <v>26</v>
      </c>
      <c r="Q140" s="10">
        <v>60</v>
      </c>
      <c r="R140" s="10">
        <v>17</v>
      </c>
      <c r="S140" s="10">
        <v>45</v>
      </c>
      <c r="T140" s="10">
        <v>16</v>
      </c>
      <c r="U140" s="10">
        <v>0</v>
      </c>
      <c r="V140" s="10">
        <v>11</v>
      </c>
      <c r="W140" s="10">
        <v>2</v>
      </c>
    </row>
    <row r="141" spans="1:23" ht="30.75">
      <c r="A141" s="2" t="s">
        <v>268</v>
      </c>
      <c r="B141" s="2" t="s">
        <v>269</v>
      </c>
      <c r="C141">
        <v>1</v>
      </c>
      <c r="D141" s="5">
        <v>44762</v>
      </c>
      <c r="E141">
        <v>2335</v>
      </c>
      <c r="F141">
        <v>23</v>
      </c>
      <c r="G141">
        <v>681583126</v>
      </c>
      <c r="H141" t="str">
        <f t="shared" si="2"/>
        <v>yes</v>
      </c>
      <c r="I141">
        <v>82</v>
      </c>
      <c r="J141">
        <v>55</v>
      </c>
      <c r="K141">
        <v>50</v>
      </c>
      <c r="L141">
        <v>0</v>
      </c>
      <c r="M141">
        <v>9</v>
      </c>
      <c r="N141">
        <v>132</v>
      </c>
      <c r="O141" t="s">
        <v>53</v>
      </c>
      <c r="P141" t="s">
        <v>26</v>
      </c>
      <c r="Q141" s="10">
        <v>56</v>
      </c>
      <c r="R141" s="10">
        <v>20</v>
      </c>
      <c r="S141" s="10">
        <v>55</v>
      </c>
      <c r="T141" s="10">
        <v>45</v>
      </c>
      <c r="U141" s="10">
        <v>1</v>
      </c>
      <c r="V141" s="10">
        <v>32</v>
      </c>
      <c r="W141" s="10">
        <v>3</v>
      </c>
    </row>
    <row r="142" spans="1:23">
      <c r="A142" s="2" t="s">
        <v>270</v>
      </c>
      <c r="B142" s="2" t="s">
        <v>271</v>
      </c>
      <c r="C142">
        <v>1</v>
      </c>
      <c r="D142" s="5">
        <v>42766</v>
      </c>
      <c r="E142">
        <v>18986</v>
      </c>
      <c r="F142">
        <v>23</v>
      </c>
      <c r="G142">
        <v>2594040133</v>
      </c>
      <c r="H142" t="str">
        <f t="shared" si="2"/>
        <v>yes</v>
      </c>
      <c r="I142">
        <v>250</v>
      </c>
      <c r="J142">
        <v>121</v>
      </c>
      <c r="K142" s="1">
        <v>2969</v>
      </c>
      <c r="L142">
        <v>10</v>
      </c>
      <c r="M142">
        <v>31</v>
      </c>
      <c r="N142">
        <v>125</v>
      </c>
      <c r="O142" t="s">
        <v>128</v>
      </c>
      <c r="P142" t="s">
        <v>41</v>
      </c>
      <c r="Q142" s="10">
        <v>77</v>
      </c>
      <c r="R142" s="10">
        <v>74</v>
      </c>
      <c r="S142" s="10">
        <v>78</v>
      </c>
      <c r="T142" s="10">
        <v>4</v>
      </c>
      <c r="U142" s="10">
        <v>0</v>
      </c>
      <c r="V142" s="10">
        <v>23</v>
      </c>
      <c r="W142" s="10">
        <v>11</v>
      </c>
    </row>
    <row r="143" spans="1:23">
      <c r="A143" s="2" t="s">
        <v>270</v>
      </c>
      <c r="B143" s="2" t="s">
        <v>272</v>
      </c>
      <c r="C143">
        <v>4</v>
      </c>
      <c r="D143" s="5">
        <v>45065</v>
      </c>
      <c r="E143">
        <v>283</v>
      </c>
      <c r="F143">
        <v>7</v>
      </c>
      <c r="G143">
        <v>81102253</v>
      </c>
      <c r="H143" t="str">
        <f t="shared" si="2"/>
        <v>no</v>
      </c>
      <c r="I143">
        <v>6</v>
      </c>
      <c r="J143">
        <v>9</v>
      </c>
      <c r="K143">
        <v>26</v>
      </c>
      <c r="L143">
        <v>1</v>
      </c>
      <c r="M143">
        <v>66</v>
      </c>
      <c r="N143">
        <v>124</v>
      </c>
      <c r="O143" t="s">
        <v>196</v>
      </c>
      <c r="P143" t="s">
        <v>41</v>
      </c>
      <c r="Q143" s="10">
        <v>84</v>
      </c>
      <c r="R143" s="10">
        <v>65</v>
      </c>
      <c r="S143" s="10">
        <v>50</v>
      </c>
      <c r="T143" s="10">
        <v>67</v>
      </c>
      <c r="U143" s="10">
        <v>0</v>
      </c>
      <c r="V143" s="10">
        <v>13</v>
      </c>
      <c r="W143" s="10">
        <v>6</v>
      </c>
    </row>
    <row r="144" spans="1:23" ht="45.75">
      <c r="A144" s="2" t="s">
        <v>273</v>
      </c>
      <c r="B144" s="2" t="s">
        <v>274</v>
      </c>
      <c r="C144">
        <v>2</v>
      </c>
      <c r="D144" s="5">
        <v>45078</v>
      </c>
      <c r="E144">
        <v>293</v>
      </c>
      <c r="F144">
        <v>8</v>
      </c>
      <c r="G144">
        <v>11956641</v>
      </c>
      <c r="H144" t="str">
        <f t="shared" si="2"/>
        <v>no</v>
      </c>
      <c r="I144">
        <v>5</v>
      </c>
      <c r="J144">
        <v>2</v>
      </c>
      <c r="K144">
        <v>30</v>
      </c>
      <c r="L144">
        <v>2</v>
      </c>
      <c r="M144">
        <v>66</v>
      </c>
      <c r="N144">
        <v>133</v>
      </c>
      <c r="O144" t="s">
        <v>25</v>
      </c>
      <c r="P144" t="s">
        <v>41</v>
      </c>
      <c r="Q144" s="10">
        <v>93</v>
      </c>
      <c r="R144" s="10">
        <v>68</v>
      </c>
      <c r="S144" s="10">
        <v>65</v>
      </c>
      <c r="T144" s="10">
        <v>42</v>
      </c>
      <c r="U144" s="10">
        <v>0</v>
      </c>
      <c r="V144" s="10">
        <v>12</v>
      </c>
      <c r="W144" s="10">
        <v>25</v>
      </c>
    </row>
    <row r="145" spans="1:23" ht="45.75">
      <c r="A145" s="2" t="s">
        <v>275</v>
      </c>
      <c r="B145" s="2" t="s">
        <v>276</v>
      </c>
      <c r="C145">
        <v>1</v>
      </c>
      <c r="D145" s="5">
        <v>37257</v>
      </c>
      <c r="E145">
        <v>21081</v>
      </c>
      <c r="F145">
        <v>43</v>
      </c>
      <c r="G145">
        <v>1687664027</v>
      </c>
      <c r="H145" t="str">
        <f t="shared" si="2"/>
        <v>yes</v>
      </c>
      <c r="I145">
        <v>98</v>
      </c>
      <c r="J145">
        <v>76</v>
      </c>
      <c r="K145" s="1">
        <v>3889</v>
      </c>
      <c r="L145">
        <v>5</v>
      </c>
      <c r="M145">
        <v>0</v>
      </c>
      <c r="N145">
        <v>112</v>
      </c>
      <c r="O145" t="s">
        <v>72</v>
      </c>
      <c r="P145" t="s">
        <v>26</v>
      </c>
      <c r="Q145" s="10">
        <v>92</v>
      </c>
      <c r="R145" s="10">
        <v>67</v>
      </c>
      <c r="S145" s="10">
        <v>66</v>
      </c>
      <c r="T145" s="10">
        <v>0</v>
      </c>
      <c r="U145" s="10">
        <v>0</v>
      </c>
      <c r="V145" s="10">
        <v>36</v>
      </c>
      <c r="W145" s="10">
        <v>9</v>
      </c>
    </row>
    <row r="146" spans="1:23">
      <c r="A146" s="2" t="s">
        <v>277</v>
      </c>
      <c r="B146" s="2" t="s">
        <v>278</v>
      </c>
      <c r="C146">
        <v>3</v>
      </c>
      <c r="D146" s="5">
        <v>45120</v>
      </c>
      <c r="E146">
        <v>437</v>
      </c>
      <c r="F146">
        <v>31</v>
      </c>
      <c r="G146">
        <v>11599388</v>
      </c>
      <c r="H146" t="str">
        <f t="shared" si="2"/>
        <v>no</v>
      </c>
      <c r="I146">
        <v>17</v>
      </c>
      <c r="J146">
        <v>29</v>
      </c>
      <c r="K146">
        <v>26</v>
      </c>
      <c r="L146">
        <v>3</v>
      </c>
      <c r="M146">
        <v>208</v>
      </c>
      <c r="N146">
        <v>97</v>
      </c>
      <c r="P146" t="s">
        <v>26</v>
      </c>
      <c r="Q146" s="10">
        <v>79</v>
      </c>
      <c r="R146" s="10">
        <v>92</v>
      </c>
      <c r="S146" s="10">
        <v>89</v>
      </c>
      <c r="T146" s="10">
        <v>5</v>
      </c>
      <c r="U146" s="10">
        <v>0</v>
      </c>
      <c r="V146" s="10">
        <v>6</v>
      </c>
      <c r="W146" s="10">
        <v>5</v>
      </c>
    </row>
    <row r="147" spans="1:23" ht="30.75">
      <c r="A147" s="2" t="s">
        <v>277</v>
      </c>
      <c r="B147" s="2" t="s">
        <v>279</v>
      </c>
      <c r="C147">
        <v>2</v>
      </c>
      <c r="D147" s="5">
        <v>42698</v>
      </c>
      <c r="E147">
        <v>1275</v>
      </c>
      <c r="F147">
        <v>32</v>
      </c>
      <c r="G147">
        <v>611700552</v>
      </c>
      <c r="H147" t="str">
        <f t="shared" si="2"/>
        <v>yes</v>
      </c>
      <c r="I147">
        <v>13</v>
      </c>
      <c r="J147">
        <v>8</v>
      </c>
      <c r="K147">
        <v>5</v>
      </c>
      <c r="L147">
        <v>0</v>
      </c>
      <c r="M147">
        <v>1</v>
      </c>
      <c r="N147">
        <v>90</v>
      </c>
      <c r="O147" t="s">
        <v>32</v>
      </c>
      <c r="P147" t="s">
        <v>41</v>
      </c>
      <c r="Q147" s="10">
        <v>59</v>
      </c>
      <c r="R147" s="10">
        <v>52</v>
      </c>
      <c r="S147" s="10">
        <v>48</v>
      </c>
      <c r="T147" s="10">
        <v>38</v>
      </c>
      <c r="U147" s="10">
        <v>5</v>
      </c>
      <c r="V147" s="10">
        <v>10</v>
      </c>
      <c r="W147" s="10">
        <v>11</v>
      </c>
    </row>
    <row r="148" spans="1:23" ht="30.75">
      <c r="A148" s="2" t="s">
        <v>280</v>
      </c>
      <c r="B148" s="2" t="s">
        <v>281</v>
      </c>
      <c r="C148">
        <v>2</v>
      </c>
      <c r="D148" s="5">
        <v>44687</v>
      </c>
      <c r="E148">
        <v>6135</v>
      </c>
      <c r="F148">
        <v>38</v>
      </c>
      <c r="G148">
        <v>1133865788</v>
      </c>
      <c r="H148" t="str">
        <f t="shared" si="2"/>
        <v>yes</v>
      </c>
      <c r="I148">
        <v>71</v>
      </c>
      <c r="J148">
        <v>113</v>
      </c>
      <c r="K148">
        <v>99</v>
      </c>
      <c r="L148">
        <v>13</v>
      </c>
      <c r="M148">
        <v>28</v>
      </c>
      <c r="N148">
        <v>80</v>
      </c>
      <c r="O148" t="s">
        <v>196</v>
      </c>
      <c r="P148" t="s">
        <v>41</v>
      </c>
      <c r="Q148" s="10">
        <v>65</v>
      </c>
      <c r="R148" s="10">
        <v>27</v>
      </c>
      <c r="S148" s="10">
        <v>69</v>
      </c>
      <c r="T148" s="10">
        <v>8</v>
      </c>
      <c r="U148" s="10">
        <v>0</v>
      </c>
      <c r="V148" s="10">
        <v>53</v>
      </c>
      <c r="W148" s="10">
        <v>4</v>
      </c>
    </row>
    <row r="149" spans="1:23" ht="30.75">
      <c r="A149" s="2" t="s">
        <v>282</v>
      </c>
      <c r="B149" s="2" t="s">
        <v>283</v>
      </c>
      <c r="C149">
        <v>1</v>
      </c>
      <c r="D149" s="5">
        <v>37987</v>
      </c>
      <c r="E149">
        <v>20015</v>
      </c>
      <c r="F149">
        <v>16</v>
      </c>
      <c r="G149">
        <v>1089402494</v>
      </c>
      <c r="H149" t="str">
        <f t="shared" si="2"/>
        <v>yes</v>
      </c>
      <c r="I149">
        <v>107</v>
      </c>
      <c r="J149">
        <v>69</v>
      </c>
      <c r="K149" s="1">
        <v>5239</v>
      </c>
      <c r="L149">
        <v>0</v>
      </c>
      <c r="M149">
        <v>558</v>
      </c>
      <c r="N149">
        <v>172</v>
      </c>
      <c r="O149" t="s">
        <v>37</v>
      </c>
      <c r="P149" t="s">
        <v>26</v>
      </c>
      <c r="Q149" s="10">
        <v>45</v>
      </c>
      <c r="R149" s="10">
        <v>33</v>
      </c>
      <c r="S149" s="10">
        <v>59</v>
      </c>
      <c r="T149" s="10">
        <v>6</v>
      </c>
      <c r="U149" s="10">
        <v>0</v>
      </c>
      <c r="V149" s="10">
        <v>8</v>
      </c>
      <c r="W149" s="10">
        <v>3</v>
      </c>
    </row>
    <row r="150" spans="1:23" ht="45.75">
      <c r="A150" s="2" t="s">
        <v>284</v>
      </c>
      <c r="B150" s="2" t="s">
        <v>285</v>
      </c>
      <c r="C150">
        <v>1</v>
      </c>
      <c r="D150" s="5">
        <v>43595</v>
      </c>
      <c r="E150">
        <v>1507</v>
      </c>
      <c r="F150">
        <v>14</v>
      </c>
      <c r="G150">
        <v>411747614</v>
      </c>
      <c r="H150" t="str">
        <f t="shared" si="2"/>
        <v>yes</v>
      </c>
      <c r="I150">
        <v>24</v>
      </c>
      <c r="J150">
        <v>71</v>
      </c>
      <c r="K150">
        <v>44</v>
      </c>
      <c r="L150">
        <v>1</v>
      </c>
      <c r="M150">
        <v>195</v>
      </c>
      <c r="N150">
        <v>120</v>
      </c>
      <c r="O150" t="s">
        <v>98</v>
      </c>
      <c r="P150" t="s">
        <v>26</v>
      </c>
      <c r="Q150" s="10">
        <v>60</v>
      </c>
      <c r="R150" s="10">
        <v>24</v>
      </c>
      <c r="S150" s="10">
        <v>35</v>
      </c>
      <c r="T150" s="10">
        <v>73</v>
      </c>
      <c r="U150" s="10">
        <v>0</v>
      </c>
      <c r="V150" s="10">
        <v>31</v>
      </c>
      <c r="W150" s="10">
        <v>3</v>
      </c>
    </row>
    <row r="151" spans="1:23" ht="45.75">
      <c r="A151" s="2" t="s">
        <v>286</v>
      </c>
      <c r="B151" s="2" t="s">
        <v>287</v>
      </c>
      <c r="C151">
        <v>1</v>
      </c>
      <c r="D151" s="5">
        <v>44953</v>
      </c>
      <c r="E151">
        <v>539</v>
      </c>
      <c r="F151">
        <v>21</v>
      </c>
      <c r="G151">
        <v>255932395</v>
      </c>
      <c r="H151" t="str">
        <f t="shared" si="2"/>
        <v>yes</v>
      </c>
      <c r="I151">
        <v>7</v>
      </c>
      <c r="J151">
        <v>71</v>
      </c>
      <c r="K151">
        <v>4</v>
      </c>
      <c r="L151">
        <v>2</v>
      </c>
      <c r="M151">
        <v>13</v>
      </c>
      <c r="N151">
        <v>140</v>
      </c>
      <c r="O151" t="s">
        <v>72</v>
      </c>
      <c r="P151" t="s">
        <v>41</v>
      </c>
      <c r="Q151" s="10">
        <v>74</v>
      </c>
      <c r="R151" s="10">
        <v>96</v>
      </c>
      <c r="S151" s="10">
        <v>80</v>
      </c>
      <c r="T151" s="10">
        <v>18</v>
      </c>
      <c r="U151" s="10">
        <v>0</v>
      </c>
      <c r="V151" s="10">
        <v>5</v>
      </c>
      <c r="W151" s="10">
        <v>5</v>
      </c>
    </row>
    <row r="152" spans="1:23">
      <c r="A152" s="2" t="s">
        <v>288</v>
      </c>
      <c r="B152" s="2" t="s">
        <v>289</v>
      </c>
      <c r="C152">
        <v>1</v>
      </c>
      <c r="D152" s="5">
        <v>45107</v>
      </c>
      <c r="E152">
        <v>86</v>
      </c>
      <c r="F152">
        <v>8</v>
      </c>
      <c r="G152">
        <v>31873544</v>
      </c>
      <c r="H152" t="str">
        <f t="shared" si="2"/>
        <v>no</v>
      </c>
      <c r="I152">
        <v>7</v>
      </c>
      <c r="J152">
        <v>76</v>
      </c>
      <c r="K152">
        <v>3</v>
      </c>
      <c r="L152">
        <v>1</v>
      </c>
      <c r="M152">
        <v>93</v>
      </c>
      <c r="N152">
        <v>128</v>
      </c>
      <c r="O152" t="s">
        <v>37</v>
      </c>
      <c r="P152" t="s">
        <v>41</v>
      </c>
      <c r="Q152" s="10">
        <v>81</v>
      </c>
      <c r="R152" s="10">
        <v>90</v>
      </c>
      <c r="S152" s="10">
        <v>77</v>
      </c>
      <c r="T152" s="10">
        <v>1</v>
      </c>
      <c r="U152" s="10">
        <v>0</v>
      </c>
      <c r="V152" s="10">
        <v>9</v>
      </c>
      <c r="W152" s="10">
        <v>5</v>
      </c>
    </row>
    <row r="153" spans="1:23">
      <c r="A153" s="2" t="s">
        <v>290</v>
      </c>
      <c r="B153" s="2" t="s">
        <v>291</v>
      </c>
      <c r="C153">
        <v>1</v>
      </c>
      <c r="D153" s="5">
        <v>45072</v>
      </c>
      <c r="E153">
        <v>324</v>
      </c>
      <c r="F153">
        <v>14</v>
      </c>
      <c r="G153">
        <v>95053634</v>
      </c>
      <c r="H153" t="str">
        <f t="shared" si="2"/>
        <v>no</v>
      </c>
      <c r="I153">
        <v>13</v>
      </c>
      <c r="J153">
        <v>110</v>
      </c>
      <c r="K153">
        <v>8</v>
      </c>
      <c r="L153">
        <v>2</v>
      </c>
      <c r="M153">
        <v>60</v>
      </c>
      <c r="N153">
        <v>122</v>
      </c>
      <c r="P153" t="s">
        <v>26</v>
      </c>
      <c r="Q153" s="10">
        <v>78</v>
      </c>
      <c r="R153" s="10">
        <v>70</v>
      </c>
      <c r="S153" s="10">
        <v>81</v>
      </c>
      <c r="T153" s="10">
        <v>57</v>
      </c>
      <c r="U153" s="10">
        <v>0</v>
      </c>
      <c r="V153" s="10">
        <v>10</v>
      </c>
      <c r="W153" s="10">
        <v>5</v>
      </c>
    </row>
    <row r="154" spans="1:23">
      <c r="A154" s="2" t="s">
        <v>292</v>
      </c>
      <c r="B154" s="2" t="s">
        <v>293</v>
      </c>
      <c r="C154">
        <v>2</v>
      </c>
      <c r="D154" s="5">
        <v>40179</v>
      </c>
      <c r="E154">
        <v>17138</v>
      </c>
      <c r="F154">
        <v>37</v>
      </c>
      <c r="G154">
        <v>1279434863</v>
      </c>
      <c r="H154" t="str">
        <f t="shared" si="2"/>
        <v>yes</v>
      </c>
      <c r="I154">
        <v>119</v>
      </c>
      <c r="J154">
        <v>81</v>
      </c>
      <c r="K154">
        <v>974</v>
      </c>
      <c r="L154">
        <v>1</v>
      </c>
      <c r="M154">
        <v>503</v>
      </c>
      <c r="N154">
        <v>130</v>
      </c>
      <c r="P154" t="s">
        <v>26</v>
      </c>
      <c r="Q154" s="10">
        <v>47</v>
      </c>
      <c r="R154" s="10">
        <v>86</v>
      </c>
      <c r="S154" s="10">
        <v>92</v>
      </c>
      <c r="T154" s="10">
        <v>8</v>
      </c>
      <c r="U154" s="10">
        <v>0</v>
      </c>
      <c r="V154" s="10">
        <v>5</v>
      </c>
      <c r="W154" s="10">
        <v>24</v>
      </c>
    </row>
    <row r="155" spans="1:23">
      <c r="A155" s="2" t="s">
        <v>294</v>
      </c>
      <c r="B155" s="2" t="s">
        <v>295</v>
      </c>
      <c r="C155">
        <v>2</v>
      </c>
      <c r="D155" s="5">
        <v>44959</v>
      </c>
      <c r="E155">
        <v>894</v>
      </c>
      <c r="F155">
        <v>9</v>
      </c>
      <c r="G155">
        <v>233801632</v>
      </c>
      <c r="H155" t="str">
        <f t="shared" si="2"/>
        <v>yes</v>
      </c>
      <c r="I155">
        <v>14</v>
      </c>
      <c r="J155">
        <v>88</v>
      </c>
      <c r="K155">
        <v>66</v>
      </c>
      <c r="L155">
        <v>3</v>
      </c>
      <c r="M155">
        <v>72</v>
      </c>
      <c r="N155">
        <v>160</v>
      </c>
      <c r="O155" t="s">
        <v>37</v>
      </c>
      <c r="P155" t="s">
        <v>26</v>
      </c>
      <c r="Q155" s="10">
        <v>69</v>
      </c>
      <c r="R155" s="10">
        <v>61</v>
      </c>
      <c r="S155" s="10">
        <v>71</v>
      </c>
      <c r="T155" s="10">
        <v>33</v>
      </c>
      <c r="U155" s="10">
        <v>0</v>
      </c>
      <c r="V155" s="10">
        <v>31</v>
      </c>
      <c r="W155" s="10">
        <v>20</v>
      </c>
    </row>
    <row r="156" spans="1:23" ht="45.75">
      <c r="A156" s="2" t="s">
        <v>296</v>
      </c>
      <c r="B156" s="2" t="s">
        <v>297</v>
      </c>
      <c r="C156">
        <v>1</v>
      </c>
      <c r="D156" s="5">
        <v>41248</v>
      </c>
      <c r="E156">
        <v>1622</v>
      </c>
      <c r="F156">
        <v>9</v>
      </c>
      <c r="G156">
        <v>1481349984</v>
      </c>
      <c r="H156" t="str">
        <f t="shared" si="2"/>
        <v>yes</v>
      </c>
      <c r="I156">
        <v>0</v>
      </c>
      <c r="J156">
        <v>0</v>
      </c>
      <c r="K156">
        <v>356</v>
      </c>
      <c r="L156">
        <v>0</v>
      </c>
      <c r="M156">
        <v>0</v>
      </c>
      <c r="N156">
        <v>144</v>
      </c>
      <c r="O156" t="s">
        <v>32</v>
      </c>
      <c r="P156" t="s">
        <v>26</v>
      </c>
      <c r="Q156" s="10">
        <v>73</v>
      </c>
      <c r="R156" s="10">
        <v>87</v>
      </c>
      <c r="S156" s="10">
        <v>70</v>
      </c>
      <c r="T156" s="10">
        <v>6</v>
      </c>
      <c r="U156" s="10">
        <v>0</v>
      </c>
      <c r="V156" s="10">
        <v>28</v>
      </c>
      <c r="W156" s="10">
        <v>5</v>
      </c>
    </row>
    <row r="157" spans="1:23" ht="45.75">
      <c r="A157" s="2" t="s">
        <v>298</v>
      </c>
      <c r="B157" s="2" t="s">
        <v>299</v>
      </c>
      <c r="C157">
        <v>3</v>
      </c>
      <c r="D157" s="5">
        <v>45020</v>
      </c>
      <c r="E157">
        <v>561</v>
      </c>
      <c r="F157">
        <v>14</v>
      </c>
      <c r="G157">
        <v>142095275</v>
      </c>
      <c r="H157" t="str">
        <f t="shared" si="2"/>
        <v>no</v>
      </c>
      <c r="I157">
        <v>4</v>
      </c>
      <c r="J157">
        <v>14</v>
      </c>
      <c r="K157">
        <v>12</v>
      </c>
      <c r="L157">
        <v>5</v>
      </c>
      <c r="M157">
        <v>56</v>
      </c>
      <c r="N157">
        <v>192</v>
      </c>
      <c r="O157" t="s">
        <v>25</v>
      </c>
      <c r="P157" t="s">
        <v>26</v>
      </c>
      <c r="Q157" s="10">
        <v>50</v>
      </c>
      <c r="R157" s="10">
        <v>85</v>
      </c>
      <c r="S157" s="10">
        <v>52</v>
      </c>
      <c r="T157" s="10">
        <v>11</v>
      </c>
      <c r="U157" s="10">
        <v>0</v>
      </c>
      <c r="V157" s="10">
        <v>28</v>
      </c>
      <c r="W157" s="10">
        <v>6</v>
      </c>
    </row>
    <row r="158" spans="1:23" ht="45.75">
      <c r="A158" s="2" t="s">
        <v>300</v>
      </c>
      <c r="B158" s="2" t="s">
        <v>301</v>
      </c>
      <c r="C158">
        <v>2</v>
      </c>
      <c r="D158" s="5">
        <v>44729</v>
      </c>
      <c r="E158">
        <v>5871</v>
      </c>
      <c r="F158">
        <v>27</v>
      </c>
      <c r="G158">
        <v>618885532</v>
      </c>
      <c r="H158" t="str">
        <f t="shared" si="2"/>
        <v>yes</v>
      </c>
      <c r="I158">
        <v>81</v>
      </c>
      <c r="J158">
        <v>121</v>
      </c>
      <c r="K158">
        <v>58</v>
      </c>
      <c r="L158">
        <v>1</v>
      </c>
      <c r="M158">
        <v>34</v>
      </c>
      <c r="N158">
        <v>163</v>
      </c>
      <c r="P158" t="s">
        <v>26</v>
      </c>
      <c r="Q158" s="10">
        <v>54</v>
      </c>
      <c r="R158" s="10">
        <v>40</v>
      </c>
      <c r="S158" s="10">
        <v>67</v>
      </c>
      <c r="T158" s="10">
        <v>0</v>
      </c>
      <c r="U158" s="10">
        <v>0</v>
      </c>
      <c r="V158" s="10">
        <v>9</v>
      </c>
      <c r="W158" s="10">
        <v>17</v>
      </c>
    </row>
    <row r="159" spans="1:23">
      <c r="A159" s="2" t="s">
        <v>302</v>
      </c>
      <c r="B159" s="2" t="s">
        <v>303</v>
      </c>
      <c r="C159">
        <v>1</v>
      </c>
      <c r="D159" s="5">
        <v>41275</v>
      </c>
      <c r="E159">
        <v>29215</v>
      </c>
      <c r="F159">
        <v>43</v>
      </c>
      <c r="G159">
        <v>2011464183</v>
      </c>
      <c r="H159" t="str">
        <f t="shared" si="2"/>
        <v>yes</v>
      </c>
      <c r="I159">
        <v>179</v>
      </c>
      <c r="J159">
        <v>97</v>
      </c>
      <c r="K159" s="1">
        <v>3394</v>
      </c>
      <c r="L159">
        <v>11</v>
      </c>
      <c r="M159">
        <v>153</v>
      </c>
      <c r="N159">
        <v>122</v>
      </c>
      <c r="O159" t="s">
        <v>29</v>
      </c>
      <c r="P159" t="s">
        <v>41</v>
      </c>
      <c r="Q159" s="10">
        <v>66</v>
      </c>
      <c r="R159" s="10">
        <v>48</v>
      </c>
      <c r="S159" s="10">
        <v>71</v>
      </c>
      <c r="T159" s="10">
        <v>6</v>
      </c>
      <c r="U159" s="10">
        <v>0</v>
      </c>
      <c r="V159" s="10">
        <v>12</v>
      </c>
      <c r="W159" s="10">
        <v>4</v>
      </c>
    </row>
    <row r="160" spans="1:23">
      <c r="A160" s="2" t="s">
        <v>304</v>
      </c>
      <c r="B160" s="2" t="s">
        <v>305</v>
      </c>
      <c r="C160">
        <v>1</v>
      </c>
      <c r="D160" s="5">
        <v>44274</v>
      </c>
      <c r="E160">
        <v>5866</v>
      </c>
      <c r="F160">
        <v>24</v>
      </c>
      <c r="G160">
        <v>1167330737</v>
      </c>
      <c r="H160" t="str">
        <f t="shared" si="2"/>
        <v>yes</v>
      </c>
      <c r="I160">
        <v>107</v>
      </c>
      <c r="J160">
        <v>38</v>
      </c>
      <c r="K160">
        <v>95</v>
      </c>
      <c r="L160">
        <v>0</v>
      </c>
      <c r="N160">
        <v>154</v>
      </c>
      <c r="O160" t="s">
        <v>51</v>
      </c>
      <c r="P160" t="s">
        <v>26</v>
      </c>
      <c r="Q160" s="10">
        <v>61</v>
      </c>
      <c r="R160" s="10">
        <v>41</v>
      </c>
      <c r="S160" s="10">
        <v>74</v>
      </c>
      <c r="T160" s="10">
        <v>21</v>
      </c>
      <c r="U160" s="10">
        <v>0</v>
      </c>
      <c r="V160" s="10">
        <v>40</v>
      </c>
      <c r="W160" s="10">
        <v>6</v>
      </c>
    </row>
    <row r="161" spans="1:23" ht="30.75">
      <c r="A161" s="2" t="s">
        <v>306</v>
      </c>
      <c r="B161" s="2" t="s">
        <v>307</v>
      </c>
      <c r="C161">
        <v>1</v>
      </c>
      <c r="D161" s="5">
        <v>43742</v>
      </c>
      <c r="E161">
        <v>3859</v>
      </c>
      <c r="F161">
        <v>26</v>
      </c>
      <c r="G161">
        <v>929964809</v>
      </c>
      <c r="H161" t="str">
        <f t="shared" si="2"/>
        <v>yes</v>
      </c>
      <c r="I161">
        <v>133</v>
      </c>
      <c r="J161">
        <v>181</v>
      </c>
      <c r="K161">
        <v>3</v>
      </c>
      <c r="L161">
        <v>0</v>
      </c>
      <c r="N161">
        <v>117</v>
      </c>
      <c r="O161" t="s">
        <v>37</v>
      </c>
      <c r="P161" t="s">
        <v>41</v>
      </c>
      <c r="Q161" s="10">
        <v>73</v>
      </c>
      <c r="R161" s="10">
        <v>31</v>
      </c>
      <c r="S161" s="10">
        <v>69</v>
      </c>
      <c r="T161" s="10">
        <v>6</v>
      </c>
      <c r="U161" s="10">
        <v>0</v>
      </c>
      <c r="V161" s="10">
        <v>11</v>
      </c>
      <c r="W161" s="10">
        <v>4</v>
      </c>
    </row>
    <row r="162" spans="1:23">
      <c r="A162" s="2" t="s">
        <v>308</v>
      </c>
      <c r="B162" s="2" t="s">
        <v>309</v>
      </c>
      <c r="C162">
        <v>2</v>
      </c>
      <c r="D162" s="5">
        <v>44949</v>
      </c>
      <c r="E162">
        <v>961</v>
      </c>
      <c r="F162">
        <v>26</v>
      </c>
      <c r="G162">
        <v>436027885</v>
      </c>
      <c r="H162" t="str">
        <f t="shared" si="2"/>
        <v>yes</v>
      </c>
      <c r="I162">
        <v>19</v>
      </c>
      <c r="J162">
        <v>143</v>
      </c>
      <c r="K162">
        <v>10</v>
      </c>
      <c r="L162">
        <v>6</v>
      </c>
      <c r="M162">
        <v>15</v>
      </c>
      <c r="N162">
        <v>138</v>
      </c>
      <c r="O162" t="s">
        <v>72</v>
      </c>
      <c r="P162" t="s">
        <v>41</v>
      </c>
      <c r="Q162" s="10">
        <v>78</v>
      </c>
      <c r="R162" s="10">
        <v>89</v>
      </c>
      <c r="S162" s="10">
        <v>83</v>
      </c>
      <c r="T162" s="10">
        <v>10</v>
      </c>
      <c r="U162" s="10">
        <v>0</v>
      </c>
      <c r="V162" s="10">
        <v>12</v>
      </c>
      <c r="W162" s="10">
        <v>5</v>
      </c>
    </row>
    <row r="163" spans="1:23" ht="30.75">
      <c r="A163" s="2" t="s">
        <v>310</v>
      </c>
      <c r="B163" s="2" t="s">
        <v>311</v>
      </c>
      <c r="C163">
        <v>1</v>
      </c>
      <c r="D163" s="5">
        <v>38181</v>
      </c>
      <c r="E163">
        <v>6457</v>
      </c>
      <c r="F163">
        <v>18</v>
      </c>
      <c r="G163">
        <v>657723613</v>
      </c>
      <c r="H163" t="str">
        <f t="shared" si="2"/>
        <v>yes</v>
      </c>
      <c r="I163">
        <v>98</v>
      </c>
      <c r="J163">
        <v>95</v>
      </c>
      <c r="K163">
        <v>453</v>
      </c>
      <c r="L163">
        <v>0</v>
      </c>
      <c r="M163">
        <v>454</v>
      </c>
      <c r="N163">
        <v>96</v>
      </c>
      <c r="P163" t="s">
        <v>26</v>
      </c>
      <c r="Q163" s="10">
        <v>86</v>
      </c>
      <c r="R163" s="10">
        <v>74</v>
      </c>
      <c r="S163" s="10">
        <v>80</v>
      </c>
      <c r="T163" s="10">
        <v>33</v>
      </c>
      <c r="U163" s="10">
        <v>0</v>
      </c>
      <c r="V163" s="10">
        <v>8</v>
      </c>
      <c r="W163" s="10">
        <v>6</v>
      </c>
    </row>
    <row r="164" spans="1:23">
      <c r="A164" s="2" t="s">
        <v>312</v>
      </c>
      <c r="B164" s="2" t="s">
        <v>313</v>
      </c>
      <c r="C164">
        <v>3</v>
      </c>
      <c r="D164" s="5">
        <v>42464</v>
      </c>
      <c r="E164">
        <v>43257</v>
      </c>
      <c r="F164">
        <v>24</v>
      </c>
      <c r="G164">
        <v>2713922350</v>
      </c>
      <c r="H164" t="str">
        <f t="shared" si="2"/>
        <v>yes</v>
      </c>
      <c r="I164">
        <v>433</v>
      </c>
      <c r="J164">
        <v>107</v>
      </c>
      <c r="K164" s="1">
        <v>3631</v>
      </c>
      <c r="L164">
        <v>0</v>
      </c>
      <c r="M164">
        <v>26</v>
      </c>
      <c r="N164">
        <v>104</v>
      </c>
      <c r="O164" t="s">
        <v>29</v>
      </c>
      <c r="P164" t="s">
        <v>26</v>
      </c>
      <c r="Q164" s="10">
        <v>77</v>
      </c>
      <c r="R164" s="10">
        <v>36</v>
      </c>
      <c r="S164" s="10">
        <v>63</v>
      </c>
      <c r="T164" s="10">
        <v>1</v>
      </c>
      <c r="U164" s="10">
        <v>0</v>
      </c>
      <c r="V164" s="10">
        <v>36</v>
      </c>
      <c r="W164" s="10">
        <v>5</v>
      </c>
    </row>
    <row r="165" spans="1:23">
      <c r="A165" s="2" t="s">
        <v>314</v>
      </c>
      <c r="B165" s="2" t="s">
        <v>315</v>
      </c>
      <c r="C165">
        <v>1</v>
      </c>
      <c r="D165" s="5">
        <v>40179</v>
      </c>
      <c r="E165">
        <v>4564</v>
      </c>
      <c r="F165">
        <v>16</v>
      </c>
      <c r="G165">
        <v>621660989</v>
      </c>
      <c r="H165" t="str">
        <f t="shared" si="2"/>
        <v>yes</v>
      </c>
      <c r="I165">
        <v>24</v>
      </c>
      <c r="J165">
        <v>101</v>
      </c>
      <c r="K165">
        <v>113</v>
      </c>
      <c r="L165">
        <v>0</v>
      </c>
      <c r="M165">
        <v>40</v>
      </c>
      <c r="N165">
        <v>164</v>
      </c>
      <c r="O165" t="s">
        <v>63</v>
      </c>
      <c r="P165" t="s">
        <v>26</v>
      </c>
      <c r="Q165" s="10">
        <v>45</v>
      </c>
      <c r="R165" s="10">
        <v>24</v>
      </c>
      <c r="S165" s="10">
        <v>62</v>
      </c>
      <c r="T165" s="10">
        <v>8</v>
      </c>
      <c r="U165" s="10">
        <v>0</v>
      </c>
      <c r="V165" s="10">
        <v>16</v>
      </c>
      <c r="W165" s="10">
        <v>3</v>
      </c>
    </row>
    <row r="166" spans="1:23" ht="30.75">
      <c r="A166" s="2" t="s">
        <v>314</v>
      </c>
      <c r="B166" s="2" t="s">
        <v>316</v>
      </c>
      <c r="C166">
        <v>1</v>
      </c>
      <c r="D166" s="5">
        <v>43910</v>
      </c>
      <c r="E166">
        <v>12688</v>
      </c>
      <c r="F166">
        <v>13</v>
      </c>
      <c r="G166">
        <v>1591223784</v>
      </c>
      <c r="H166" t="str">
        <f t="shared" si="2"/>
        <v>yes</v>
      </c>
      <c r="I166">
        <v>197</v>
      </c>
      <c r="J166">
        <v>115</v>
      </c>
      <c r="K166">
        <v>112</v>
      </c>
      <c r="L166">
        <v>0</v>
      </c>
      <c r="M166">
        <v>200</v>
      </c>
      <c r="N166">
        <v>118</v>
      </c>
      <c r="P166" t="s">
        <v>26</v>
      </c>
      <c r="Q166" s="10">
        <v>68</v>
      </c>
      <c r="R166" s="10">
        <v>61</v>
      </c>
      <c r="S166" s="10">
        <v>82</v>
      </c>
      <c r="T166" s="10">
        <v>2</v>
      </c>
      <c r="U166" s="10">
        <v>0</v>
      </c>
      <c r="V166" s="10">
        <v>50</v>
      </c>
      <c r="W166" s="10">
        <v>3</v>
      </c>
    </row>
    <row r="167" spans="1:23">
      <c r="A167" s="2" t="s">
        <v>314</v>
      </c>
      <c r="B167" s="2" t="s">
        <v>317</v>
      </c>
      <c r="C167">
        <v>1</v>
      </c>
      <c r="D167" s="5">
        <v>40323</v>
      </c>
      <c r="E167">
        <v>13801</v>
      </c>
      <c r="F167">
        <v>19</v>
      </c>
      <c r="G167">
        <v>950906471</v>
      </c>
      <c r="H167" t="str">
        <f t="shared" si="2"/>
        <v>yes</v>
      </c>
      <c r="I167">
        <v>137</v>
      </c>
      <c r="J167">
        <v>125</v>
      </c>
      <c r="K167">
        <v>435</v>
      </c>
      <c r="L167">
        <v>6</v>
      </c>
      <c r="M167">
        <v>285</v>
      </c>
      <c r="N167">
        <v>81</v>
      </c>
      <c r="O167" t="s">
        <v>25</v>
      </c>
      <c r="P167" t="s">
        <v>41</v>
      </c>
      <c r="Q167" s="10">
        <v>68</v>
      </c>
      <c r="R167" s="10">
        <v>51</v>
      </c>
      <c r="S167" s="10">
        <v>60</v>
      </c>
      <c r="T167" s="10">
        <v>3</v>
      </c>
      <c r="U167" s="10">
        <v>0</v>
      </c>
      <c r="V167" s="10">
        <v>19</v>
      </c>
      <c r="W167" s="10">
        <v>10</v>
      </c>
    </row>
    <row r="168" spans="1:23" ht="60.75">
      <c r="A168" s="2" t="s">
        <v>318</v>
      </c>
      <c r="B168" s="2" t="s">
        <v>319</v>
      </c>
      <c r="C168">
        <v>1</v>
      </c>
      <c r="D168" s="5">
        <v>30322</v>
      </c>
      <c r="E168">
        <v>22439</v>
      </c>
      <c r="F168">
        <v>19</v>
      </c>
      <c r="G168">
        <v>1593270737</v>
      </c>
      <c r="H168" t="str">
        <f t="shared" si="2"/>
        <v>yes</v>
      </c>
      <c r="I168">
        <v>211</v>
      </c>
      <c r="J168">
        <v>74</v>
      </c>
      <c r="K168">
        <v>929</v>
      </c>
      <c r="L168">
        <v>0</v>
      </c>
      <c r="M168">
        <v>129</v>
      </c>
      <c r="N168">
        <v>117</v>
      </c>
      <c r="O168" t="s">
        <v>29</v>
      </c>
      <c r="P168" t="s">
        <v>26</v>
      </c>
      <c r="Q168" s="10">
        <v>82</v>
      </c>
      <c r="R168" s="10">
        <v>73</v>
      </c>
      <c r="S168" s="10">
        <v>45</v>
      </c>
      <c r="T168" s="10">
        <v>54</v>
      </c>
      <c r="U168" s="10">
        <v>0</v>
      </c>
      <c r="V168" s="10">
        <v>7</v>
      </c>
      <c r="W168" s="10">
        <v>3</v>
      </c>
    </row>
    <row r="169" spans="1:23" ht="30.75">
      <c r="A169" s="2" t="s">
        <v>320</v>
      </c>
      <c r="B169" s="2" t="s">
        <v>321</v>
      </c>
      <c r="C169">
        <v>1</v>
      </c>
      <c r="D169" s="5">
        <v>42037</v>
      </c>
      <c r="E169">
        <v>18515</v>
      </c>
      <c r="F169">
        <v>35</v>
      </c>
      <c r="G169">
        <v>1410088830</v>
      </c>
      <c r="H169" t="str">
        <f t="shared" si="2"/>
        <v>yes</v>
      </c>
      <c r="I169">
        <v>70</v>
      </c>
      <c r="J169">
        <v>82</v>
      </c>
      <c r="K169">
        <v>939</v>
      </c>
      <c r="L169">
        <v>1</v>
      </c>
      <c r="M169">
        <v>162</v>
      </c>
      <c r="N169">
        <v>174</v>
      </c>
      <c r="O169" t="s">
        <v>51</v>
      </c>
      <c r="P169" t="s">
        <v>26</v>
      </c>
      <c r="Q169" s="10">
        <v>45</v>
      </c>
      <c r="R169" s="10">
        <v>10</v>
      </c>
      <c r="S169" s="10">
        <v>37</v>
      </c>
      <c r="T169" s="10">
        <v>97</v>
      </c>
      <c r="U169" s="10">
        <v>25</v>
      </c>
      <c r="V169" s="10">
        <v>64</v>
      </c>
      <c r="W169" s="10">
        <v>4</v>
      </c>
    </row>
    <row r="170" spans="1:23" ht="30.75">
      <c r="A170" s="2" t="s">
        <v>322</v>
      </c>
      <c r="B170" s="2" t="s">
        <v>323</v>
      </c>
      <c r="C170">
        <v>2</v>
      </c>
      <c r="D170" s="5">
        <v>40544</v>
      </c>
      <c r="E170">
        <v>36843</v>
      </c>
      <c r="F170">
        <v>21</v>
      </c>
      <c r="G170">
        <v>1235005533</v>
      </c>
      <c r="H170" t="str">
        <f t="shared" si="2"/>
        <v>yes</v>
      </c>
      <c r="I170">
        <v>321</v>
      </c>
      <c r="J170">
        <v>91</v>
      </c>
      <c r="K170" s="1">
        <v>4607</v>
      </c>
      <c r="L170">
        <v>1</v>
      </c>
      <c r="M170">
        <v>58</v>
      </c>
      <c r="N170">
        <v>128</v>
      </c>
      <c r="O170" t="s">
        <v>29</v>
      </c>
      <c r="P170" t="s">
        <v>26</v>
      </c>
      <c r="Q170" s="10">
        <v>73</v>
      </c>
      <c r="R170" s="10">
        <v>60</v>
      </c>
      <c r="S170" s="10">
        <v>77</v>
      </c>
      <c r="T170" s="10">
        <v>3</v>
      </c>
      <c r="U170" s="10">
        <v>0</v>
      </c>
      <c r="V170" s="10">
        <v>11</v>
      </c>
      <c r="W170" s="10">
        <v>4</v>
      </c>
    </row>
    <row r="171" spans="1:23" ht="45.75">
      <c r="A171" s="2" t="s">
        <v>324</v>
      </c>
      <c r="B171" s="2" t="s">
        <v>325</v>
      </c>
      <c r="C171">
        <v>1</v>
      </c>
      <c r="D171" s="5">
        <v>41248</v>
      </c>
      <c r="E171">
        <v>2420</v>
      </c>
      <c r="F171">
        <v>11</v>
      </c>
      <c r="G171">
        <v>1661187319</v>
      </c>
      <c r="H171" t="str">
        <f t="shared" si="2"/>
        <v>yes</v>
      </c>
      <c r="I171">
        <v>0</v>
      </c>
      <c r="J171">
        <v>0</v>
      </c>
      <c r="K171">
        <v>806</v>
      </c>
      <c r="L171">
        <v>0</v>
      </c>
      <c r="M171">
        <v>0</v>
      </c>
      <c r="N171">
        <v>145</v>
      </c>
      <c r="P171" t="s">
        <v>26</v>
      </c>
      <c r="Q171" s="10">
        <v>60</v>
      </c>
      <c r="R171" s="10">
        <v>43</v>
      </c>
      <c r="S171" s="10">
        <v>27</v>
      </c>
      <c r="T171" s="10">
        <v>94</v>
      </c>
      <c r="U171" s="10">
        <v>0</v>
      </c>
      <c r="V171" s="10">
        <v>14</v>
      </c>
      <c r="W171" s="10">
        <v>4</v>
      </c>
    </row>
    <row r="172" spans="1:23" ht="30.75">
      <c r="A172" s="2" t="s">
        <v>326</v>
      </c>
      <c r="B172" s="2" t="s">
        <v>327</v>
      </c>
      <c r="C172">
        <v>1</v>
      </c>
      <c r="D172" s="5">
        <v>43245</v>
      </c>
      <c r="E172">
        <v>5897</v>
      </c>
      <c r="F172">
        <v>19</v>
      </c>
      <c r="G172">
        <v>1374581173</v>
      </c>
      <c r="H172" t="str">
        <f t="shared" si="2"/>
        <v>yes</v>
      </c>
      <c r="I172">
        <v>0</v>
      </c>
      <c r="J172">
        <v>0</v>
      </c>
      <c r="K172">
        <v>885</v>
      </c>
      <c r="L172">
        <v>0</v>
      </c>
      <c r="M172">
        <v>0</v>
      </c>
      <c r="N172">
        <v>150</v>
      </c>
      <c r="O172" t="s">
        <v>29</v>
      </c>
      <c r="P172" t="s">
        <v>41</v>
      </c>
      <c r="Q172" s="10">
        <v>65</v>
      </c>
      <c r="R172" s="10">
        <v>51</v>
      </c>
      <c r="S172" s="10">
        <v>55</v>
      </c>
      <c r="T172" s="10">
        <v>73</v>
      </c>
      <c r="U172" s="10">
        <v>0</v>
      </c>
      <c r="V172" s="10">
        <v>14</v>
      </c>
      <c r="W172" s="10">
        <v>3</v>
      </c>
    </row>
    <row r="173" spans="1:23" ht="76.5">
      <c r="A173" s="2" t="s">
        <v>328</v>
      </c>
      <c r="B173" s="2" t="s">
        <v>329</v>
      </c>
      <c r="C173">
        <v>3</v>
      </c>
      <c r="D173" s="5">
        <v>45079</v>
      </c>
      <c r="E173">
        <v>727</v>
      </c>
      <c r="F173">
        <v>16</v>
      </c>
      <c r="G173">
        <v>94186466</v>
      </c>
      <c r="H173" t="str">
        <f t="shared" si="2"/>
        <v>no</v>
      </c>
      <c r="I173">
        <v>17</v>
      </c>
      <c r="J173">
        <v>60</v>
      </c>
      <c r="K173">
        <v>28</v>
      </c>
      <c r="L173">
        <v>1</v>
      </c>
      <c r="M173">
        <v>44</v>
      </c>
      <c r="N173">
        <v>90</v>
      </c>
      <c r="O173" t="s">
        <v>37</v>
      </c>
      <c r="P173" t="s">
        <v>41</v>
      </c>
      <c r="Q173" s="10">
        <v>60</v>
      </c>
      <c r="R173" s="10">
        <v>13</v>
      </c>
      <c r="S173" s="10">
        <v>53</v>
      </c>
      <c r="T173" s="10">
        <v>4</v>
      </c>
      <c r="U173" s="10">
        <v>0</v>
      </c>
      <c r="V173" s="10">
        <v>21</v>
      </c>
      <c r="W173" s="10">
        <v>4</v>
      </c>
    </row>
    <row r="174" spans="1:23" ht="30.75">
      <c r="A174" s="2" t="s">
        <v>328</v>
      </c>
      <c r="B174" s="2" t="s">
        <v>330</v>
      </c>
      <c r="C174">
        <v>1</v>
      </c>
      <c r="D174" s="5">
        <v>41275</v>
      </c>
      <c r="E174">
        <v>33783</v>
      </c>
      <c r="F174">
        <v>26</v>
      </c>
      <c r="G174">
        <v>1788326445</v>
      </c>
      <c r="H174" t="str">
        <f t="shared" si="2"/>
        <v>yes</v>
      </c>
      <c r="I174">
        <v>133</v>
      </c>
      <c r="J174">
        <v>92</v>
      </c>
      <c r="K174" s="1">
        <v>2733</v>
      </c>
      <c r="L174">
        <v>1</v>
      </c>
      <c r="M174">
        <v>26</v>
      </c>
      <c r="N174">
        <v>85</v>
      </c>
      <c r="O174" t="s">
        <v>32</v>
      </c>
      <c r="P174" t="s">
        <v>26</v>
      </c>
      <c r="Q174" s="10">
        <v>55</v>
      </c>
      <c r="R174" s="10">
        <v>42</v>
      </c>
      <c r="S174" s="10">
        <v>53</v>
      </c>
      <c r="T174" s="10">
        <v>17</v>
      </c>
      <c r="U174" s="10">
        <v>0</v>
      </c>
      <c r="V174" s="10">
        <v>22</v>
      </c>
      <c r="W174" s="10">
        <v>3</v>
      </c>
    </row>
    <row r="175" spans="1:23">
      <c r="A175" s="2" t="s">
        <v>331</v>
      </c>
      <c r="B175" s="2" t="s">
        <v>332</v>
      </c>
      <c r="C175">
        <v>1</v>
      </c>
      <c r="D175" s="5">
        <v>40909</v>
      </c>
      <c r="E175">
        <v>26694</v>
      </c>
      <c r="F175">
        <v>13</v>
      </c>
      <c r="G175">
        <v>1840364617</v>
      </c>
      <c r="H175" t="str">
        <f t="shared" si="2"/>
        <v>yes</v>
      </c>
      <c r="I175">
        <v>65</v>
      </c>
      <c r="J175">
        <v>82</v>
      </c>
      <c r="K175" s="1">
        <v>3425</v>
      </c>
      <c r="L175">
        <v>4</v>
      </c>
      <c r="M175">
        <v>13</v>
      </c>
      <c r="N175">
        <v>180</v>
      </c>
      <c r="O175" t="s">
        <v>196</v>
      </c>
      <c r="P175" t="s">
        <v>26</v>
      </c>
      <c r="Q175" s="10">
        <v>33</v>
      </c>
      <c r="R175" s="10">
        <v>38</v>
      </c>
      <c r="S175" s="10">
        <v>71</v>
      </c>
      <c r="T175" s="10">
        <v>20</v>
      </c>
      <c r="U175" s="10">
        <v>0</v>
      </c>
      <c r="V175" s="10">
        <v>28</v>
      </c>
      <c r="W175" s="10">
        <v>5</v>
      </c>
    </row>
    <row r="176" spans="1:23">
      <c r="A176" s="2" t="s">
        <v>331</v>
      </c>
      <c r="B176" s="2" t="s">
        <v>333</v>
      </c>
      <c r="C176">
        <v>1</v>
      </c>
      <c r="D176" s="5">
        <v>45028</v>
      </c>
      <c r="E176">
        <v>356</v>
      </c>
      <c r="F176">
        <v>16</v>
      </c>
      <c r="G176">
        <v>143573775</v>
      </c>
      <c r="H176" t="str">
        <f t="shared" si="2"/>
        <v>no</v>
      </c>
      <c r="I176">
        <v>35</v>
      </c>
      <c r="J176">
        <v>102</v>
      </c>
      <c r="K176">
        <v>8</v>
      </c>
      <c r="L176">
        <v>1</v>
      </c>
      <c r="M176">
        <v>117</v>
      </c>
      <c r="N176">
        <v>166</v>
      </c>
      <c r="O176" t="s">
        <v>29</v>
      </c>
      <c r="P176" t="s">
        <v>26</v>
      </c>
      <c r="Q176" s="10">
        <v>57</v>
      </c>
      <c r="R176" s="10">
        <v>84</v>
      </c>
      <c r="S176" s="10">
        <v>94</v>
      </c>
      <c r="T176" s="10">
        <v>11</v>
      </c>
      <c r="U176" s="10">
        <v>0</v>
      </c>
      <c r="V176" s="10">
        <v>37</v>
      </c>
      <c r="W176" s="10">
        <v>9</v>
      </c>
    </row>
    <row r="177" spans="1:23" ht="30.75">
      <c r="A177" s="2" t="s">
        <v>334</v>
      </c>
      <c r="B177" s="2" t="s">
        <v>335</v>
      </c>
      <c r="C177">
        <v>1</v>
      </c>
      <c r="D177" s="5">
        <v>42699</v>
      </c>
      <c r="E177">
        <v>6518</v>
      </c>
      <c r="F177">
        <v>17</v>
      </c>
      <c r="G177">
        <v>684675814</v>
      </c>
      <c r="H177" t="str">
        <f t="shared" si="2"/>
        <v>yes</v>
      </c>
      <c r="I177">
        <v>45</v>
      </c>
      <c r="J177">
        <v>85</v>
      </c>
      <c r="K177">
        <v>238</v>
      </c>
      <c r="L177">
        <v>1</v>
      </c>
      <c r="M177">
        <v>47</v>
      </c>
      <c r="N177">
        <v>160</v>
      </c>
      <c r="O177" t="s">
        <v>63</v>
      </c>
      <c r="P177" t="s">
        <v>26</v>
      </c>
      <c r="Q177" s="10">
        <v>71</v>
      </c>
      <c r="R177" s="10">
        <v>40</v>
      </c>
      <c r="S177" s="10">
        <v>50</v>
      </c>
      <c r="T177" s="10">
        <v>16</v>
      </c>
      <c r="U177" s="10">
        <v>0</v>
      </c>
      <c r="V177" s="10">
        <v>16</v>
      </c>
      <c r="W177" s="10">
        <v>22</v>
      </c>
    </row>
    <row r="178" spans="1:23" ht="30.75">
      <c r="A178" s="2" t="s">
        <v>334</v>
      </c>
      <c r="B178" s="2" t="s">
        <v>336</v>
      </c>
      <c r="C178">
        <v>1</v>
      </c>
      <c r="D178" s="5">
        <v>41640</v>
      </c>
      <c r="E178">
        <v>21335</v>
      </c>
      <c r="F178">
        <v>13</v>
      </c>
      <c r="G178">
        <v>1113838873</v>
      </c>
      <c r="H178" t="str">
        <f t="shared" si="2"/>
        <v>yes</v>
      </c>
      <c r="I178">
        <v>328</v>
      </c>
      <c r="J178">
        <v>70</v>
      </c>
      <c r="K178" s="1">
        <v>1378</v>
      </c>
      <c r="L178">
        <v>9</v>
      </c>
      <c r="M178">
        <v>20</v>
      </c>
      <c r="N178">
        <v>160</v>
      </c>
      <c r="O178" t="s">
        <v>72</v>
      </c>
      <c r="P178" t="s">
        <v>26</v>
      </c>
      <c r="Q178" s="10">
        <v>65</v>
      </c>
      <c r="R178" s="10">
        <v>95</v>
      </c>
      <c r="S178" s="10">
        <v>80</v>
      </c>
      <c r="T178" s="10">
        <v>5</v>
      </c>
      <c r="U178" s="10">
        <v>0</v>
      </c>
      <c r="V178" s="10">
        <v>41</v>
      </c>
      <c r="W178" s="10">
        <v>16</v>
      </c>
    </row>
    <row r="179" spans="1:23" ht="60.75">
      <c r="A179" s="2" t="s">
        <v>337</v>
      </c>
      <c r="B179" s="2" t="s">
        <v>338</v>
      </c>
      <c r="C179">
        <v>1</v>
      </c>
      <c r="D179" s="5">
        <v>41275</v>
      </c>
      <c r="E179">
        <v>23389</v>
      </c>
      <c r="F179">
        <v>29</v>
      </c>
      <c r="G179">
        <v>1267333350</v>
      </c>
      <c r="H179" t="str">
        <f t="shared" si="2"/>
        <v>yes</v>
      </c>
      <c r="I179">
        <v>54</v>
      </c>
      <c r="J179">
        <v>70</v>
      </c>
      <c r="K179" s="1">
        <v>1089</v>
      </c>
      <c r="L179">
        <v>2</v>
      </c>
      <c r="M179">
        <v>1</v>
      </c>
      <c r="N179">
        <v>92</v>
      </c>
      <c r="O179" t="s">
        <v>51</v>
      </c>
      <c r="P179" t="s">
        <v>26</v>
      </c>
      <c r="Q179" s="10">
        <v>70</v>
      </c>
      <c r="R179" s="10">
        <v>81</v>
      </c>
      <c r="S179" s="10">
        <v>63</v>
      </c>
      <c r="T179" s="10">
        <v>4</v>
      </c>
      <c r="U179" s="10">
        <v>0</v>
      </c>
      <c r="V179" s="10">
        <v>8</v>
      </c>
      <c r="W179" s="10">
        <v>4</v>
      </c>
    </row>
    <row r="180" spans="1:23">
      <c r="A180" s="2" t="s">
        <v>339</v>
      </c>
      <c r="B180" s="2" t="s">
        <v>340</v>
      </c>
      <c r="C180">
        <v>1</v>
      </c>
      <c r="D180" s="5">
        <v>44639</v>
      </c>
      <c r="E180">
        <v>3202</v>
      </c>
      <c r="F180">
        <v>18</v>
      </c>
      <c r="G180">
        <v>726307468</v>
      </c>
      <c r="H180" t="str">
        <f t="shared" si="2"/>
        <v>yes</v>
      </c>
      <c r="I180">
        <v>148</v>
      </c>
      <c r="J180">
        <v>80</v>
      </c>
      <c r="K180">
        <v>226</v>
      </c>
      <c r="L180">
        <v>24</v>
      </c>
      <c r="M180">
        <v>0</v>
      </c>
      <c r="N180">
        <v>170</v>
      </c>
      <c r="P180" t="s">
        <v>26</v>
      </c>
      <c r="Q180" s="10">
        <v>56</v>
      </c>
      <c r="R180" s="10">
        <v>53</v>
      </c>
      <c r="S180" s="10">
        <v>64</v>
      </c>
      <c r="T180" s="10">
        <v>11</v>
      </c>
      <c r="U180" s="10">
        <v>0</v>
      </c>
      <c r="V180" s="10">
        <v>45</v>
      </c>
      <c r="W180" s="10">
        <v>6</v>
      </c>
    </row>
    <row r="181" spans="1:23">
      <c r="A181" s="2" t="s">
        <v>341</v>
      </c>
      <c r="B181" s="2" t="s">
        <v>342</v>
      </c>
      <c r="C181">
        <v>1</v>
      </c>
      <c r="D181" s="5">
        <v>42741</v>
      </c>
      <c r="E181">
        <v>32181</v>
      </c>
      <c r="F181">
        <v>10</v>
      </c>
      <c r="G181">
        <v>3562543890</v>
      </c>
      <c r="H181" t="str">
        <f t="shared" si="2"/>
        <v>yes</v>
      </c>
      <c r="I181">
        <v>33</v>
      </c>
      <c r="J181">
        <v>0</v>
      </c>
      <c r="K181" s="1">
        <v>6808</v>
      </c>
      <c r="L181">
        <v>7</v>
      </c>
      <c r="M181">
        <v>0</v>
      </c>
      <c r="N181">
        <v>96</v>
      </c>
      <c r="O181" t="s">
        <v>29</v>
      </c>
      <c r="P181" t="s">
        <v>41</v>
      </c>
      <c r="Q181" s="10">
        <v>83</v>
      </c>
      <c r="R181" s="10">
        <v>93</v>
      </c>
      <c r="S181" s="10">
        <v>65</v>
      </c>
      <c r="T181" s="10">
        <v>58</v>
      </c>
      <c r="U181" s="10">
        <v>0</v>
      </c>
      <c r="V181" s="10">
        <v>9</v>
      </c>
      <c r="W181" s="10">
        <v>8</v>
      </c>
    </row>
    <row r="182" spans="1:23">
      <c r="A182" s="2" t="s">
        <v>343</v>
      </c>
      <c r="B182" s="2" t="s">
        <v>344</v>
      </c>
      <c r="C182">
        <v>1</v>
      </c>
      <c r="D182" s="5">
        <v>41960</v>
      </c>
      <c r="E182">
        <v>7124</v>
      </c>
      <c r="F182">
        <v>18</v>
      </c>
      <c r="G182">
        <v>1131090940</v>
      </c>
      <c r="H182" t="str">
        <f t="shared" si="2"/>
        <v>yes</v>
      </c>
      <c r="I182">
        <v>60</v>
      </c>
      <c r="J182">
        <v>20</v>
      </c>
      <c r="K182">
        <v>2</v>
      </c>
      <c r="L182">
        <v>0</v>
      </c>
      <c r="N182">
        <v>120</v>
      </c>
      <c r="O182" t="s">
        <v>63</v>
      </c>
      <c r="P182" t="s">
        <v>26</v>
      </c>
      <c r="Q182" s="10">
        <v>67</v>
      </c>
      <c r="R182" s="10">
        <v>40</v>
      </c>
      <c r="S182" s="10">
        <v>52</v>
      </c>
      <c r="T182" s="10">
        <v>86</v>
      </c>
      <c r="U182" s="10">
        <v>0</v>
      </c>
      <c r="V182" s="10">
        <v>12</v>
      </c>
      <c r="W182" s="10">
        <v>4</v>
      </c>
    </row>
    <row r="183" spans="1:23" ht="45.75">
      <c r="A183" s="2" t="s">
        <v>345</v>
      </c>
      <c r="B183" s="2" t="s">
        <v>346</v>
      </c>
      <c r="C183">
        <v>2</v>
      </c>
      <c r="D183" s="5">
        <v>44939</v>
      </c>
      <c r="E183">
        <v>592</v>
      </c>
      <c r="F183">
        <v>14</v>
      </c>
      <c r="G183">
        <v>307370144</v>
      </c>
      <c r="H183" t="str">
        <f t="shared" si="2"/>
        <v>yes</v>
      </c>
      <c r="I183">
        <v>11</v>
      </c>
      <c r="J183">
        <v>84</v>
      </c>
      <c r="K183">
        <v>6</v>
      </c>
      <c r="L183">
        <v>1</v>
      </c>
      <c r="M183">
        <v>30</v>
      </c>
      <c r="N183">
        <v>98</v>
      </c>
      <c r="P183" t="s">
        <v>26</v>
      </c>
      <c r="Q183" s="10">
        <v>70</v>
      </c>
      <c r="R183" s="10">
        <v>37</v>
      </c>
      <c r="S183" s="10">
        <v>54</v>
      </c>
      <c r="T183" s="10">
        <v>6</v>
      </c>
      <c r="U183" s="10">
        <v>0</v>
      </c>
      <c r="V183" s="10">
        <v>9</v>
      </c>
      <c r="W183" s="10">
        <v>8</v>
      </c>
    </row>
    <row r="184" spans="1:23" ht="45.75">
      <c r="A184" s="2" t="s">
        <v>347</v>
      </c>
      <c r="B184" s="2" t="s">
        <v>348</v>
      </c>
      <c r="C184">
        <v>1</v>
      </c>
      <c r="D184" s="5">
        <v>33868</v>
      </c>
      <c r="E184">
        <v>36724</v>
      </c>
      <c r="F184">
        <v>7</v>
      </c>
      <c r="G184">
        <v>1271293243</v>
      </c>
      <c r="H184" t="str">
        <f t="shared" si="2"/>
        <v>yes</v>
      </c>
      <c r="I184">
        <v>146</v>
      </c>
      <c r="J184">
        <v>72</v>
      </c>
      <c r="K184" s="1">
        <v>6807</v>
      </c>
      <c r="L184">
        <v>5</v>
      </c>
      <c r="M184">
        <v>80</v>
      </c>
      <c r="N184">
        <v>92</v>
      </c>
      <c r="O184" t="s">
        <v>72</v>
      </c>
      <c r="P184" t="s">
        <v>26</v>
      </c>
      <c r="Q184" s="10">
        <v>53</v>
      </c>
      <c r="R184" s="10">
        <v>12</v>
      </c>
      <c r="S184" s="10">
        <v>34</v>
      </c>
      <c r="T184" s="10">
        <v>1</v>
      </c>
      <c r="U184" s="10">
        <v>0</v>
      </c>
      <c r="V184" s="10">
        <v>12</v>
      </c>
      <c r="W184" s="10">
        <v>4</v>
      </c>
    </row>
    <row r="185" spans="1:23" ht="45.75">
      <c r="A185" s="2" t="s">
        <v>349</v>
      </c>
      <c r="B185" s="2" t="s">
        <v>350</v>
      </c>
      <c r="C185">
        <v>1</v>
      </c>
      <c r="D185" s="5">
        <v>43756</v>
      </c>
      <c r="E185">
        <v>794</v>
      </c>
      <c r="F185">
        <v>10</v>
      </c>
      <c r="G185">
        <v>265882712</v>
      </c>
      <c r="H185" t="str">
        <f t="shared" si="2"/>
        <v>yes</v>
      </c>
      <c r="I185">
        <v>38</v>
      </c>
      <c r="J185">
        <v>25</v>
      </c>
      <c r="K185">
        <v>61</v>
      </c>
      <c r="L185">
        <v>0</v>
      </c>
      <c r="M185">
        <v>263</v>
      </c>
      <c r="N185">
        <v>150</v>
      </c>
      <c r="O185" t="s">
        <v>37</v>
      </c>
      <c r="P185" t="s">
        <v>26</v>
      </c>
      <c r="Q185" s="10">
        <v>34</v>
      </c>
      <c r="R185" s="10">
        <v>24</v>
      </c>
      <c r="S185" s="10">
        <v>56</v>
      </c>
      <c r="T185" s="10">
        <v>4</v>
      </c>
      <c r="U185" s="10">
        <v>0</v>
      </c>
      <c r="V185" s="10">
        <v>11</v>
      </c>
      <c r="W185" s="10">
        <v>3</v>
      </c>
    </row>
    <row r="186" spans="1:23">
      <c r="A186" s="2" t="s">
        <v>351</v>
      </c>
      <c r="B186" s="2" t="s">
        <v>352</v>
      </c>
      <c r="C186">
        <v>1</v>
      </c>
      <c r="D186" s="5">
        <v>42815</v>
      </c>
      <c r="E186">
        <v>13091</v>
      </c>
      <c r="F186">
        <v>17</v>
      </c>
      <c r="G186">
        <v>841749534</v>
      </c>
      <c r="H186" t="str">
        <f t="shared" si="2"/>
        <v>yes</v>
      </c>
      <c r="I186">
        <v>61</v>
      </c>
      <c r="J186">
        <v>96</v>
      </c>
      <c r="K186">
        <v>790</v>
      </c>
      <c r="L186">
        <v>2</v>
      </c>
      <c r="M186">
        <v>116</v>
      </c>
      <c r="N186">
        <v>94</v>
      </c>
      <c r="O186" t="s">
        <v>32</v>
      </c>
      <c r="P186" t="s">
        <v>26</v>
      </c>
      <c r="Q186" s="10">
        <v>37</v>
      </c>
      <c r="R186" s="10">
        <v>17</v>
      </c>
      <c r="S186" s="10">
        <v>47</v>
      </c>
      <c r="T186" s="10">
        <v>2</v>
      </c>
      <c r="U186" s="10">
        <v>46</v>
      </c>
      <c r="V186" s="10">
        <v>11</v>
      </c>
      <c r="W186" s="10">
        <v>3</v>
      </c>
    </row>
    <row r="187" spans="1:23">
      <c r="A187" s="2" t="s">
        <v>351</v>
      </c>
      <c r="B187" s="2" t="s">
        <v>353</v>
      </c>
      <c r="C187">
        <v>1</v>
      </c>
      <c r="D187" s="5">
        <v>45065</v>
      </c>
      <c r="E187">
        <v>67</v>
      </c>
      <c r="F187">
        <v>8</v>
      </c>
      <c r="G187">
        <v>47956378</v>
      </c>
      <c r="H187" t="str">
        <f t="shared" si="2"/>
        <v>no</v>
      </c>
      <c r="I187">
        <v>7</v>
      </c>
      <c r="J187">
        <v>10</v>
      </c>
      <c r="K187">
        <v>0</v>
      </c>
      <c r="L187">
        <v>0</v>
      </c>
      <c r="M187">
        <v>57</v>
      </c>
      <c r="N187">
        <v>90</v>
      </c>
      <c r="O187" t="s">
        <v>98</v>
      </c>
      <c r="P187" t="s">
        <v>41</v>
      </c>
      <c r="Q187" s="10">
        <v>74</v>
      </c>
      <c r="R187" s="10">
        <v>36</v>
      </c>
      <c r="S187" s="10">
        <v>63</v>
      </c>
      <c r="T187" s="10">
        <v>26</v>
      </c>
      <c r="U187" s="10">
        <v>0</v>
      </c>
      <c r="V187" s="10">
        <v>27</v>
      </c>
      <c r="W187" s="10">
        <v>5</v>
      </c>
    </row>
    <row r="188" spans="1:23" ht="30.75">
      <c r="A188" s="2" t="s">
        <v>354</v>
      </c>
      <c r="B188" s="2" t="s">
        <v>355</v>
      </c>
      <c r="C188">
        <v>1</v>
      </c>
      <c r="D188" s="5">
        <v>42602</v>
      </c>
      <c r="E188">
        <v>21574</v>
      </c>
      <c r="F188">
        <v>30</v>
      </c>
      <c r="G188">
        <v>806397070</v>
      </c>
      <c r="H188" t="str">
        <f t="shared" si="2"/>
        <v>yes</v>
      </c>
      <c r="I188">
        <v>112</v>
      </c>
      <c r="J188">
        <v>68</v>
      </c>
      <c r="K188">
        <v>266</v>
      </c>
      <c r="L188">
        <v>1</v>
      </c>
      <c r="M188">
        <v>39</v>
      </c>
      <c r="N188">
        <v>160</v>
      </c>
      <c r="O188" t="s">
        <v>37</v>
      </c>
      <c r="P188" t="s">
        <v>26</v>
      </c>
      <c r="Q188" s="10">
        <v>54</v>
      </c>
      <c r="R188" s="10">
        <v>54</v>
      </c>
      <c r="S188" s="10">
        <v>55</v>
      </c>
      <c r="T188" s="10">
        <v>67</v>
      </c>
      <c r="U188" s="10">
        <v>0</v>
      </c>
      <c r="V188" s="10">
        <v>42</v>
      </c>
      <c r="W188" s="10">
        <v>11</v>
      </c>
    </row>
    <row r="189" spans="1:23" ht="76.5">
      <c r="A189" s="2" t="s">
        <v>356</v>
      </c>
      <c r="B189" s="2" t="s">
        <v>357</v>
      </c>
      <c r="C189">
        <v>1</v>
      </c>
      <c r="D189" s="5">
        <v>43707</v>
      </c>
      <c r="E189">
        <v>19664</v>
      </c>
      <c r="F189">
        <v>16</v>
      </c>
      <c r="G189">
        <v>2132335812</v>
      </c>
      <c r="H189" t="str">
        <f t="shared" si="2"/>
        <v>yes</v>
      </c>
      <c r="I189">
        <v>391</v>
      </c>
      <c r="J189">
        <v>73</v>
      </c>
      <c r="K189">
        <v>633</v>
      </c>
      <c r="L189">
        <v>3</v>
      </c>
      <c r="M189">
        <v>37</v>
      </c>
      <c r="N189">
        <v>120</v>
      </c>
      <c r="P189" t="s">
        <v>26</v>
      </c>
      <c r="Q189" s="10">
        <v>70</v>
      </c>
      <c r="R189" s="10">
        <v>59</v>
      </c>
      <c r="S189" s="10">
        <v>75</v>
      </c>
      <c r="T189" s="10">
        <v>24</v>
      </c>
      <c r="U189" s="10">
        <v>0</v>
      </c>
      <c r="V189" s="10">
        <v>9</v>
      </c>
      <c r="W189" s="10">
        <v>4</v>
      </c>
    </row>
    <row r="190" spans="1:23" ht="30.75">
      <c r="A190" s="2" t="s">
        <v>358</v>
      </c>
      <c r="B190" s="2" t="s">
        <v>359</v>
      </c>
      <c r="C190">
        <v>1</v>
      </c>
      <c r="D190" s="5">
        <v>40179</v>
      </c>
      <c r="E190">
        <v>21106</v>
      </c>
      <c r="F190">
        <v>13</v>
      </c>
      <c r="G190">
        <v>1641426668</v>
      </c>
      <c r="H190" t="str">
        <f t="shared" si="2"/>
        <v>yes</v>
      </c>
      <c r="I190">
        <v>82</v>
      </c>
      <c r="J190">
        <v>0</v>
      </c>
      <c r="K190" s="1">
        <v>2946</v>
      </c>
      <c r="L190">
        <v>0</v>
      </c>
      <c r="M190">
        <v>0</v>
      </c>
      <c r="N190">
        <v>109</v>
      </c>
      <c r="O190" t="s">
        <v>32</v>
      </c>
      <c r="P190" t="s">
        <v>26</v>
      </c>
      <c r="Q190" s="10">
        <v>63</v>
      </c>
      <c r="R190" s="10">
        <v>46</v>
      </c>
      <c r="S190" s="10">
        <v>85</v>
      </c>
      <c r="T190" s="10">
        <v>1</v>
      </c>
      <c r="U190" s="10">
        <v>0</v>
      </c>
      <c r="V190" s="10">
        <v>9</v>
      </c>
      <c r="W190" s="10">
        <v>5</v>
      </c>
    </row>
    <row r="191" spans="1:23" ht="30.75">
      <c r="A191" s="2" t="s">
        <v>360</v>
      </c>
      <c r="B191" s="2" t="s">
        <v>361</v>
      </c>
      <c r="C191">
        <v>1</v>
      </c>
      <c r="D191" s="5">
        <v>41530</v>
      </c>
      <c r="E191">
        <v>23804</v>
      </c>
      <c r="F191">
        <v>31</v>
      </c>
      <c r="G191">
        <v>2135158446</v>
      </c>
      <c r="H191" t="str">
        <f t="shared" si="2"/>
        <v>yes</v>
      </c>
      <c r="I191">
        <v>187</v>
      </c>
      <c r="J191">
        <v>99</v>
      </c>
      <c r="K191" s="1">
        <v>4623</v>
      </c>
      <c r="L191">
        <v>1</v>
      </c>
      <c r="M191">
        <v>0</v>
      </c>
      <c r="N191">
        <v>129</v>
      </c>
      <c r="O191" t="s">
        <v>98</v>
      </c>
      <c r="P191" t="s">
        <v>41</v>
      </c>
      <c r="Q191" s="10">
        <v>57</v>
      </c>
      <c r="R191" s="10">
        <v>41</v>
      </c>
      <c r="S191" s="10">
        <v>66</v>
      </c>
      <c r="T191" s="10">
        <v>63</v>
      </c>
      <c r="U191" s="10">
        <v>0</v>
      </c>
      <c r="V191" s="10">
        <v>12</v>
      </c>
      <c r="W191" s="10">
        <v>5</v>
      </c>
    </row>
    <row r="192" spans="1:23">
      <c r="A192" s="2" t="s">
        <v>362</v>
      </c>
      <c r="B192" s="2" t="s">
        <v>363</v>
      </c>
      <c r="C192">
        <v>2</v>
      </c>
      <c r="D192" s="5">
        <v>44911</v>
      </c>
      <c r="E192">
        <v>849</v>
      </c>
      <c r="F192">
        <v>22</v>
      </c>
      <c r="G192">
        <v>367316268</v>
      </c>
      <c r="H192" t="str">
        <f t="shared" si="2"/>
        <v>yes</v>
      </c>
      <c r="I192">
        <v>27</v>
      </c>
      <c r="J192">
        <v>129</v>
      </c>
      <c r="K192">
        <v>21</v>
      </c>
      <c r="L192">
        <v>7</v>
      </c>
      <c r="M192">
        <v>111</v>
      </c>
      <c r="N192">
        <v>157</v>
      </c>
      <c r="O192" t="s">
        <v>72</v>
      </c>
      <c r="P192" t="s">
        <v>26</v>
      </c>
      <c r="Q192" s="10">
        <v>54</v>
      </c>
      <c r="R192" s="10">
        <v>75</v>
      </c>
      <c r="S192" s="10">
        <v>60</v>
      </c>
      <c r="T192" s="10">
        <v>30</v>
      </c>
      <c r="U192" s="10">
        <v>0</v>
      </c>
      <c r="V192" s="10">
        <v>7</v>
      </c>
      <c r="W192" s="10">
        <v>5</v>
      </c>
    </row>
    <row r="193" spans="1:23" ht="60.75">
      <c r="A193" s="2" t="s">
        <v>364</v>
      </c>
      <c r="B193" s="2" t="s">
        <v>365</v>
      </c>
      <c r="C193">
        <v>1</v>
      </c>
      <c r="D193" s="5">
        <v>44295</v>
      </c>
      <c r="E193">
        <v>2619</v>
      </c>
      <c r="F193">
        <v>12</v>
      </c>
      <c r="G193">
        <v>350381515</v>
      </c>
      <c r="H193" t="str">
        <f t="shared" si="2"/>
        <v>yes</v>
      </c>
      <c r="I193">
        <v>47</v>
      </c>
      <c r="J193">
        <v>90</v>
      </c>
      <c r="K193">
        <v>1</v>
      </c>
      <c r="L193">
        <v>0</v>
      </c>
      <c r="M193">
        <v>7</v>
      </c>
      <c r="N193">
        <v>130</v>
      </c>
      <c r="O193" t="s">
        <v>53</v>
      </c>
      <c r="P193" t="s">
        <v>26</v>
      </c>
      <c r="Q193" s="10">
        <v>63</v>
      </c>
      <c r="R193" s="10">
        <v>49</v>
      </c>
      <c r="S193" s="10">
        <v>73</v>
      </c>
      <c r="T193" s="10">
        <v>5</v>
      </c>
      <c r="U193" s="10">
        <v>0</v>
      </c>
      <c r="V193" s="10">
        <v>9</v>
      </c>
      <c r="W193" s="10">
        <v>3</v>
      </c>
    </row>
    <row r="194" spans="1:23" ht="45.75">
      <c r="A194" s="2" t="s">
        <v>366</v>
      </c>
      <c r="B194" s="2" t="s">
        <v>367</v>
      </c>
      <c r="C194">
        <v>1</v>
      </c>
      <c r="D194" s="5">
        <v>44687</v>
      </c>
      <c r="E194">
        <v>9037</v>
      </c>
      <c r="F194">
        <v>42</v>
      </c>
      <c r="G194">
        <v>1264310836</v>
      </c>
      <c r="H194" t="str">
        <f t="shared" ref="H194:H257" si="3">IF(G194&gt;$Z$2,$Z$4,$Z$5)</f>
        <v>yes</v>
      </c>
      <c r="I194">
        <v>124</v>
      </c>
      <c r="J194">
        <v>133</v>
      </c>
      <c r="K194">
        <v>139</v>
      </c>
      <c r="L194">
        <v>14</v>
      </c>
      <c r="M194">
        <v>166</v>
      </c>
      <c r="N194">
        <v>107</v>
      </c>
      <c r="O194" t="s">
        <v>32</v>
      </c>
      <c r="P194" t="s">
        <v>41</v>
      </c>
      <c r="Q194" s="10">
        <v>65</v>
      </c>
      <c r="R194" s="10">
        <v>19</v>
      </c>
      <c r="S194" s="10">
        <v>72</v>
      </c>
      <c r="T194" s="10">
        <v>10</v>
      </c>
      <c r="U194" s="10">
        <v>0</v>
      </c>
      <c r="V194" s="10">
        <v>13</v>
      </c>
      <c r="W194" s="10">
        <v>25</v>
      </c>
    </row>
    <row r="195" spans="1:23" ht="60.75">
      <c r="A195" s="2" t="s">
        <v>368</v>
      </c>
      <c r="B195" s="2" t="s">
        <v>369</v>
      </c>
      <c r="C195">
        <v>1</v>
      </c>
      <c r="D195" s="5">
        <v>45114</v>
      </c>
      <c r="E195">
        <v>86</v>
      </c>
      <c r="F195">
        <v>11</v>
      </c>
      <c r="G195">
        <v>30343206</v>
      </c>
      <c r="H195" t="str">
        <f t="shared" si="3"/>
        <v>no</v>
      </c>
      <c r="I195">
        <v>3</v>
      </c>
      <c r="J195">
        <v>33</v>
      </c>
      <c r="K195">
        <v>3</v>
      </c>
      <c r="L195">
        <v>0</v>
      </c>
      <c r="M195">
        <v>1</v>
      </c>
      <c r="N195">
        <v>146</v>
      </c>
      <c r="O195" t="s">
        <v>25</v>
      </c>
      <c r="P195" t="s">
        <v>41</v>
      </c>
      <c r="Q195" s="10">
        <v>50</v>
      </c>
      <c r="R195" s="10">
        <v>67</v>
      </c>
      <c r="S195" s="10">
        <v>89</v>
      </c>
      <c r="T195" s="10">
        <v>0</v>
      </c>
      <c r="U195" s="10">
        <v>0</v>
      </c>
      <c r="V195" s="10">
        <v>19</v>
      </c>
      <c r="W195" s="10">
        <v>8</v>
      </c>
    </row>
    <row r="196" spans="1:23" ht="30.75">
      <c r="A196" s="2" t="s">
        <v>370</v>
      </c>
      <c r="B196" s="2" t="s">
        <v>371</v>
      </c>
      <c r="C196">
        <v>1</v>
      </c>
      <c r="D196" s="5">
        <v>43871</v>
      </c>
      <c r="E196">
        <v>1788</v>
      </c>
      <c r="F196">
        <v>14</v>
      </c>
      <c r="G196">
        <v>405136812</v>
      </c>
      <c r="H196" t="str">
        <f t="shared" si="3"/>
        <v>yes</v>
      </c>
      <c r="I196">
        <v>1</v>
      </c>
      <c r="J196">
        <v>50</v>
      </c>
      <c r="K196">
        <v>19</v>
      </c>
      <c r="L196">
        <v>0</v>
      </c>
      <c r="M196">
        <v>19</v>
      </c>
      <c r="N196">
        <v>139</v>
      </c>
      <c r="O196" t="s">
        <v>37</v>
      </c>
      <c r="P196" t="s">
        <v>41</v>
      </c>
      <c r="Q196" s="10">
        <v>48</v>
      </c>
      <c r="R196" s="10">
        <v>37</v>
      </c>
      <c r="S196" s="10">
        <v>41</v>
      </c>
      <c r="T196" s="10">
        <v>32</v>
      </c>
      <c r="U196" s="10">
        <v>0</v>
      </c>
      <c r="V196" s="10">
        <v>10</v>
      </c>
      <c r="W196" s="10">
        <v>10</v>
      </c>
    </row>
    <row r="197" spans="1:23" ht="45.75">
      <c r="A197" s="2" t="s">
        <v>372</v>
      </c>
      <c r="B197" s="2" t="s">
        <v>373</v>
      </c>
      <c r="C197">
        <v>1</v>
      </c>
      <c r="D197" s="5">
        <v>25020</v>
      </c>
      <c r="E197">
        <v>15890</v>
      </c>
      <c r="F197">
        <v>14</v>
      </c>
      <c r="G197">
        <v>1145727611</v>
      </c>
      <c r="H197" t="str">
        <f t="shared" si="3"/>
        <v>yes</v>
      </c>
      <c r="I197">
        <v>71</v>
      </c>
      <c r="J197">
        <v>37</v>
      </c>
      <c r="K197">
        <v>653</v>
      </c>
      <c r="L197">
        <v>0</v>
      </c>
      <c r="M197">
        <v>167</v>
      </c>
      <c r="N197">
        <v>116</v>
      </c>
      <c r="P197" t="s">
        <v>26</v>
      </c>
      <c r="Q197" s="10">
        <v>74</v>
      </c>
      <c r="R197" s="10">
        <v>76</v>
      </c>
      <c r="S197" s="10">
        <v>70</v>
      </c>
      <c r="T197" s="10">
        <v>7</v>
      </c>
      <c r="U197" s="10">
        <v>0</v>
      </c>
      <c r="V197" s="10">
        <v>13</v>
      </c>
      <c r="W197" s="10">
        <v>3</v>
      </c>
    </row>
    <row r="198" spans="1:23">
      <c r="A198" s="2" t="s">
        <v>372</v>
      </c>
      <c r="B198" s="2" t="s">
        <v>374</v>
      </c>
      <c r="C198">
        <v>1</v>
      </c>
      <c r="D198" s="5">
        <v>40379</v>
      </c>
      <c r="E198">
        <v>492</v>
      </c>
      <c r="F198">
        <v>36</v>
      </c>
      <c r="G198">
        <v>540654286</v>
      </c>
      <c r="H198" t="str">
        <f t="shared" si="3"/>
        <v>yes</v>
      </c>
      <c r="I198">
        <v>4</v>
      </c>
      <c r="J198">
        <v>3</v>
      </c>
      <c r="K198">
        <v>19</v>
      </c>
      <c r="L198">
        <v>0</v>
      </c>
      <c r="M198">
        <v>0</v>
      </c>
      <c r="N198">
        <v>95</v>
      </c>
      <c r="O198" t="s">
        <v>53</v>
      </c>
      <c r="P198" t="s">
        <v>41</v>
      </c>
      <c r="Q198" s="10">
        <v>84</v>
      </c>
      <c r="R198" s="10">
        <v>52</v>
      </c>
      <c r="S198" s="10">
        <v>77</v>
      </c>
      <c r="T198" s="10">
        <v>12</v>
      </c>
      <c r="U198" s="10">
        <v>0</v>
      </c>
      <c r="V198" s="10">
        <v>7</v>
      </c>
      <c r="W198" s="10">
        <v>4</v>
      </c>
    </row>
    <row r="199" spans="1:23" ht="30.75">
      <c r="A199" s="2" t="s">
        <v>372</v>
      </c>
      <c r="B199" s="2" t="s">
        <v>375</v>
      </c>
      <c r="C199">
        <v>4</v>
      </c>
      <c r="D199" s="5">
        <v>45085</v>
      </c>
      <c r="E199">
        <v>773</v>
      </c>
      <c r="F199">
        <v>33</v>
      </c>
      <c r="G199">
        <v>57312735</v>
      </c>
      <c r="H199" t="str">
        <f t="shared" si="3"/>
        <v>no</v>
      </c>
      <c r="I199">
        <v>20</v>
      </c>
      <c r="J199">
        <v>46</v>
      </c>
      <c r="K199">
        <v>21</v>
      </c>
      <c r="L199">
        <v>8</v>
      </c>
      <c r="M199">
        <v>99</v>
      </c>
      <c r="N199">
        <v>170</v>
      </c>
      <c r="O199" t="s">
        <v>63</v>
      </c>
      <c r="P199" t="s">
        <v>41</v>
      </c>
      <c r="Q199" s="10">
        <v>62</v>
      </c>
      <c r="R199" s="10">
        <v>55</v>
      </c>
      <c r="S199" s="10">
        <v>80</v>
      </c>
      <c r="T199" s="10">
        <v>15</v>
      </c>
      <c r="U199" s="10">
        <v>0</v>
      </c>
      <c r="V199" s="10">
        <v>37</v>
      </c>
      <c r="W199" s="10">
        <v>7</v>
      </c>
    </row>
    <row r="200" spans="1:23">
      <c r="A200" s="2" t="s">
        <v>372</v>
      </c>
      <c r="B200" s="2" t="s">
        <v>376</v>
      </c>
      <c r="C200">
        <v>1</v>
      </c>
      <c r="D200" s="5">
        <v>44914</v>
      </c>
      <c r="E200">
        <v>1154</v>
      </c>
      <c r="F200">
        <v>22</v>
      </c>
      <c r="G200">
        <v>397582059</v>
      </c>
      <c r="H200" t="str">
        <f t="shared" si="3"/>
        <v>yes</v>
      </c>
      <c r="I200">
        <v>28</v>
      </c>
      <c r="J200">
        <v>125</v>
      </c>
      <c r="K200">
        <v>11</v>
      </c>
      <c r="L200">
        <v>1</v>
      </c>
      <c r="M200">
        <v>51</v>
      </c>
      <c r="N200">
        <v>134</v>
      </c>
      <c r="O200" t="s">
        <v>53</v>
      </c>
      <c r="P200" t="s">
        <v>41</v>
      </c>
      <c r="Q200" s="10">
        <v>81</v>
      </c>
      <c r="R200" s="10">
        <v>18</v>
      </c>
      <c r="S200" s="10">
        <v>64</v>
      </c>
      <c r="T200" s="10">
        <v>3</v>
      </c>
      <c r="U200" s="10">
        <v>0</v>
      </c>
      <c r="V200" s="10">
        <v>10</v>
      </c>
      <c r="W200" s="10">
        <v>11</v>
      </c>
    </row>
    <row r="201" spans="1:23">
      <c r="A201" s="2" t="s">
        <v>372</v>
      </c>
      <c r="B201" s="2" t="s">
        <v>377</v>
      </c>
      <c r="C201">
        <v>1</v>
      </c>
      <c r="D201" s="5">
        <v>30974</v>
      </c>
      <c r="E201">
        <v>44927</v>
      </c>
      <c r="F201">
        <v>17</v>
      </c>
      <c r="G201">
        <v>1479115056</v>
      </c>
      <c r="H201" t="str">
        <f t="shared" si="3"/>
        <v>yes</v>
      </c>
      <c r="I201">
        <v>34</v>
      </c>
      <c r="J201">
        <v>0</v>
      </c>
      <c r="K201" s="1">
        <v>5108</v>
      </c>
      <c r="L201">
        <v>6</v>
      </c>
      <c r="M201">
        <v>0</v>
      </c>
      <c r="N201">
        <v>84</v>
      </c>
      <c r="O201" t="s">
        <v>53</v>
      </c>
      <c r="P201" t="s">
        <v>41</v>
      </c>
      <c r="Q201" s="10">
        <v>57</v>
      </c>
      <c r="R201" s="10">
        <v>86</v>
      </c>
      <c r="S201" s="10">
        <v>90</v>
      </c>
      <c r="T201" s="10">
        <v>2</v>
      </c>
      <c r="U201" s="10">
        <v>0</v>
      </c>
      <c r="V201" s="10">
        <v>9</v>
      </c>
      <c r="W201" s="10">
        <v>5</v>
      </c>
    </row>
    <row r="202" spans="1:23" ht="121.5">
      <c r="A202" s="2" t="s">
        <v>372</v>
      </c>
      <c r="B202" s="2" t="s">
        <v>378</v>
      </c>
      <c r="C202">
        <v>4</v>
      </c>
      <c r="D202" s="5">
        <v>45079</v>
      </c>
      <c r="E202">
        <v>551</v>
      </c>
      <c r="F202">
        <v>4</v>
      </c>
      <c r="G202">
        <v>86773632</v>
      </c>
      <c r="H202" t="str">
        <f t="shared" si="3"/>
        <v>no</v>
      </c>
      <c r="I202">
        <v>13</v>
      </c>
      <c r="J202">
        <v>46</v>
      </c>
      <c r="K202">
        <v>20</v>
      </c>
      <c r="L202">
        <v>1</v>
      </c>
      <c r="M202">
        <v>10</v>
      </c>
      <c r="N202">
        <v>146</v>
      </c>
      <c r="O202" t="s">
        <v>25</v>
      </c>
      <c r="P202" t="s">
        <v>41</v>
      </c>
      <c r="Q202" s="10">
        <v>61</v>
      </c>
      <c r="R202" s="10">
        <v>20</v>
      </c>
      <c r="S202" s="10">
        <v>48</v>
      </c>
      <c r="T202" s="10">
        <v>21</v>
      </c>
      <c r="U202" s="10">
        <v>0</v>
      </c>
      <c r="V202" s="10">
        <v>12</v>
      </c>
      <c r="W202" s="10">
        <v>6</v>
      </c>
    </row>
    <row r="203" spans="1:23" ht="60.75">
      <c r="A203" s="2" t="s">
        <v>379</v>
      </c>
      <c r="B203" s="2" t="s">
        <v>380</v>
      </c>
      <c r="C203">
        <v>5</v>
      </c>
      <c r="D203" s="5">
        <v>45047</v>
      </c>
      <c r="E203">
        <v>577</v>
      </c>
      <c r="F203">
        <v>14</v>
      </c>
      <c r="G203">
        <v>133753727</v>
      </c>
      <c r="H203" t="str">
        <f t="shared" si="3"/>
        <v>no</v>
      </c>
      <c r="I203">
        <v>22</v>
      </c>
      <c r="J203">
        <v>18</v>
      </c>
      <c r="K203">
        <v>15</v>
      </c>
      <c r="L203">
        <v>1</v>
      </c>
      <c r="M203">
        <v>0</v>
      </c>
      <c r="N203">
        <v>74</v>
      </c>
      <c r="O203" t="s">
        <v>128</v>
      </c>
      <c r="P203" t="s">
        <v>41</v>
      </c>
      <c r="Q203" s="10">
        <v>53</v>
      </c>
      <c r="R203" s="10">
        <v>24</v>
      </c>
      <c r="S203" s="10">
        <v>67</v>
      </c>
      <c r="T203" s="10">
        <v>11</v>
      </c>
      <c r="U203" s="10">
        <v>0</v>
      </c>
      <c r="V203" s="10">
        <v>10</v>
      </c>
      <c r="W203" s="10">
        <v>28</v>
      </c>
    </row>
    <row r="204" spans="1:23" ht="30.75">
      <c r="A204" s="2" t="s">
        <v>381</v>
      </c>
      <c r="B204" s="2" t="s">
        <v>382</v>
      </c>
      <c r="C204">
        <v>1</v>
      </c>
      <c r="D204" s="5">
        <v>45057</v>
      </c>
      <c r="E204">
        <v>955</v>
      </c>
      <c r="F204">
        <v>29</v>
      </c>
      <c r="G204">
        <v>123124076</v>
      </c>
      <c r="H204" t="str">
        <f t="shared" si="3"/>
        <v>no</v>
      </c>
      <c r="I204">
        <v>37</v>
      </c>
      <c r="J204">
        <v>50</v>
      </c>
      <c r="K204">
        <v>79</v>
      </c>
      <c r="L204">
        <v>11</v>
      </c>
      <c r="M204">
        <v>31</v>
      </c>
      <c r="N204">
        <v>144</v>
      </c>
      <c r="O204" t="s">
        <v>25</v>
      </c>
      <c r="P204" t="s">
        <v>26</v>
      </c>
      <c r="Q204" s="10">
        <v>75</v>
      </c>
      <c r="R204" s="10">
        <v>35</v>
      </c>
      <c r="S204" s="10">
        <v>48</v>
      </c>
      <c r="T204" s="10">
        <v>84</v>
      </c>
      <c r="U204" s="10">
        <v>0</v>
      </c>
      <c r="V204" s="10">
        <v>10</v>
      </c>
      <c r="W204" s="10">
        <v>12</v>
      </c>
    </row>
    <row r="205" spans="1:23" ht="45.75">
      <c r="A205" s="2" t="s">
        <v>383</v>
      </c>
      <c r="B205" s="2" t="s">
        <v>384</v>
      </c>
      <c r="C205">
        <v>3</v>
      </c>
      <c r="D205" s="5">
        <v>44889</v>
      </c>
      <c r="E205">
        <v>995</v>
      </c>
      <c r="F205">
        <v>19</v>
      </c>
      <c r="G205">
        <v>463564958</v>
      </c>
      <c r="H205" t="str">
        <f t="shared" si="3"/>
        <v>yes</v>
      </c>
      <c r="I205">
        <v>12</v>
      </c>
      <c r="J205">
        <v>117</v>
      </c>
      <c r="K205">
        <v>9</v>
      </c>
      <c r="L205">
        <v>5</v>
      </c>
      <c r="M205">
        <v>3</v>
      </c>
      <c r="N205">
        <v>136</v>
      </c>
      <c r="O205" t="s">
        <v>25</v>
      </c>
      <c r="P205" t="s">
        <v>41</v>
      </c>
      <c r="Q205" s="10">
        <v>77</v>
      </c>
      <c r="R205" s="10">
        <v>79</v>
      </c>
      <c r="S205" s="10">
        <v>73</v>
      </c>
      <c r="T205" s="10">
        <v>15</v>
      </c>
      <c r="U205" s="10">
        <v>0</v>
      </c>
      <c r="V205" s="10">
        <v>27</v>
      </c>
      <c r="W205" s="10">
        <v>10</v>
      </c>
    </row>
    <row r="206" spans="1:23" ht="60.75">
      <c r="A206" s="2" t="s">
        <v>385</v>
      </c>
      <c r="B206" s="2" t="s">
        <v>386</v>
      </c>
      <c r="C206">
        <v>3</v>
      </c>
      <c r="D206" s="5">
        <v>45061</v>
      </c>
      <c r="E206">
        <v>178</v>
      </c>
      <c r="F206">
        <v>6</v>
      </c>
      <c r="G206">
        <v>64533040</v>
      </c>
      <c r="H206" t="str">
        <f t="shared" si="3"/>
        <v>no</v>
      </c>
      <c r="I206">
        <v>6</v>
      </c>
      <c r="J206">
        <v>71</v>
      </c>
      <c r="K206">
        <v>1</v>
      </c>
      <c r="L206">
        <v>0</v>
      </c>
      <c r="M206">
        <v>31</v>
      </c>
      <c r="N206">
        <v>100</v>
      </c>
      <c r="O206" t="s">
        <v>98</v>
      </c>
      <c r="P206" t="s">
        <v>26</v>
      </c>
      <c r="Q206" s="10">
        <v>56</v>
      </c>
      <c r="R206" s="10">
        <v>53</v>
      </c>
      <c r="S206" s="10">
        <v>55</v>
      </c>
      <c r="T206" s="10">
        <v>53</v>
      </c>
      <c r="U206" s="10">
        <v>0</v>
      </c>
      <c r="V206" s="10">
        <v>12</v>
      </c>
      <c r="W206" s="10">
        <v>4</v>
      </c>
    </row>
    <row r="207" spans="1:23" ht="30.75">
      <c r="A207" s="2" t="s">
        <v>387</v>
      </c>
      <c r="B207" s="2" t="s">
        <v>388</v>
      </c>
      <c r="C207">
        <v>1</v>
      </c>
      <c r="D207" s="5">
        <v>45079</v>
      </c>
      <c r="E207">
        <v>290</v>
      </c>
      <c r="F207">
        <v>19</v>
      </c>
      <c r="G207">
        <v>65496046</v>
      </c>
      <c r="H207" t="str">
        <f t="shared" si="3"/>
        <v>no</v>
      </c>
      <c r="I207">
        <v>9</v>
      </c>
      <c r="J207">
        <v>101</v>
      </c>
      <c r="K207">
        <v>5</v>
      </c>
      <c r="L207">
        <v>0</v>
      </c>
      <c r="M207">
        <v>73</v>
      </c>
      <c r="N207">
        <v>105</v>
      </c>
      <c r="O207" t="s">
        <v>32</v>
      </c>
      <c r="P207" t="s">
        <v>41</v>
      </c>
      <c r="Q207" s="10">
        <v>89</v>
      </c>
      <c r="R207" s="10">
        <v>67</v>
      </c>
      <c r="S207" s="10">
        <v>78</v>
      </c>
      <c r="T207" s="10">
        <v>9</v>
      </c>
      <c r="U207" s="10">
        <v>0</v>
      </c>
      <c r="V207" s="10">
        <v>7</v>
      </c>
      <c r="W207" s="10">
        <v>33</v>
      </c>
    </row>
    <row r="208" spans="1:23" ht="30.75">
      <c r="A208" s="2" t="s">
        <v>389</v>
      </c>
      <c r="B208" s="2" t="s">
        <v>390</v>
      </c>
      <c r="C208">
        <v>1</v>
      </c>
      <c r="D208" s="5">
        <v>45072</v>
      </c>
      <c r="E208">
        <v>547</v>
      </c>
      <c r="F208">
        <v>0</v>
      </c>
      <c r="G208">
        <v>68616963</v>
      </c>
      <c r="H208" t="str">
        <f t="shared" si="3"/>
        <v>no</v>
      </c>
      <c r="I208">
        <v>15</v>
      </c>
      <c r="J208">
        <v>15</v>
      </c>
      <c r="K208">
        <v>6</v>
      </c>
      <c r="L208">
        <v>0</v>
      </c>
      <c r="M208">
        <v>0</v>
      </c>
      <c r="N208">
        <v>106</v>
      </c>
      <c r="O208" t="s">
        <v>32</v>
      </c>
      <c r="P208" t="s">
        <v>26</v>
      </c>
      <c r="Q208" s="10">
        <v>67</v>
      </c>
      <c r="R208" s="10">
        <v>24</v>
      </c>
      <c r="S208" s="10">
        <v>78</v>
      </c>
      <c r="T208" s="10">
        <v>15</v>
      </c>
      <c r="U208" s="10">
        <v>0</v>
      </c>
      <c r="V208" s="10">
        <v>30</v>
      </c>
      <c r="W208" s="10">
        <v>4</v>
      </c>
    </row>
    <row r="209" spans="1:23" ht="30.75">
      <c r="A209" s="2" t="s">
        <v>389</v>
      </c>
      <c r="B209" s="2" t="s">
        <v>273</v>
      </c>
      <c r="C209">
        <v>2</v>
      </c>
      <c r="D209" s="5">
        <v>45015</v>
      </c>
      <c r="E209">
        <v>681</v>
      </c>
      <c r="F209">
        <v>10</v>
      </c>
      <c r="G209">
        <v>161460990</v>
      </c>
      <c r="H209" t="str">
        <f t="shared" si="3"/>
        <v>no</v>
      </c>
      <c r="I209">
        <v>15</v>
      </c>
      <c r="J209">
        <v>92</v>
      </c>
      <c r="K209">
        <v>21</v>
      </c>
      <c r="L209">
        <v>2</v>
      </c>
      <c r="M209">
        <v>26</v>
      </c>
      <c r="N209">
        <v>132</v>
      </c>
      <c r="O209" t="s">
        <v>51</v>
      </c>
      <c r="P209" t="s">
        <v>26</v>
      </c>
      <c r="Q209" s="10">
        <v>85</v>
      </c>
      <c r="R209" s="10">
        <v>53</v>
      </c>
      <c r="S209" s="10">
        <v>68</v>
      </c>
      <c r="T209" s="10">
        <v>40</v>
      </c>
      <c r="U209" s="10">
        <v>0</v>
      </c>
      <c r="V209" s="10">
        <v>9</v>
      </c>
      <c r="W209" s="10">
        <v>4</v>
      </c>
    </row>
    <row r="210" spans="1:23" ht="106.5">
      <c r="A210" s="2" t="s">
        <v>391</v>
      </c>
      <c r="B210" s="2" t="s">
        <v>392</v>
      </c>
      <c r="C210">
        <v>2</v>
      </c>
      <c r="D210" s="5">
        <v>45079</v>
      </c>
      <c r="E210">
        <v>332</v>
      </c>
      <c r="F210">
        <v>5</v>
      </c>
      <c r="G210">
        <v>70106975</v>
      </c>
      <c r="H210" t="str">
        <f t="shared" si="3"/>
        <v>no</v>
      </c>
      <c r="I210">
        <v>18</v>
      </c>
      <c r="J210">
        <v>41</v>
      </c>
      <c r="K210">
        <v>5</v>
      </c>
      <c r="L210">
        <v>0</v>
      </c>
      <c r="M210">
        <v>19</v>
      </c>
      <c r="N210">
        <v>120</v>
      </c>
      <c r="O210" t="s">
        <v>37</v>
      </c>
      <c r="P210" t="s">
        <v>26</v>
      </c>
      <c r="Q210" s="10">
        <v>78</v>
      </c>
      <c r="R210" s="10">
        <v>5</v>
      </c>
      <c r="S210" s="10">
        <v>30</v>
      </c>
      <c r="T210" s="10">
        <v>21</v>
      </c>
      <c r="U210" s="10">
        <v>0</v>
      </c>
      <c r="V210" s="10">
        <v>13</v>
      </c>
      <c r="W210" s="10">
        <v>5</v>
      </c>
    </row>
    <row r="211" spans="1:23">
      <c r="A211" s="2" t="s">
        <v>391</v>
      </c>
      <c r="B211" s="2" t="s">
        <v>393</v>
      </c>
      <c r="C211">
        <v>2</v>
      </c>
      <c r="D211" s="5">
        <v>45002</v>
      </c>
      <c r="E211">
        <v>1197</v>
      </c>
      <c r="F211">
        <v>13</v>
      </c>
      <c r="G211">
        <v>113509496</v>
      </c>
      <c r="H211" t="str">
        <f t="shared" si="3"/>
        <v>no</v>
      </c>
      <c r="I211">
        <v>44</v>
      </c>
      <c r="J211">
        <v>34</v>
      </c>
      <c r="K211">
        <v>25</v>
      </c>
      <c r="L211">
        <v>1</v>
      </c>
      <c r="M211">
        <v>171</v>
      </c>
      <c r="N211">
        <v>155</v>
      </c>
      <c r="O211" t="s">
        <v>29</v>
      </c>
      <c r="P211" t="s">
        <v>26</v>
      </c>
      <c r="Q211" s="10">
        <v>82</v>
      </c>
      <c r="R211" s="10">
        <v>51</v>
      </c>
      <c r="S211" s="10">
        <v>39</v>
      </c>
      <c r="T211" s="10">
        <v>2</v>
      </c>
      <c r="U211" s="10">
        <v>0</v>
      </c>
      <c r="V211" s="10">
        <v>9</v>
      </c>
      <c r="W211" s="10">
        <v>49</v>
      </c>
    </row>
    <row r="212" spans="1:23">
      <c r="A212" s="2" t="s">
        <v>391</v>
      </c>
      <c r="B212" s="2" t="s">
        <v>394</v>
      </c>
      <c r="C212">
        <v>2</v>
      </c>
      <c r="D212" s="5">
        <v>45059</v>
      </c>
      <c r="E212">
        <v>262</v>
      </c>
      <c r="F212">
        <v>5</v>
      </c>
      <c r="G212">
        <v>89933133</v>
      </c>
      <c r="H212" t="str">
        <f t="shared" si="3"/>
        <v>no</v>
      </c>
      <c r="I212">
        <v>8</v>
      </c>
      <c r="J212">
        <v>60</v>
      </c>
      <c r="K212">
        <v>4</v>
      </c>
      <c r="L212">
        <v>1</v>
      </c>
      <c r="M212">
        <v>109</v>
      </c>
      <c r="N212">
        <v>129</v>
      </c>
      <c r="O212" t="s">
        <v>63</v>
      </c>
      <c r="P212" t="s">
        <v>26</v>
      </c>
      <c r="Q212" s="10">
        <v>70</v>
      </c>
      <c r="R212" s="10">
        <v>42</v>
      </c>
      <c r="S212" s="10">
        <v>43</v>
      </c>
      <c r="T212" s="10">
        <v>78</v>
      </c>
      <c r="U212" s="10">
        <v>0</v>
      </c>
      <c r="V212" s="10">
        <v>11</v>
      </c>
      <c r="W212" s="10">
        <v>3</v>
      </c>
    </row>
    <row r="213" spans="1:23">
      <c r="A213" s="2" t="s">
        <v>391</v>
      </c>
      <c r="B213" s="2" t="s">
        <v>395</v>
      </c>
      <c r="C213">
        <v>2</v>
      </c>
      <c r="D213" s="5">
        <v>44833</v>
      </c>
      <c r="E213">
        <v>161</v>
      </c>
      <c r="F213">
        <v>6</v>
      </c>
      <c r="G213">
        <v>71007139</v>
      </c>
      <c r="H213" t="str">
        <f t="shared" si="3"/>
        <v>no</v>
      </c>
      <c r="I213">
        <v>10</v>
      </c>
      <c r="J213">
        <v>79</v>
      </c>
      <c r="K213">
        <v>2</v>
      </c>
      <c r="L213">
        <v>0</v>
      </c>
      <c r="M213">
        <v>42</v>
      </c>
      <c r="N213">
        <v>135</v>
      </c>
      <c r="O213" t="s">
        <v>32</v>
      </c>
      <c r="P213" t="s">
        <v>41</v>
      </c>
      <c r="Q213" s="10">
        <v>80</v>
      </c>
      <c r="R213" s="10">
        <v>85</v>
      </c>
      <c r="S213" s="10">
        <v>74</v>
      </c>
      <c r="T213" s="10">
        <v>62</v>
      </c>
      <c r="U213" s="10">
        <v>0</v>
      </c>
      <c r="V213" s="10">
        <v>8</v>
      </c>
      <c r="W213" s="10">
        <v>9</v>
      </c>
    </row>
    <row r="214" spans="1:23" ht="30.75">
      <c r="A214" s="2" t="s">
        <v>396</v>
      </c>
      <c r="B214" s="2" t="s">
        <v>397</v>
      </c>
      <c r="C214">
        <v>2</v>
      </c>
      <c r="D214" s="5">
        <v>45079</v>
      </c>
      <c r="E214">
        <v>185</v>
      </c>
      <c r="F214">
        <v>3</v>
      </c>
      <c r="G214">
        <v>43522589</v>
      </c>
      <c r="H214" t="str">
        <f t="shared" si="3"/>
        <v>no</v>
      </c>
      <c r="I214">
        <v>5</v>
      </c>
      <c r="J214">
        <v>6</v>
      </c>
      <c r="K214">
        <v>4</v>
      </c>
      <c r="L214">
        <v>1</v>
      </c>
      <c r="M214">
        <v>33</v>
      </c>
      <c r="N214">
        <v>98</v>
      </c>
      <c r="O214" t="s">
        <v>128</v>
      </c>
      <c r="P214" t="s">
        <v>41</v>
      </c>
      <c r="Q214" s="10">
        <v>73</v>
      </c>
      <c r="R214" s="10">
        <v>45</v>
      </c>
      <c r="S214" s="10">
        <v>62</v>
      </c>
      <c r="T214" s="10">
        <v>28</v>
      </c>
      <c r="U214" s="10">
        <v>0</v>
      </c>
      <c r="V214" s="10">
        <v>13</v>
      </c>
      <c r="W214" s="10">
        <v>13</v>
      </c>
    </row>
    <row r="215" spans="1:23">
      <c r="A215" s="2" t="s">
        <v>396</v>
      </c>
      <c r="B215" s="2" t="s">
        <v>398</v>
      </c>
      <c r="C215">
        <v>1</v>
      </c>
      <c r="D215" s="5">
        <v>45016</v>
      </c>
      <c r="E215">
        <v>839</v>
      </c>
      <c r="F215">
        <v>18</v>
      </c>
      <c r="G215">
        <v>232896922</v>
      </c>
      <c r="H215" t="str">
        <f t="shared" si="3"/>
        <v>yes</v>
      </c>
      <c r="I215">
        <v>20</v>
      </c>
      <c r="J215">
        <v>110</v>
      </c>
      <c r="K215">
        <v>20</v>
      </c>
      <c r="L215">
        <v>0</v>
      </c>
      <c r="M215">
        <v>69</v>
      </c>
      <c r="N215">
        <v>124</v>
      </c>
      <c r="O215" t="s">
        <v>37</v>
      </c>
      <c r="P215" t="s">
        <v>41</v>
      </c>
      <c r="Q215" s="10">
        <v>84</v>
      </c>
      <c r="R215" s="10">
        <v>64</v>
      </c>
      <c r="S215" s="10">
        <v>39</v>
      </c>
      <c r="T215" s="10">
        <v>3</v>
      </c>
      <c r="U215" s="10">
        <v>0</v>
      </c>
      <c r="V215" s="10">
        <v>11</v>
      </c>
      <c r="W215" s="10">
        <v>4</v>
      </c>
    </row>
    <row r="216" spans="1:23" ht="121.5">
      <c r="A216" s="2" t="s">
        <v>396</v>
      </c>
      <c r="B216" s="2" t="s">
        <v>399</v>
      </c>
      <c r="C216">
        <v>3</v>
      </c>
      <c r="D216" s="5">
        <v>45079</v>
      </c>
      <c r="E216">
        <v>259</v>
      </c>
      <c r="F216">
        <v>0</v>
      </c>
      <c r="G216">
        <v>37126685</v>
      </c>
      <c r="H216" t="str">
        <f t="shared" si="3"/>
        <v>no</v>
      </c>
      <c r="I216">
        <v>5</v>
      </c>
      <c r="J216">
        <v>17</v>
      </c>
      <c r="K216">
        <v>5</v>
      </c>
      <c r="L216">
        <v>0</v>
      </c>
      <c r="M216">
        <v>0</v>
      </c>
      <c r="N216">
        <v>135</v>
      </c>
      <c r="O216" t="s">
        <v>37</v>
      </c>
      <c r="P216" t="s">
        <v>41</v>
      </c>
      <c r="Q216" s="10">
        <v>77</v>
      </c>
      <c r="R216" s="10">
        <v>28</v>
      </c>
      <c r="S216" s="10">
        <v>55</v>
      </c>
      <c r="T216" s="10">
        <v>18</v>
      </c>
      <c r="U216" s="10">
        <v>0</v>
      </c>
      <c r="V216" s="10">
        <v>22</v>
      </c>
      <c r="W216" s="10">
        <v>15</v>
      </c>
    </row>
    <row r="217" spans="1:23">
      <c r="A217" s="2" t="s">
        <v>396</v>
      </c>
      <c r="B217" s="2" t="s">
        <v>400</v>
      </c>
      <c r="C217">
        <v>1</v>
      </c>
      <c r="D217" s="5">
        <v>45008</v>
      </c>
      <c r="E217">
        <v>2915</v>
      </c>
      <c r="F217">
        <v>30</v>
      </c>
      <c r="G217">
        <v>195576623</v>
      </c>
      <c r="H217" t="str">
        <f t="shared" si="3"/>
        <v>no</v>
      </c>
      <c r="I217">
        <v>116</v>
      </c>
      <c r="J217">
        <v>69</v>
      </c>
      <c r="K217">
        <v>107</v>
      </c>
      <c r="L217">
        <v>3</v>
      </c>
      <c r="M217">
        <v>675</v>
      </c>
      <c r="N217">
        <v>107</v>
      </c>
      <c r="O217" t="s">
        <v>51</v>
      </c>
      <c r="P217" t="s">
        <v>26</v>
      </c>
      <c r="Q217" s="10">
        <v>78</v>
      </c>
      <c r="R217" s="10">
        <v>39</v>
      </c>
      <c r="S217" s="10">
        <v>53</v>
      </c>
      <c r="T217" s="10">
        <v>30</v>
      </c>
      <c r="U217" s="10">
        <v>0</v>
      </c>
      <c r="V217" s="10">
        <v>11</v>
      </c>
      <c r="W217" s="10">
        <v>6</v>
      </c>
    </row>
    <row r="218" spans="1:23">
      <c r="A218" s="2" t="s">
        <v>396</v>
      </c>
      <c r="B218" s="2" t="s">
        <v>401</v>
      </c>
      <c r="C218">
        <v>2</v>
      </c>
      <c r="D218" s="5">
        <v>44846</v>
      </c>
      <c r="E218">
        <v>5129</v>
      </c>
      <c r="F218">
        <v>25</v>
      </c>
      <c r="G218">
        <v>532336353</v>
      </c>
      <c r="H218" t="str">
        <f t="shared" si="3"/>
        <v>yes</v>
      </c>
      <c r="I218">
        <v>116</v>
      </c>
      <c r="J218">
        <v>84</v>
      </c>
      <c r="K218">
        <v>114</v>
      </c>
      <c r="L218">
        <v>18</v>
      </c>
      <c r="M218">
        <v>348</v>
      </c>
      <c r="N218">
        <v>96</v>
      </c>
      <c r="O218" t="s">
        <v>51</v>
      </c>
      <c r="P218" t="s">
        <v>26</v>
      </c>
      <c r="Q218" s="10">
        <v>54</v>
      </c>
      <c r="R218" s="10">
        <v>25</v>
      </c>
      <c r="S218" s="10">
        <v>74</v>
      </c>
      <c r="T218" s="10">
        <v>14</v>
      </c>
      <c r="U218" s="10">
        <v>0</v>
      </c>
      <c r="V218" s="10">
        <v>9</v>
      </c>
      <c r="W218" s="10">
        <v>11</v>
      </c>
    </row>
    <row r="219" spans="1:23">
      <c r="A219" s="2" t="s">
        <v>396</v>
      </c>
      <c r="B219" s="2" t="s">
        <v>402</v>
      </c>
      <c r="C219">
        <v>2</v>
      </c>
      <c r="D219" s="5">
        <v>44895</v>
      </c>
      <c r="E219">
        <v>3794</v>
      </c>
      <c r="F219">
        <v>34</v>
      </c>
      <c r="G219">
        <v>538115192</v>
      </c>
      <c r="H219" t="str">
        <f t="shared" si="3"/>
        <v>yes</v>
      </c>
      <c r="I219">
        <v>47</v>
      </c>
      <c r="J219">
        <v>77</v>
      </c>
      <c r="K219">
        <v>53</v>
      </c>
      <c r="L219">
        <v>10</v>
      </c>
      <c r="M219">
        <v>8</v>
      </c>
      <c r="N219">
        <v>123</v>
      </c>
      <c r="O219" t="s">
        <v>63</v>
      </c>
      <c r="P219" t="s">
        <v>26</v>
      </c>
      <c r="Q219" s="10">
        <v>71</v>
      </c>
      <c r="R219" s="10">
        <v>58</v>
      </c>
      <c r="S219" s="10">
        <v>70</v>
      </c>
      <c r="T219" s="10">
        <v>30</v>
      </c>
      <c r="U219" s="10">
        <v>0</v>
      </c>
      <c r="V219" s="10">
        <v>32</v>
      </c>
      <c r="W219" s="10">
        <v>19</v>
      </c>
    </row>
    <row r="220" spans="1:23" ht="30.75">
      <c r="A220" s="2" t="s">
        <v>396</v>
      </c>
      <c r="B220" s="2" t="s">
        <v>403</v>
      </c>
      <c r="C220">
        <v>2</v>
      </c>
      <c r="D220" s="5">
        <v>45072</v>
      </c>
      <c r="E220">
        <v>588</v>
      </c>
      <c r="F220">
        <v>0</v>
      </c>
      <c r="G220">
        <v>46142772</v>
      </c>
      <c r="H220" t="str">
        <f t="shared" si="3"/>
        <v>no</v>
      </c>
      <c r="I220">
        <v>23</v>
      </c>
      <c r="J220">
        <v>21</v>
      </c>
      <c r="K220">
        <v>31</v>
      </c>
      <c r="L220">
        <v>0</v>
      </c>
      <c r="M220">
        <v>0</v>
      </c>
      <c r="N220">
        <v>90</v>
      </c>
      <c r="O220" t="s">
        <v>63</v>
      </c>
      <c r="P220" t="s">
        <v>26</v>
      </c>
      <c r="Q220" s="10">
        <v>62</v>
      </c>
      <c r="R220" s="10">
        <v>7</v>
      </c>
      <c r="S220" s="10">
        <v>62</v>
      </c>
      <c r="T220" s="10">
        <v>6</v>
      </c>
      <c r="U220" s="10">
        <v>0</v>
      </c>
      <c r="V220" s="10">
        <v>58</v>
      </c>
      <c r="W220" s="10">
        <v>6</v>
      </c>
    </row>
    <row r="221" spans="1:23" ht="76.5">
      <c r="A221" s="2" t="s">
        <v>396</v>
      </c>
      <c r="B221" s="2" t="s">
        <v>404</v>
      </c>
      <c r="C221">
        <v>3</v>
      </c>
      <c r="D221" s="5">
        <v>44897</v>
      </c>
      <c r="E221">
        <v>2959</v>
      </c>
      <c r="F221">
        <v>16</v>
      </c>
      <c r="G221">
        <v>401036314</v>
      </c>
      <c r="H221" t="str">
        <f t="shared" si="3"/>
        <v>yes</v>
      </c>
      <c r="I221">
        <v>41</v>
      </c>
      <c r="J221">
        <v>69</v>
      </c>
      <c r="K221">
        <v>38</v>
      </c>
      <c r="L221">
        <v>0</v>
      </c>
      <c r="M221">
        <v>36</v>
      </c>
      <c r="N221">
        <v>117</v>
      </c>
      <c r="O221" t="s">
        <v>32</v>
      </c>
      <c r="P221" t="s">
        <v>41</v>
      </c>
      <c r="Q221" s="10">
        <v>72</v>
      </c>
      <c r="R221" s="10">
        <v>45</v>
      </c>
      <c r="S221" s="10">
        <v>59</v>
      </c>
      <c r="T221" s="10">
        <v>14</v>
      </c>
      <c r="U221" s="10">
        <v>0</v>
      </c>
      <c r="V221" s="10">
        <v>20</v>
      </c>
      <c r="W221" s="10">
        <v>21</v>
      </c>
    </row>
    <row r="222" spans="1:23" ht="30.75">
      <c r="A222" s="2" t="s">
        <v>405</v>
      </c>
      <c r="B222" s="2" t="s">
        <v>406</v>
      </c>
      <c r="C222">
        <v>2</v>
      </c>
      <c r="D222" s="5">
        <v>45020</v>
      </c>
      <c r="E222">
        <v>291</v>
      </c>
      <c r="F222">
        <v>8</v>
      </c>
      <c r="G222">
        <v>127026613</v>
      </c>
      <c r="H222" t="str">
        <f t="shared" si="3"/>
        <v>no</v>
      </c>
      <c r="I222">
        <v>8</v>
      </c>
      <c r="J222">
        <v>78</v>
      </c>
      <c r="K222">
        <v>4</v>
      </c>
      <c r="L222">
        <v>1</v>
      </c>
      <c r="M222">
        <v>1</v>
      </c>
      <c r="N222">
        <v>133</v>
      </c>
      <c r="O222" t="s">
        <v>37</v>
      </c>
      <c r="P222" t="s">
        <v>41</v>
      </c>
      <c r="Q222" s="10">
        <v>78</v>
      </c>
      <c r="R222" s="10">
        <v>90</v>
      </c>
      <c r="S222" s="10">
        <v>84</v>
      </c>
      <c r="T222" s="10">
        <v>31</v>
      </c>
      <c r="U222" s="10">
        <v>0</v>
      </c>
      <c r="V222" s="10">
        <v>7</v>
      </c>
      <c r="W222" s="10">
        <v>4</v>
      </c>
    </row>
    <row r="223" spans="1:23" ht="30.75">
      <c r="A223" s="2" t="s">
        <v>407</v>
      </c>
      <c r="B223" s="2" t="s">
        <v>408</v>
      </c>
      <c r="C223">
        <v>1</v>
      </c>
      <c r="D223" s="5">
        <v>44897</v>
      </c>
      <c r="E223">
        <v>2321</v>
      </c>
      <c r="F223">
        <v>36</v>
      </c>
      <c r="G223">
        <v>345031710</v>
      </c>
      <c r="H223" t="str">
        <f t="shared" si="3"/>
        <v>yes</v>
      </c>
      <c r="I223">
        <v>29</v>
      </c>
      <c r="J223">
        <v>65</v>
      </c>
      <c r="K223">
        <v>34</v>
      </c>
      <c r="L223">
        <v>5</v>
      </c>
      <c r="M223">
        <v>3</v>
      </c>
      <c r="N223">
        <v>96</v>
      </c>
      <c r="O223" t="s">
        <v>63</v>
      </c>
      <c r="P223" t="s">
        <v>41</v>
      </c>
      <c r="Q223" s="10">
        <v>74</v>
      </c>
      <c r="R223" s="10">
        <v>61</v>
      </c>
      <c r="S223" s="10">
        <v>83</v>
      </c>
      <c r="T223" s="10">
        <v>11</v>
      </c>
      <c r="U223" s="10">
        <v>0</v>
      </c>
      <c r="V223" s="10">
        <v>35</v>
      </c>
      <c r="W223" s="10">
        <v>6</v>
      </c>
    </row>
    <row r="224" spans="1:23" ht="30.75">
      <c r="A224" s="2" t="s">
        <v>409</v>
      </c>
      <c r="B224" s="2" t="s">
        <v>410</v>
      </c>
      <c r="C224">
        <v>2</v>
      </c>
      <c r="D224" s="5">
        <v>44896</v>
      </c>
      <c r="E224">
        <v>536</v>
      </c>
      <c r="F224">
        <v>10</v>
      </c>
      <c r="G224">
        <v>288101651</v>
      </c>
      <c r="H224" t="str">
        <f t="shared" si="3"/>
        <v>yes</v>
      </c>
      <c r="I224">
        <v>10</v>
      </c>
      <c r="J224">
        <v>72</v>
      </c>
      <c r="K224">
        <v>8</v>
      </c>
      <c r="L224">
        <v>3</v>
      </c>
      <c r="M224">
        <v>14</v>
      </c>
      <c r="N224">
        <v>149</v>
      </c>
      <c r="O224" t="s">
        <v>63</v>
      </c>
      <c r="P224" t="s">
        <v>26</v>
      </c>
      <c r="Q224" s="10">
        <v>66</v>
      </c>
      <c r="R224" s="10">
        <v>85</v>
      </c>
      <c r="S224" s="10">
        <v>60</v>
      </c>
      <c r="T224" s="10">
        <v>40</v>
      </c>
      <c r="U224" s="10">
        <v>0</v>
      </c>
      <c r="V224" s="10">
        <v>14</v>
      </c>
      <c r="W224" s="10">
        <v>13</v>
      </c>
    </row>
    <row r="225" spans="1:23" ht="60.75">
      <c r="A225" s="2" t="s">
        <v>411</v>
      </c>
      <c r="B225" s="2" t="s">
        <v>412</v>
      </c>
      <c r="C225">
        <v>2</v>
      </c>
      <c r="D225" s="5">
        <v>45072</v>
      </c>
      <c r="E225">
        <v>359</v>
      </c>
      <c r="F225">
        <v>2</v>
      </c>
      <c r="G225">
        <v>60350538</v>
      </c>
      <c r="H225" t="str">
        <f t="shared" si="3"/>
        <v>no</v>
      </c>
      <c r="I225">
        <v>1</v>
      </c>
      <c r="J225">
        <v>0</v>
      </c>
      <c r="K225">
        <v>9</v>
      </c>
      <c r="L225">
        <v>0</v>
      </c>
      <c r="M225">
        <v>0</v>
      </c>
      <c r="N225">
        <v>110</v>
      </c>
      <c r="O225" t="s">
        <v>53</v>
      </c>
      <c r="P225" t="s">
        <v>41</v>
      </c>
      <c r="Q225" s="10">
        <v>66</v>
      </c>
      <c r="R225" s="10">
        <v>32</v>
      </c>
      <c r="S225" s="10">
        <v>40</v>
      </c>
      <c r="T225" s="10">
        <v>81</v>
      </c>
      <c r="U225" s="10">
        <v>0</v>
      </c>
      <c r="V225" s="10">
        <v>11</v>
      </c>
      <c r="W225" s="10">
        <v>3</v>
      </c>
    </row>
    <row r="226" spans="1:23" ht="30.75">
      <c r="A226" s="2" t="s">
        <v>413</v>
      </c>
      <c r="B226" s="2" t="s">
        <v>414</v>
      </c>
      <c r="C226">
        <v>1</v>
      </c>
      <c r="D226" s="5">
        <v>44895</v>
      </c>
      <c r="E226">
        <v>4096</v>
      </c>
      <c r="F226">
        <v>6</v>
      </c>
      <c r="G226">
        <v>335074782</v>
      </c>
      <c r="H226" t="str">
        <f t="shared" si="3"/>
        <v>yes</v>
      </c>
      <c r="I226">
        <v>118</v>
      </c>
      <c r="J226">
        <v>48</v>
      </c>
      <c r="K226">
        <v>143</v>
      </c>
      <c r="L226">
        <v>0</v>
      </c>
      <c r="M226">
        <v>240</v>
      </c>
      <c r="N226">
        <v>105</v>
      </c>
      <c r="O226" t="s">
        <v>53</v>
      </c>
      <c r="P226" t="s">
        <v>26</v>
      </c>
      <c r="Q226" s="10">
        <v>95</v>
      </c>
      <c r="R226" s="10">
        <v>62</v>
      </c>
      <c r="S226" s="10">
        <v>52</v>
      </c>
      <c r="T226" s="10">
        <v>3</v>
      </c>
      <c r="U226" s="10">
        <v>0</v>
      </c>
      <c r="V226" s="10">
        <v>5</v>
      </c>
      <c r="W226" s="10">
        <v>16</v>
      </c>
    </row>
    <row r="227" spans="1:23" ht="30.75">
      <c r="A227" s="2" t="s">
        <v>415</v>
      </c>
      <c r="B227" s="2" t="s">
        <v>416</v>
      </c>
      <c r="C227">
        <v>1</v>
      </c>
      <c r="D227" s="5">
        <v>45068</v>
      </c>
      <c r="E227">
        <v>349</v>
      </c>
      <c r="F227">
        <v>69</v>
      </c>
      <c r="G227">
        <v>76767396</v>
      </c>
      <c r="H227" t="str">
        <f t="shared" si="3"/>
        <v>no</v>
      </c>
      <c r="I227">
        <v>8</v>
      </c>
      <c r="J227">
        <v>96</v>
      </c>
      <c r="K227">
        <v>5</v>
      </c>
      <c r="L227">
        <v>0</v>
      </c>
      <c r="M227">
        <v>56</v>
      </c>
      <c r="N227">
        <v>105</v>
      </c>
      <c r="O227" t="s">
        <v>29</v>
      </c>
      <c r="P227" t="s">
        <v>26</v>
      </c>
      <c r="Q227" s="10">
        <v>80</v>
      </c>
      <c r="R227" s="10">
        <v>69</v>
      </c>
      <c r="S227" s="10">
        <v>78</v>
      </c>
      <c r="T227" s="10">
        <v>28</v>
      </c>
      <c r="U227" s="10">
        <v>0</v>
      </c>
      <c r="V227" s="10">
        <v>11</v>
      </c>
      <c r="W227" s="10">
        <v>14</v>
      </c>
    </row>
    <row r="228" spans="1:23" ht="45.75">
      <c r="A228" s="2" t="s">
        <v>417</v>
      </c>
      <c r="B228" s="2" t="s">
        <v>418</v>
      </c>
      <c r="C228">
        <v>2</v>
      </c>
      <c r="D228" s="5">
        <v>45072</v>
      </c>
      <c r="E228">
        <v>381</v>
      </c>
      <c r="F228">
        <v>5</v>
      </c>
      <c r="G228">
        <v>46065667</v>
      </c>
      <c r="H228" t="str">
        <f t="shared" si="3"/>
        <v>no</v>
      </c>
      <c r="I228">
        <v>23</v>
      </c>
      <c r="J228">
        <v>82</v>
      </c>
      <c r="K228">
        <v>6</v>
      </c>
      <c r="L228">
        <v>0</v>
      </c>
      <c r="M228">
        <v>113</v>
      </c>
      <c r="N228">
        <v>134</v>
      </c>
      <c r="O228" t="s">
        <v>25</v>
      </c>
      <c r="P228" t="s">
        <v>26</v>
      </c>
      <c r="Q228" s="10">
        <v>76</v>
      </c>
      <c r="R228" s="10">
        <v>61</v>
      </c>
      <c r="S228" s="10">
        <v>58</v>
      </c>
      <c r="T228" s="10">
        <v>6</v>
      </c>
      <c r="U228" s="10">
        <v>0</v>
      </c>
      <c r="V228" s="10">
        <v>16</v>
      </c>
      <c r="W228" s="10">
        <v>3</v>
      </c>
    </row>
    <row r="229" spans="1:23">
      <c r="A229" s="2" t="s">
        <v>419</v>
      </c>
      <c r="B229" s="2" t="s">
        <v>420</v>
      </c>
      <c r="C229">
        <v>1</v>
      </c>
      <c r="D229" s="5">
        <v>44750</v>
      </c>
      <c r="E229">
        <v>2461</v>
      </c>
      <c r="F229">
        <v>36</v>
      </c>
      <c r="G229">
        <v>459276435</v>
      </c>
      <c r="H229" t="str">
        <f t="shared" si="3"/>
        <v>yes</v>
      </c>
      <c r="I229">
        <v>47</v>
      </c>
      <c r="J229">
        <v>66</v>
      </c>
      <c r="K229">
        <v>45</v>
      </c>
      <c r="L229">
        <v>5</v>
      </c>
      <c r="M229">
        <v>6</v>
      </c>
      <c r="N229">
        <v>170</v>
      </c>
      <c r="O229" t="s">
        <v>98</v>
      </c>
      <c r="P229" t="s">
        <v>41</v>
      </c>
      <c r="Q229" s="10">
        <v>71</v>
      </c>
      <c r="R229" s="10">
        <v>59</v>
      </c>
      <c r="S229" s="10">
        <v>56</v>
      </c>
      <c r="T229" s="10">
        <v>4</v>
      </c>
      <c r="U229" s="10">
        <v>0</v>
      </c>
      <c r="V229" s="10">
        <v>27</v>
      </c>
      <c r="W229" s="10">
        <v>12</v>
      </c>
    </row>
    <row r="230" spans="1:23" ht="60.75">
      <c r="A230" s="2" t="s">
        <v>419</v>
      </c>
      <c r="B230" s="2" t="s">
        <v>421</v>
      </c>
      <c r="C230">
        <v>2</v>
      </c>
      <c r="D230" s="5">
        <v>45079</v>
      </c>
      <c r="E230">
        <v>277</v>
      </c>
      <c r="F230">
        <v>1</v>
      </c>
      <c r="G230">
        <v>39666245</v>
      </c>
      <c r="H230" t="str">
        <f t="shared" si="3"/>
        <v>no</v>
      </c>
      <c r="I230">
        <v>1</v>
      </c>
      <c r="J230">
        <v>20</v>
      </c>
      <c r="K230">
        <v>5</v>
      </c>
      <c r="L230">
        <v>0</v>
      </c>
      <c r="M230">
        <v>1</v>
      </c>
      <c r="N230">
        <v>81</v>
      </c>
      <c r="O230" t="s">
        <v>53</v>
      </c>
      <c r="P230" t="s">
        <v>26</v>
      </c>
      <c r="Q230" s="10">
        <v>59</v>
      </c>
      <c r="R230" s="10">
        <v>26</v>
      </c>
      <c r="S230" s="10">
        <v>60</v>
      </c>
      <c r="T230" s="10">
        <v>46</v>
      </c>
      <c r="U230" s="10">
        <v>1</v>
      </c>
      <c r="V230" s="10">
        <v>25</v>
      </c>
      <c r="W230" s="10">
        <v>13</v>
      </c>
    </row>
    <row r="231" spans="1:23" ht="45.75">
      <c r="A231" s="2" t="s">
        <v>419</v>
      </c>
      <c r="B231" s="2" t="s">
        <v>422</v>
      </c>
      <c r="C231">
        <v>2</v>
      </c>
      <c r="D231" s="5">
        <v>44986</v>
      </c>
      <c r="E231">
        <v>967</v>
      </c>
      <c r="F231">
        <v>5</v>
      </c>
      <c r="G231">
        <v>138517666</v>
      </c>
      <c r="H231" t="str">
        <f t="shared" si="3"/>
        <v>no</v>
      </c>
      <c r="I231">
        <v>7</v>
      </c>
      <c r="J231">
        <v>29</v>
      </c>
      <c r="K231">
        <v>51</v>
      </c>
      <c r="L231">
        <v>1</v>
      </c>
      <c r="M231">
        <v>29</v>
      </c>
      <c r="N231">
        <v>154</v>
      </c>
      <c r="O231" t="s">
        <v>53</v>
      </c>
      <c r="P231" t="s">
        <v>26</v>
      </c>
      <c r="Q231" s="10">
        <v>63</v>
      </c>
      <c r="R231" s="10">
        <v>75</v>
      </c>
      <c r="S231" s="10">
        <v>92</v>
      </c>
      <c r="T231" s="10">
        <v>31</v>
      </c>
      <c r="U231" s="10">
        <v>0</v>
      </c>
      <c r="V231" s="10">
        <v>91</v>
      </c>
      <c r="W231" s="10">
        <v>5</v>
      </c>
    </row>
    <row r="232" spans="1:23">
      <c r="A232" s="2" t="s">
        <v>423</v>
      </c>
      <c r="B232" s="2" t="s">
        <v>424</v>
      </c>
      <c r="C232">
        <v>1</v>
      </c>
      <c r="D232" s="5">
        <v>44741</v>
      </c>
      <c r="E232">
        <v>8186</v>
      </c>
      <c r="F232">
        <v>12</v>
      </c>
      <c r="G232">
        <v>822633917</v>
      </c>
      <c r="H232" t="str">
        <f t="shared" si="3"/>
        <v>yes</v>
      </c>
      <c r="I232">
        <v>155</v>
      </c>
      <c r="J232">
        <v>72</v>
      </c>
      <c r="K232">
        <v>131</v>
      </c>
      <c r="L232">
        <v>16</v>
      </c>
      <c r="M232">
        <v>29</v>
      </c>
      <c r="N232">
        <v>169</v>
      </c>
      <c r="O232" t="s">
        <v>29</v>
      </c>
      <c r="P232" t="s">
        <v>26</v>
      </c>
      <c r="Q232" s="10">
        <v>69</v>
      </c>
      <c r="R232" s="10">
        <v>69</v>
      </c>
      <c r="S232" s="10">
        <v>51</v>
      </c>
      <c r="T232" s="10">
        <v>63</v>
      </c>
      <c r="U232" s="10">
        <v>0</v>
      </c>
      <c r="V232" s="10">
        <v>38</v>
      </c>
      <c r="W232" s="10">
        <v>4</v>
      </c>
    </row>
    <row r="233" spans="1:23" ht="30.75">
      <c r="A233" s="2" t="s">
        <v>425</v>
      </c>
      <c r="B233" s="2" t="s">
        <v>426</v>
      </c>
      <c r="C233">
        <v>1</v>
      </c>
      <c r="D233" s="5">
        <v>44771</v>
      </c>
      <c r="E233">
        <v>7842</v>
      </c>
      <c r="F233">
        <v>10</v>
      </c>
      <c r="G233">
        <v>595900742</v>
      </c>
      <c r="H233" t="str">
        <f t="shared" si="3"/>
        <v>yes</v>
      </c>
      <c r="I233">
        <v>215</v>
      </c>
      <c r="J233">
        <v>88</v>
      </c>
      <c r="K233">
        <v>330</v>
      </c>
      <c r="L233">
        <v>26</v>
      </c>
      <c r="M233">
        <v>23</v>
      </c>
      <c r="N233">
        <v>115</v>
      </c>
      <c r="O233" t="s">
        <v>72</v>
      </c>
      <c r="P233" t="s">
        <v>26</v>
      </c>
      <c r="Q233" s="10">
        <v>78</v>
      </c>
      <c r="R233" s="10">
        <v>64</v>
      </c>
      <c r="S233" s="10">
        <v>69</v>
      </c>
      <c r="T233" s="10">
        <v>4</v>
      </c>
      <c r="U233" s="10">
        <v>0</v>
      </c>
      <c r="V233" s="10">
        <v>7</v>
      </c>
      <c r="W233" s="10">
        <v>14</v>
      </c>
    </row>
    <row r="234" spans="1:23" ht="60.75">
      <c r="A234" s="2" t="s">
        <v>427</v>
      </c>
      <c r="B234" s="2" t="s">
        <v>428</v>
      </c>
      <c r="C234">
        <v>2</v>
      </c>
      <c r="D234" s="5">
        <v>45082</v>
      </c>
      <c r="E234">
        <v>215</v>
      </c>
      <c r="F234">
        <v>6</v>
      </c>
      <c r="G234">
        <v>51985779</v>
      </c>
      <c r="H234" t="str">
        <f t="shared" si="3"/>
        <v>no</v>
      </c>
      <c r="I234">
        <v>6</v>
      </c>
      <c r="J234">
        <v>14</v>
      </c>
      <c r="K234">
        <v>8</v>
      </c>
      <c r="L234">
        <v>2</v>
      </c>
      <c r="M234">
        <v>4</v>
      </c>
      <c r="N234">
        <v>84</v>
      </c>
      <c r="O234" t="s">
        <v>37</v>
      </c>
      <c r="P234" t="s">
        <v>41</v>
      </c>
      <c r="Q234" s="10">
        <v>43</v>
      </c>
      <c r="R234" s="10">
        <v>14</v>
      </c>
      <c r="S234" s="10">
        <v>74</v>
      </c>
      <c r="T234" s="10">
        <v>1</v>
      </c>
      <c r="U234" s="10">
        <v>0</v>
      </c>
      <c r="V234" s="10">
        <v>19</v>
      </c>
      <c r="W234" s="10">
        <v>8</v>
      </c>
    </row>
    <row r="235" spans="1:23">
      <c r="A235" s="2" t="s">
        <v>429</v>
      </c>
      <c r="B235" s="2">
        <v>69</v>
      </c>
      <c r="C235">
        <v>2</v>
      </c>
      <c r="D235" s="5">
        <v>45064</v>
      </c>
      <c r="E235">
        <v>1134</v>
      </c>
      <c r="F235">
        <v>22</v>
      </c>
      <c r="G235">
        <v>57945987</v>
      </c>
      <c r="H235" t="str">
        <f t="shared" si="3"/>
        <v>no</v>
      </c>
      <c r="I235">
        <v>39</v>
      </c>
      <c r="J235">
        <v>14</v>
      </c>
      <c r="K235">
        <v>48</v>
      </c>
      <c r="L235">
        <v>2</v>
      </c>
      <c r="M235">
        <v>3</v>
      </c>
      <c r="N235">
        <v>93</v>
      </c>
      <c r="O235" t="s">
        <v>63</v>
      </c>
      <c r="P235" t="s">
        <v>26</v>
      </c>
      <c r="Q235" s="10">
        <v>79</v>
      </c>
      <c r="R235" s="10">
        <v>58</v>
      </c>
      <c r="S235" s="10">
        <v>62</v>
      </c>
      <c r="T235" s="10">
        <v>11</v>
      </c>
      <c r="U235" s="10">
        <v>0</v>
      </c>
      <c r="V235" s="10">
        <v>11</v>
      </c>
      <c r="W235" s="10">
        <v>23</v>
      </c>
    </row>
    <row r="236" spans="1:23">
      <c r="A236" s="2" t="s">
        <v>429</v>
      </c>
      <c r="B236" s="2" t="s">
        <v>430</v>
      </c>
      <c r="C236">
        <v>2</v>
      </c>
      <c r="D236" s="5">
        <v>45037</v>
      </c>
      <c r="E236">
        <v>1305</v>
      </c>
      <c r="F236">
        <v>34</v>
      </c>
      <c r="G236">
        <v>115010040</v>
      </c>
      <c r="H236" t="str">
        <f t="shared" si="3"/>
        <v>no</v>
      </c>
      <c r="I236">
        <v>29</v>
      </c>
      <c r="J236">
        <v>26</v>
      </c>
      <c r="K236">
        <v>43</v>
      </c>
      <c r="L236">
        <v>5</v>
      </c>
      <c r="M236">
        <v>44</v>
      </c>
      <c r="N236">
        <v>91</v>
      </c>
      <c r="O236" t="s">
        <v>72</v>
      </c>
      <c r="P236" t="s">
        <v>26</v>
      </c>
      <c r="Q236" s="10">
        <v>82</v>
      </c>
      <c r="R236" s="10">
        <v>47</v>
      </c>
      <c r="S236" s="10">
        <v>62</v>
      </c>
      <c r="T236" s="10">
        <v>10</v>
      </c>
      <c r="U236" s="10">
        <v>0</v>
      </c>
      <c r="V236" s="10">
        <v>10</v>
      </c>
      <c r="W236" s="10">
        <v>15</v>
      </c>
    </row>
    <row r="237" spans="1:23" ht="60.75">
      <c r="A237" s="2" t="s">
        <v>431</v>
      </c>
      <c r="B237" s="2" t="s">
        <v>432</v>
      </c>
      <c r="C237">
        <v>1</v>
      </c>
      <c r="D237" s="5">
        <v>45023</v>
      </c>
      <c r="E237">
        <v>2066</v>
      </c>
      <c r="F237">
        <v>6</v>
      </c>
      <c r="G237">
        <v>175097833</v>
      </c>
      <c r="H237" t="str">
        <f t="shared" si="3"/>
        <v>no</v>
      </c>
      <c r="I237">
        <v>58</v>
      </c>
      <c r="J237">
        <v>70</v>
      </c>
      <c r="K237">
        <v>43</v>
      </c>
      <c r="L237">
        <v>0</v>
      </c>
      <c r="M237">
        <v>182</v>
      </c>
      <c r="N237">
        <v>142</v>
      </c>
      <c r="O237" t="s">
        <v>128</v>
      </c>
      <c r="P237" t="s">
        <v>41</v>
      </c>
      <c r="Q237" s="10">
        <v>82</v>
      </c>
      <c r="R237" s="10">
        <v>54</v>
      </c>
      <c r="S237" s="10">
        <v>44</v>
      </c>
      <c r="T237" s="10">
        <v>6</v>
      </c>
      <c r="U237" s="10">
        <v>0</v>
      </c>
      <c r="V237" s="10">
        <v>33</v>
      </c>
      <c r="W237" s="10">
        <v>7</v>
      </c>
    </row>
    <row r="238" spans="1:23" ht="60.75">
      <c r="A238" s="2" t="s">
        <v>433</v>
      </c>
      <c r="B238" s="2" t="s">
        <v>434</v>
      </c>
      <c r="C238">
        <v>2</v>
      </c>
      <c r="D238" s="5">
        <v>45065</v>
      </c>
      <c r="E238">
        <v>896</v>
      </c>
      <c r="F238">
        <v>0</v>
      </c>
      <c r="G238">
        <v>57089066</v>
      </c>
      <c r="H238" t="str">
        <f t="shared" si="3"/>
        <v>no</v>
      </c>
      <c r="I238">
        <v>34</v>
      </c>
      <c r="J238">
        <v>2</v>
      </c>
      <c r="K238">
        <v>33</v>
      </c>
      <c r="L238">
        <v>0</v>
      </c>
      <c r="M238">
        <v>1</v>
      </c>
      <c r="N238">
        <v>126</v>
      </c>
      <c r="O238" t="s">
        <v>29</v>
      </c>
      <c r="P238" t="s">
        <v>26</v>
      </c>
      <c r="Q238" s="10">
        <v>78</v>
      </c>
      <c r="R238" s="10">
        <v>20</v>
      </c>
      <c r="S238" s="10">
        <v>70</v>
      </c>
      <c r="T238" s="10">
        <v>1</v>
      </c>
      <c r="U238" s="10">
        <v>0</v>
      </c>
      <c r="V238" s="10">
        <v>16</v>
      </c>
      <c r="W238" s="10">
        <v>4</v>
      </c>
    </row>
    <row r="239" spans="1:23">
      <c r="A239" s="2" t="s">
        <v>435</v>
      </c>
      <c r="B239" s="2" t="s">
        <v>436</v>
      </c>
      <c r="C239">
        <v>1</v>
      </c>
      <c r="D239" s="5">
        <v>44855</v>
      </c>
      <c r="E239">
        <v>3763</v>
      </c>
      <c r="F239">
        <v>8</v>
      </c>
      <c r="G239">
        <v>488386797</v>
      </c>
      <c r="H239" t="str">
        <f t="shared" si="3"/>
        <v>yes</v>
      </c>
      <c r="I239">
        <v>51</v>
      </c>
      <c r="J239">
        <v>43</v>
      </c>
      <c r="K239">
        <v>38</v>
      </c>
      <c r="L239">
        <v>10</v>
      </c>
      <c r="M239">
        <v>1</v>
      </c>
      <c r="N239">
        <v>97</v>
      </c>
      <c r="O239" t="s">
        <v>128</v>
      </c>
      <c r="P239" t="s">
        <v>26</v>
      </c>
      <c r="Q239" s="10">
        <v>73</v>
      </c>
      <c r="R239" s="10">
        <v>10</v>
      </c>
      <c r="S239" s="10">
        <v>44</v>
      </c>
      <c r="T239" s="10">
        <v>26</v>
      </c>
      <c r="U239" s="10">
        <v>0</v>
      </c>
      <c r="V239" s="10">
        <v>16</v>
      </c>
      <c r="W239" s="10">
        <v>8</v>
      </c>
    </row>
    <row r="240" spans="1:23" ht="167.25">
      <c r="A240" s="2" t="s">
        <v>435</v>
      </c>
      <c r="B240" s="2" t="s">
        <v>437</v>
      </c>
      <c r="C240">
        <v>5</v>
      </c>
      <c r="D240" s="5">
        <v>45079</v>
      </c>
      <c r="E240">
        <v>197</v>
      </c>
      <c r="F240">
        <v>0</v>
      </c>
      <c r="G240">
        <v>32761689</v>
      </c>
      <c r="H240" t="str">
        <f t="shared" si="3"/>
        <v>no</v>
      </c>
      <c r="I240">
        <v>3</v>
      </c>
      <c r="J240">
        <v>10</v>
      </c>
      <c r="K240">
        <v>3</v>
      </c>
      <c r="L240">
        <v>0</v>
      </c>
      <c r="M240">
        <v>0</v>
      </c>
      <c r="N240">
        <v>101</v>
      </c>
      <c r="O240" t="s">
        <v>32</v>
      </c>
      <c r="P240" t="s">
        <v>26</v>
      </c>
      <c r="Q240" s="10">
        <v>92</v>
      </c>
      <c r="R240" s="10">
        <v>59</v>
      </c>
      <c r="S240" s="10">
        <v>51</v>
      </c>
      <c r="T240" s="10">
        <v>41</v>
      </c>
      <c r="U240" s="10">
        <v>51</v>
      </c>
      <c r="V240" s="10">
        <v>26</v>
      </c>
      <c r="W240" s="10">
        <v>8</v>
      </c>
    </row>
    <row r="241" spans="1:23">
      <c r="A241" s="2" t="s">
        <v>435</v>
      </c>
      <c r="B241" s="2" t="s">
        <v>438</v>
      </c>
      <c r="C241">
        <v>1</v>
      </c>
      <c r="D241" s="5">
        <v>44687</v>
      </c>
      <c r="E241">
        <v>4004</v>
      </c>
      <c r="F241">
        <v>33</v>
      </c>
      <c r="G241">
        <v>1047480053</v>
      </c>
      <c r="H241" t="str">
        <f t="shared" si="3"/>
        <v>yes</v>
      </c>
      <c r="I241">
        <v>34</v>
      </c>
      <c r="J241">
        <v>65</v>
      </c>
      <c r="K241">
        <v>43</v>
      </c>
      <c r="L241">
        <v>6</v>
      </c>
      <c r="M241">
        <v>2</v>
      </c>
      <c r="N241">
        <v>98</v>
      </c>
      <c r="O241" t="s">
        <v>72</v>
      </c>
      <c r="P241" t="s">
        <v>41</v>
      </c>
      <c r="Q241" s="10">
        <v>80</v>
      </c>
      <c r="R241" s="10">
        <v>23</v>
      </c>
      <c r="S241" s="10">
        <v>48</v>
      </c>
      <c r="T241" s="10">
        <v>14</v>
      </c>
      <c r="U241" s="10">
        <v>0</v>
      </c>
      <c r="V241" s="10">
        <v>6</v>
      </c>
      <c r="W241" s="10">
        <v>5</v>
      </c>
    </row>
    <row r="242" spans="1:23" ht="30.75">
      <c r="A242" s="2" t="s">
        <v>435</v>
      </c>
      <c r="B242" s="2" t="s">
        <v>439</v>
      </c>
      <c r="C242">
        <v>1</v>
      </c>
      <c r="D242" s="5">
        <v>44953</v>
      </c>
      <c r="E242">
        <v>984</v>
      </c>
      <c r="F242">
        <v>5</v>
      </c>
      <c r="G242">
        <v>153454328</v>
      </c>
      <c r="H242" t="str">
        <f t="shared" si="3"/>
        <v>no</v>
      </c>
      <c r="I242">
        <v>8</v>
      </c>
      <c r="J242">
        <v>57</v>
      </c>
      <c r="K242">
        <v>76</v>
      </c>
      <c r="L242">
        <v>2</v>
      </c>
      <c r="M242">
        <v>49</v>
      </c>
      <c r="N242">
        <v>154</v>
      </c>
      <c r="O242" t="s">
        <v>53</v>
      </c>
      <c r="P242" t="s">
        <v>26</v>
      </c>
      <c r="Q242" s="10">
        <v>59</v>
      </c>
      <c r="R242" s="10">
        <v>63</v>
      </c>
      <c r="S242" s="10">
        <v>89</v>
      </c>
      <c r="T242" s="10">
        <v>18</v>
      </c>
      <c r="U242" s="10">
        <v>0</v>
      </c>
      <c r="V242" s="10">
        <v>80</v>
      </c>
      <c r="W242" s="10">
        <v>9</v>
      </c>
    </row>
    <row r="243" spans="1:23">
      <c r="A243" s="2" t="s">
        <v>435</v>
      </c>
      <c r="B243" s="2" t="s">
        <v>440</v>
      </c>
      <c r="C243">
        <v>1</v>
      </c>
      <c r="D243" s="5">
        <v>44971</v>
      </c>
      <c r="E243">
        <v>1240</v>
      </c>
      <c r="F243">
        <v>24</v>
      </c>
      <c r="G243">
        <v>217672943</v>
      </c>
      <c r="H243" t="str">
        <f t="shared" si="3"/>
        <v>yes</v>
      </c>
      <c r="I243">
        <v>51</v>
      </c>
      <c r="J243">
        <v>29</v>
      </c>
      <c r="K243">
        <v>63</v>
      </c>
      <c r="L243">
        <v>4</v>
      </c>
      <c r="M243">
        <v>54</v>
      </c>
      <c r="N243">
        <v>120</v>
      </c>
      <c r="O243" t="s">
        <v>37</v>
      </c>
      <c r="P243" t="s">
        <v>26</v>
      </c>
      <c r="Q243" s="10">
        <v>91</v>
      </c>
      <c r="R243" s="10">
        <v>63</v>
      </c>
      <c r="S243" s="10">
        <v>58</v>
      </c>
      <c r="T243" s="10">
        <v>52</v>
      </c>
      <c r="U243" s="10">
        <v>0</v>
      </c>
      <c r="V243" s="10">
        <v>31</v>
      </c>
      <c r="W243" s="10">
        <v>22</v>
      </c>
    </row>
    <row r="244" spans="1:23" ht="30.75">
      <c r="A244" s="2" t="s">
        <v>435</v>
      </c>
      <c r="B244" s="2" t="s">
        <v>441</v>
      </c>
      <c r="C244">
        <v>1</v>
      </c>
      <c r="D244" s="5">
        <v>44851</v>
      </c>
      <c r="E244">
        <v>3995</v>
      </c>
      <c r="F244">
        <v>13</v>
      </c>
      <c r="G244">
        <v>457184829</v>
      </c>
      <c r="H244" t="str">
        <f t="shared" si="3"/>
        <v>yes</v>
      </c>
      <c r="I244">
        <v>72</v>
      </c>
      <c r="J244">
        <v>27</v>
      </c>
      <c r="K244">
        <v>47</v>
      </c>
      <c r="L244">
        <v>0</v>
      </c>
      <c r="M244">
        <v>0</v>
      </c>
      <c r="N244">
        <v>150</v>
      </c>
      <c r="O244" t="s">
        <v>25</v>
      </c>
      <c r="P244" t="s">
        <v>26</v>
      </c>
      <c r="Q244" s="10">
        <v>49</v>
      </c>
      <c r="R244" s="10">
        <v>4</v>
      </c>
      <c r="S244" s="10">
        <v>55</v>
      </c>
      <c r="T244" s="10">
        <v>7</v>
      </c>
      <c r="U244" s="10">
        <v>0</v>
      </c>
      <c r="V244" s="10">
        <v>6</v>
      </c>
      <c r="W244" s="10">
        <v>3</v>
      </c>
    </row>
    <row r="245" spans="1:23">
      <c r="A245" s="2" t="s">
        <v>435</v>
      </c>
      <c r="B245" s="2" t="s">
        <v>442</v>
      </c>
      <c r="C245">
        <v>1</v>
      </c>
      <c r="D245" s="5">
        <v>42390</v>
      </c>
      <c r="E245">
        <v>7681</v>
      </c>
      <c r="F245">
        <v>13</v>
      </c>
      <c r="G245">
        <v>939844851</v>
      </c>
      <c r="H245" t="str">
        <f t="shared" si="3"/>
        <v>yes</v>
      </c>
      <c r="I245">
        <v>119</v>
      </c>
      <c r="J245">
        <v>66</v>
      </c>
      <c r="K245" s="1">
        <v>1145</v>
      </c>
      <c r="L245">
        <v>2</v>
      </c>
      <c r="N245">
        <v>174</v>
      </c>
      <c r="O245" t="s">
        <v>37</v>
      </c>
      <c r="P245" t="s">
        <v>26</v>
      </c>
      <c r="Q245" s="10">
        <v>47</v>
      </c>
      <c r="R245" s="10">
        <v>27</v>
      </c>
      <c r="S245" s="10">
        <v>78</v>
      </c>
      <c r="T245" s="10">
        <v>11</v>
      </c>
      <c r="U245" s="10">
        <v>0</v>
      </c>
      <c r="V245" s="10">
        <v>10</v>
      </c>
      <c r="W245" s="10">
        <v>8</v>
      </c>
    </row>
    <row r="246" spans="1:23" ht="30.75">
      <c r="A246" s="2" t="s">
        <v>435</v>
      </c>
      <c r="B246" s="2" t="s">
        <v>443</v>
      </c>
      <c r="C246">
        <v>1</v>
      </c>
      <c r="D246" s="5">
        <v>44440</v>
      </c>
      <c r="E246">
        <v>4427</v>
      </c>
      <c r="F246">
        <v>4</v>
      </c>
      <c r="G246">
        <v>726434358</v>
      </c>
      <c r="H246" t="str">
        <f t="shared" si="3"/>
        <v>yes</v>
      </c>
      <c r="I246">
        <v>69</v>
      </c>
      <c r="J246">
        <v>100</v>
      </c>
      <c r="K246">
        <v>154</v>
      </c>
      <c r="L246">
        <v>20</v>
      </c>
      <c r="M246">
        <v>438</v>
      </c>
      <c r="N246">
        <v>202</v>
      </c>
      <c r="O246" t="s">
        <v>128</v>
      </c>
      <c r="P246" t="s">
        <v>26</v>
      </c>
      <c r="Q246" s="10">
        <v>34</v>
      </c>
      <c r="R246" s="10">
        <v>25</v>
      </c>
      <c r="S246" s="10">
        <v>51</v>
      </c>
      <c r="T246" s="10">
        <v>69</v>
      </c>
      <c r="U246" s="10">
        <v>0</v>
      </c>
      <c r="V246" s="10">
        <v>18</v>
      </c>
      <c r="W246" s="10">
        <v>4</v>
      </c>
    </row>
    <row r="247" spans="1:23">
      <c r="A247" s="2" t="s">
        <v>435</v>
      </c>
      <c r="B247" s="2" t="s">
        <v>444</v>
      </c>
      <c r="C247">
        <v>2</v>
      </c>
      <c r="D247" s="5">
        <v>44869</v>
      </c>
      <c r="E247">
        <v>4657</v>
      </c>
      <c r="F247">
        <v>18</v>
      </c>
      <c r="G247">
        <v>573633020</v>
      </c>
      <c r="H247" t="str">
        <f t="shared" si="3"/>
        <v>yes</v>
      </c>
      <c r="I247">
        <v>84</v>
      </c>
      <c r="J247">
        <v>84</v>
      </c>
      <c r="K247">
        <v>42</v>
      </c>
      <c r="L247">
        <v>0</v>
      </c>
      <c r="M247">
        <v>23</v>
      </c>
      <c r="N247">
        <v>153</v>
      </c>
      <c r="O247" t="s">
        <v>25</v>
      </c>
      <c r="P247" t="s">
        <v>41</v>
      </c>
      <c r="Q247" s="10">
        <v>56</v>
      </c>
      <c r="R247" s="10">
        <v>42</v>
      </c>
      <c r="S247" s="10">
        <v>52</v>
      </c>
      <c r="T247" s="10">
        <v>5</v>
      </c>
      <c r="U247" s="10">
        <v>0</v>
      </c>
      <c r="V247" s="10">
        <v>36</v>
      </c>
      <c r="W247" s="10">
        <v>24</v>
      </c>
    </row>
    <row r="248" spans="1:23" ht="30.75">
      <c r="A248" s="2" t="s">
        <v>445</v>
      </c>
      <c r="B248" s="2" t="s">
        <v>446</v>
      </c>
      <c r="C248">
        <v>1</v>
      </c>
      <c r="D248" s="5">
        <v>44483</v>
      </c>
      <c r="E248">
        <v>10195</v>
      </c>
      <c r="F248">
        <v>20</v>
      </c>
      <c r="G248">
        <v>1406111294</v>
      </c>
      <c r="H248" t="str">
        <f t="shared" si="3"/>
        <v>yes</v>
      </c>
      <c r="I248">
        <v>258</v>
      </c>
      <c r="J248">
        <v>87</v>
      </c>
      <c r="K248">
        <v>657</v>
      </c>
      <c r="L248">
        <v>22</v>
      </c>
      <c r="M248">
        <v>9</v>
      </c>
      <c r="N248">
        <v>142</v>
      </c>
      <c r="O248" t="s">
        <v>32</v>
      </c>
      <c r="P248" t="s">
        <v>26</v>
      </c>
      <c r="Q248" s="10">
        <v>60</v>
      </c>
      <c r="R248" s="10">
        <v>13</v>
      </c>
      <c r="S248" s="10">
        <v>37</v>
      </c>
      <c r="T248" s="10">
        <v>58</v>
      </c>
      <c r="U248" s="10">
        <v>0</v>
      </c>
      <c r="V248" s="10">
        <v>13</v>
      </c>
      <c r="W248" s="10">
        <v>3</v>
      </c>
    </row>
    <row r="249" spans="1:23" ht="30.75">
      <c r="A249" s="2" t="s">
        <v>447</v>
      </c>
      <c r="B249" s="2" t="s">
        <v>448</v>
      </c>
      <c r="C249">
        <v>2</v>
      </c>
      <c r="D249" s="5">
        <v>45057</v>
      </c>
      <c r="E249">
        <v>269</v>
      </c>
      <c r="F249">
        <v>4</v>
      </c>
      <c r="G249">
        <v>71573339</v>
      </c>
      <c r="H249" t="str">
        <f t="shared" si="3"/>
        <v>no</v>
      </c>
      <c r="I249">
        <v>7</v>
      </c>
      <c r="J249">
        <v>2</v>
      </c>
      <c r="K249">
        <v>30</v>
      </c>
      <c r="L249">
        <v>1</v>
      </c>
      <c r="M249">
        <v>11</v>
      </c>
      <c r="N249">
        <v>108</v>
      </c>
      <c r="O249" t="s">
        <v>37</v>
      </c>
      <c r="P249" t="s">
        <v>41</v>
      </c>
      <c r="Q249" s="10">
        <v>84</v>
      </c>
      <c r="R249" s="10">
        <v>55</v>
      </c>
      <c r="S249" s="10">
        <v>47</v>
      </c>
      <c r="T249" s="10">
        <v>26</v>
      </c>
      <c r="U249" s="10">
        <v>0</v>
      </c>
      <c r="V249" s="10">
        <v>20</v>
      </c>
      <c r="W249" s="10">
        <v>64</v>
      </c>
    </row>
    <row r="250" spans="1:23" ht="45.75">
      <c r="A250" s="2" t="s">
        <v>449</v>
      </c>
      <c r="B250" s="2" t="s">
        <v>450</v>
      </c>
      <c r="C250">
        <v>2</v>
      </c>
      <c r="D250" s="5">
        <v>45079</v>
      </c>
      <c r="E250">
        <v>214</v>
      </c>
      <c r="F250">
        <v>0</v>
      </c>
      <c r="G250">
        <v>24975653</v>
      </c>
      <c r="H250" t="str">
        <f t="shared" si="3"/>
        <v>no</v>
      </c>
      <c r="I250">
        <v>3</v>
      </c>
      <c r="J250">
        <v>3</v>
      </c>
      <c r="K250">
        <v>6</v>
      </c>
      <c r="L250">
        <v>0</v>
      </c>
      <c r="M250">
        <v>0</v>
      </c>
      <c r="N250">
        <v>143</v>
      </c>
      <c r="O250" t="s">
        <v>25</v>
      </c>
      <c r="P250" t="s">
        <v>26</v>
      </c>
      <c r="Q250" s="10">
        <v>83</v>
      </c>
      <c r="R250" s="10">
        <v>25</v>
      </c>
      <c r="S250" s="10">
        <v>69</v>
      </c>
      <c r="T250" s="10">
        <v>4</v>
      </c>
      <c r="U250" s="10">
        <v>0</v>
      </c>
      <c r="V250" s="10">
        <v>23</v>
      </c>
      <c r="W250" s="10">
        <v>12</v>
      </c>
    </row>
    <row r="251" spans="1:23" ht="30.75">
      <c r="A251" s="2" t="s">
        <v>451</v>
      </c>
      <c r="B251" s="2" t="s">
        <v>452</v>
      </c>
      <c r="C251">
        <v>1</v>
      </c>
      <c r="D251" s="5">
        <v>44971</v>
      </c>
      <c r="E251">
        <v>845</v>
      </c>
      <c r="F251">
        <v>2</v>
      </c>
      <c r="G251">
        <v>145458418</v>
      </c>
      <c r="H251" t="str">
        <f t="shared" si="3"/>
        <v>no</v>
      </c>
      <c r="I251">
        <v>12</v>
      </c>
      <c r="J251">
        <v>57</v>
      </c>
      <c r="K251">
        <v>47</v>
      </c>
      <c r="L251">
        <v>1</v>
      </c>
      <c r="M251">
        <v>33</v>
      </c>
      <c r="N251">
        <v>108</v>
      </c>
      <c r="O251" t="s">
        <v>51</v>
      </c>
      <c r="P251" t="s">
        <v>26</v>
      </c>
      <c r="Q251" s="10">
        <v>67</v>
      </c>
      <c r="R251" s="10">
        <v>55</v>
      </c>
      <c r="S251" s="10">
        <v>67</v>
      </c>
      <c r="T251" s="10">
        <v>60</v>
      </c>
      <c r="U251" s="10">
        <v>0</v>
      </c>
      <c r="V251" s="10">
        <v>80</v>
      </c>
      <c r="W251" s="10">
        <v>5</v>
      </c>
    </row>
    <row r="252" spans="1:23" ht="30.75">
      <c r="A252" s="2" t="s">
        <v>453</v>
      </c>
      <c r="B252" s="2" t="s">
        <v>454</v>
      </c>
      <c r="C252">
        <v>1</v>
      </c>
      <c r="D252" s="5">
        <v>36526</v>
      </c>
      <c r="E252">
        <v>20763</v>
      </c>
      <c r="F252">
        <v>27</v>
      </c>
      <c r="G252">
        <v>1424589568</v>
      </c>
      <c r="H252" t="str">
        <f t="shared" si="3"/>
        <v>yes</v>
      </c>
      <c r="I252">
        <v>81</v>
      </c>
      <c r="J252">
        <v>53</v>
      </c>
      <c r="K252" s="1">
        <v>3271</v>
      </c>
      <c r="L252">
        <v>1</v>
      </c>
      <c r="M252">
        <v>17</v>
      </c>
      <c r="N252">
        <v>104</v>
      </c>
      <c r="O252" t="s">
        <v>32</v>
      </c>
      <c r="P252" t="s">
        <v>41</v>
      </c>
      <c r="Q252" s="10">
        <v>95</v>
      </c>
      <c r="R252" s="10">
        <v>78</v>
      </c>
      <c r="S252" s="10">
        <v>66</v>
      </c>
      <c r="T252" s="10">
        <v>3</v>
      </c>
      <c r="U252" s="10">
        <v>0</v>
      </c>
      <c r="V252" s="10">
        <v>4</v>
      </c>
      <c r="W252" s="10">
        <v>6</v>
      </c>
    </row>
    <row r="253" spans="1:23" ht="30.75">
      <c r="A253" s="2" t="s">
        <v>455</v>
      </c>
      <c r="B253" s="2" t="s">
        <v>456</v>
      </c>
      <c r="C253">
        <v>3</v>
      </c>
      <c r="D253" s="5">
        <v>44911</v>
      </c>
      <c r="E253">
        <v>1267</v>
      </c>
      <c r="F253">
        <v>20</v>
      </c>
      <c r="G253">
        <v>231332117</v>
      </c>
      <c r="H253" t="str">
        <f t="shared" si="3"/>
        <v>yes</v>
      </c>
      <c r="I253">
        <v>41</v>
      </c>
      <c r="J253">
        <v>22</v>
      </c>
      <c r="K253">
        <v>56</v>
      </c>
      <c r="L253">
        <v>4</v>
      </c>
      <c r="M253">
        <v>84</v>
      </c>
      <c r="N253">
        <v>93</v>
      </c>
      <c r="O253" t="s">
        <v>53</v>
      </c>
      <c r="P253" t="s">
        <v>41</v>
      </c>
      <c r="Q253" s="10">
        <v>84</v>
      </c>
      <c r="R253" s="10">
        <v>96</v>
      </c>
      <c r="S253" s="10">
        <v>79</v>
      </c>
      <c r="T253" s="10">
        <v>43</v>
      </c>
      <c r="U253" s="10">
        <v>0</v>
      </c>
      <c r="V253" s="10">
        <v>18</v>
      </c>
      <c r="W253" s="10">
        <v>11</v>
      </c>
    </row>
    <row r="254" spans="1:23" ht="30.75">
      <c r="A254" s="2" t="s">
        <v>457</v>
      </c>
      <c r="B254" s="2" t="s">
        <v>458</v>
      </c>
      <c r="C254">
        <v>1</v>
      </c>
      <c r="D254" s="5">
        <v>44540</v>
      </c>
      <c r="E254">
        <v>2585</v>
      </c>
      <c r="F254">
        <v>32</v>
      </c>
      <c r="G254">
        <v>415932686</v>
      </c>
      <c r="H254" t="str">
        <f t="shared" si="3"/>
        <v>yes</v>
      </c>
      <c r="I254">
        <v>3</v>
      </c>
      <c r="J254">
        <v>79</v>
      </c>
      <c r="K254">
        <v>21</v>
      </c>
      <c r="L254">
        <v>1</v>
      </c>
      <c r="M254">
        <v>54</v>
      </c>
      <c r="N254">
        <v>105</v>
      </c>
      <c r="O254" t="s">
        <v>53</v>
      </c>
      <c r="P254" t="s">
        <v>41</v>
      </c>
      <c r="Q254" s="10">
        <v>65</v>
      </c>
      <c r="R254" s="10">
        <v>46</v>
      </c>
      <c r="S254" s="10">
        <v>53</v>
      </c>
      <c r="T254" s="10">
        <v>16</v>
      </c>
      <c r="U254" s="10">
        <v>0</v>
      </c>
      <c r="V254" s="10">
        <v>9</v>
      </c>
      <c r="W254" s="10">
        <v>5</v>
      </c>
    </row>
    <row r="255" spans="1:23">
      <c r="A255" s="2" t="s">
        <v>459</v>
      </c>
      <c r="B255" s="2" t="s">
        <v>460</v>
      </c>
      <c r="C255">
        <v>1</v>
      </c>
      <c r="D255" s="5">
        <v>44722</v>
      </c>
      <c r="E255">
        <v>6330</v>
      </c>
      <c r="F255">
        <v>6</v>
      </c>
      <c r="G255">
        <v>988515741</v>
      </c>
      <c r="H255" t="str">
        <f t="shared" si="3"/>
        <v>yes</v>
      </c>
      <c r="I255">
        <v>109</v>
      </c>
      <c r="J255">
        <v>42</v>
      </c>
      <c r="K255">
        <v>158</v>
      </c>
      <c r="L255">
        <v>3</v>
      </c>
      <c r="M255">
        <v>31</v>
      </c>
      <c r="N255">
        <v>170</v>
      </c>
      <c r="O255" t="s">
        <v>63</v>
      </c>
      <c r="P255" t="s">
        <v>26</v>
      </c>
      <c r="Q255" s="10">
        <v>44</v>
      </c>
      <c r="R255" s="10">
        <v>27</v>
      </c>
      <c r="S255" s="10">
        <v>32</v>
      </c>
      <c r="T255" s="10">
        <v>89</v>
      </c>
      <c r="U255" s="10">
        <v>0</v>
      </c>
      <c r="V255" s="10">
        <v>14</v>
      </c>
      <c r="W255" s="10">
        <v>5</v>
      </c>
    </row>
    <row r="256" spans="1:23" ht="30.75">
      <c r="A256" s="2" t="s">
        <v>461</v>
      </c>
      <c r="B256" s="2" t="s">
        <v>462</v>
      </c>
      <c r="C256">
        <v>3</v>
      </c>
      <c r="D256" s="5">
        <v>45050</v>
      </c>
      <c r="E256">
        <v>675</v>
      </c>
      <c r="F256">
        <v>1</v>
      </c>
      <c r="G256">
        <v>50847624</v>
      </c>
      <c r="H256" t="str">
        <f t="shared" si="3"/>
        <v>no</v>
      </c>
      <c r="I256">
        <v>9</v>
      </c>
      <c r="J256">
        <v>13</v>
      </c>
      <c r="K256">
        <v>11</v>
      </c>
      <c r="L256">
        <v>0</v>
      </c>
      <c r="M256">
        <v>1</v>
      </c>
      <c r="N256">
        <v>178</v>
      </c>
      <c r="O256" t="s">
        <v>29</v>
      </c>
      <c r="P256" t="s">
        <v>41</v>
      </c>
      <c r="Q256" s="10">
        <v>62</v>
      </c>
      <c r="R256" s="10">
        <v>56</v>
      </c>
      <c r="S256" s="10">
        <v>66</v>
      </c>
      <c r="T256" s="10">
        <v>18</v>
      </c>
      <c r="U256" s="10">
        <v>0</v>
      </c>
      <c r="V256" s="10">
        <v>12</v>
      </c>
      <c r="W256" s="10">
        <v>5</v>
      </c>
    </row>
    <row r="257" spans="1:23">
      <c r="A257" s="2" t="s">
        <v>463</v>
      </c>
      <c r="B257" s="2" t="s">
        <v>464</v>
      </c>
      <c r="C257">
        <v>1</v>
      </c>
      <c r="D257" s="5">
        <v>45051</v>
      </c>
      <c r="E257">
        <v>715</v>
      </c>
      <c r="F257">
        <v>0</v>
      </c>
      <c r="G257">
        <v>39893489</v>
      </c>
      <c r="H257" t="str">
        <f t="shared" si="3"/>
        <v>no</v>
      </c>
      <c r="I257">
        <v>37</v>
      </c>
      <c r="J257">
        <v>3</v>
      </c>
      <c r="K257">
        <v>27</v>
      </c>
      <c r="L257">
        <v>0</v>
      </c>
      <c r="M257">
        <v>50</v>
      </c>
      <c r="N257">
        <v>176</v>
      </c>
      <c r="O257" t="s">
        <v>53</v>
      </c>
      <c r="P257" t="s">
        <v>41</v>
      </c>
      <c r="Q257" s="10">
        <v>50</v>
      </c>
      <c r="R257" s="10">
        <v>44</v>
      </c>
      <c r="S257" s="10">
        <v>76</v>
      </c>
      <c r="T257" s="10">
        <v>10</v>
      </c>
      <c r="U257" s="10">
        <v>0</v>
      </c>
      <c r="V257" s="10">
        <v>32</v>
      </c>
      <c r="W257" s="10">
        <v>5</v>
      </c>
    </row>
    <row r="258" spans="1:23" ht="45.75">
      <c r="A258" s="2" t="s">
        <v>465</v>
      </c>
      <c r="B258" s="2" t="s">
        <v>466</v>
      </c>
      <c r="C258">
        <v>2</v>
      </c>
      <c r="D258" s="5">
        <v>45047</v>
      </c>
      <c r="E258">
        <v>327</v>
      </c>
      <c r="F258">
        <v>13</v>
      </c>
      <c r="G258">
        <v>92035115</v>
      </c>
      <c r="H258" t="str">
        <f t="shared" ref="H258:H321" si="4">IF(G258&gt;$Z$2,$Z$4,$Z$5)</f>
        <v>no</v>
      </c>
      <c r="I258">
        <v>14</v>
      </c>
      <c r="J258">
        <v>110</v>
      </c>
      <c r="K258">
        <v>9</v>
      </c>
      <c r="L258">
        <v>0</v>
      </c>
      <c r="M258">
        <v>49</v>
      </c>
      <c r="N258">
        <v>104</v>
      </c>
      <c r="O258" t="s">
        <v>98</v>
      </c>
      <c r="P258" t="s">
        <v>41</v>
      </c>
      <c r="Q258" s="10">
        <v>80</v>
      </c>
      <c r="R258" s="10">
        <v>38</v>
      </c>
      <c r="S258" s="10">
        <v>88</v>
      </c>
      <c r="T258" s="10">
        <v>11</v>
      </c>
      <c r="U258" s="10">
        <v>0</v>
      </c>
      <c r="V258" s="10">
        <v>11</v>
      </c>
      <c r="W258" s="10">
        <v>5</v>
      </c>
    </row>
    <row r="259" spans="1:23">
      <c r="A259" s="2" t="s">
        <v>467</v>
      </c>
      <c r="B259" s="2" t="s">
        <v>468</v>
      </c>
      <c r="C259">
        <v>1</v>
      </c>
      <c r="D259" s="5">
        <v>45037</v>
      </c>
      <c r="E259">
        <v>244</v>
      </c>
      <c r="F259">
        <v>12</v>
      </c>
      <c r="G259">
        <v>118810253</v>
      </c>
      <c r="H259" t="str">
        <f t="shared" si="4"/>
        <v>no</v>
      </c>
      <c r="I259">
        <v>6</v>
      </c>
      <c r="J259">
        <v>84</v>
      </c>
      <c r="K259">
        <v>10</v>
      </c>
      <c r="L259">
        <v>2</v>
      </c>
      <c r="M259">
        <v>9</v>
      </c>
      <c r="N259">
        <v>85</v>
      </c>
      <c r="O259" t="s">
        <v>72</v>
      </c>
      <c r="P259" t="s">
        <v>26</v>
      </c>
      <c r="Q259" s="10">
        <v>70</v>
      </c>
      <c r="R259" s="10">
        <v>83</v>
      </c>
      <c r="S259" s="10">
        <v>84</v>
      </c>
      <c r="T259" s="10">
        <v>31</v>
      </c>
      <c r="U259" s="10">
        <v>0</v>
      </c>
      <c r="V259" s="10">
        <v>47</v>
      </c>
      <c r="W259" s="10">
        <v>30</v>
      </c>
    </row>
    <row r="260" spans="1:23" ht="60.75">
      <c r="A260" s="2" t="s">
        <v>467</v>
      </c>
      <c r="B260" s="2" t="s">
        <v>469</v>
      </c>
      <c r="C260">
        <v>2</v>
      </c>
      <c r="D260" s="5">
        <v>45046</v>
      </c>
      <c r="E260">
        <v>385</v>
      </c>
      <c r="F260">
        <v>4</v>
      </c>
      <c r="G260">
        <v>77233241</v>
      </c>
      <c r="H260" t="str">
        <f t="shared" si="4"/>
        <v>no</v>
      </c>
      <c r="I260">
        <v>17</v>
      </c>
      <c r="J260">
        <v>7</v>
      </c>
      <c r="K260">
        <v>41</v>
      </c>
      <c r="L260">
        <v>1</v>
      </c>
      <c r="M260">
        <v>29</v>
      </c>
      <c r="N260">
        <v>117</v>
      </c>
      <c r="O260" t="s">
        <v>53</v>
      </c>
      <c r="P260" t="s">
        <v>41</v>
      </c>
      <c r="Q260" s="10">
        <v>77</v>
      </c>
      <c r="R260" s="10">
        <v>69</v>
      </c>
      <c r="S260" s="10">
        <v>58</v>
      </c>
      <c r="T260" s="10">
        <v>39</v>
      </c>
      <c r="U260" s="10">
        <v>0</v>
      </c>
      <c r="V260" s="10">
        <v>26</v>
      </c>
      <c r="W260" s="10">
        <v>5</v>
      </c>
    </row>
    <row r="261" spans="1:23" ht="45.75">
      <c r="A261" s="2" t="s">
        <v>467</v>
      </c>
      <c r="B261" s="2" t="s">
        <v>470</v>
      </c>
      <c r="C261">
        <v>1</v>
      </c>
      <c r="D261" s="5">
        <v>44981</v>
      </c>
      <c r="E261">
        <v>1020</v>
      </c>
      <c r="F261">
        <v>35</v>
      </c>
      <c r="G261">
        <v>206399629</v>
      </c>
      <c r="H261" t="str">
        <f t="shared" si="4"/>
        <v>yes</v>
      </c>
      <c r="I261">
        <v>15</v>
      </c>
      <c r="J261">
        <v>26</v>
      </c>
      <c r="K261">
        <v>30</v>
      </c>
      <c r="L261">
        <v>6</v>
      </c>
      <c r="M261">
        <v>0</v>
      </c>
      <c r="N261">
        <v>80</v>
      </c>
      <c r="P261" t="s">
        <v>26</v>
      </c>
      <c r="Q261" s="10">
        <v>52</v>
      </c>
      <c r="R261" s="10">
        <v>57</v>
      </c>
      <c r="S261" s="10">
        <v>48</v>
      </c>
      <c r="T261" s="10">
        <v>86</v>
      </c>
      <c r="U261" s="10">
        <v>0</v>
      </c>
      <c r="V261" s="10">
        <v>15</v>
      </c>
      <c r="W261" s="10">
        <v>39</v>
      </c>
    </row>
    <row r="262" spans="1:23" ht="30.75">
      <c r="A262" s="2" t="s">
        <v>467</v>
      </c>
      <c r="B262" s="2" t="s">
        <v>471</v>
      </c>
      <c r="C262">
        <v>1</v>
      </c>
      <c r="D262" s="5">
        <v>45023</v>
      </c>
      <c r="E262">
        <v>1730</v>
      </c>
      <c r="F262">
        <v>3</v>
      </c>
      <c r="G262">
        <v>117747907</v>
      </c>
      <c r="H262" t="str">
        <f t="shared" si="4"/>
        <v>no</v>
      </c>
      <c r="I262">
        <v>46</v>
      </c>
      <c r="J262">
        <v>5</v>
      </c>
      <c r="K262">
        <v>51</v>
      </c>
      <c r="L262">
        <v>0</v>
      </c>
      <c r="M262">
        <v>20</v>
      </c>
      <c r="N262">
        <v>98</v>
      </c>
      <c r="O262" t="s">
        <v>32</v>
      </c>
      <c r="P262" t="s">
        <v>26</v>
      </c>
      <c r="Q262" s="10">
        <v>44</v>
      </c>
      <c r="R262" s="10">
        <v>36</v>
      </c>
      <c r="S262" s="10">
        <v>41</v>
      </c>
      <c r="T262" s="10">
        <v>50</v>
      </c>
      <c r="U262" s="10">
        <v>0</v>
      </c>
      <c r="V262" s="10">
        <v>38</v>
      </c>
      <c r="W262" s="10">
        <v>5</v>
      </c>
    </row>
    <row r="263" spans="1:23" ht="30.75">
      <c r="A263" s="2" t="s">
        <v>472</v>
      </c>
      <c r="B263" s="2" t="s">
        <v>473</v>
      </c>
      <c r="C263">
        <v>2</v>
      </c>
      <c r="D263" s="5">
        <v>44959</v>
      </c>
      <c r="E263">
        <v>2127</v>
      </c>
      <c r="F263">
        <v>33</v>
      </c>
      <c r="G263">
        <v>266624541</v>
      </c>
      <c r="H263" t="str">
        <f t="shared" si="4"/>
        <v>yes</v>
      </c>
      <c r="I263">
        <v>45</v>
      </c>
      <c r="J263">
        <v>80</v>
      </c>
      <c r="K263">
        <v>53</v>
      </c>
      <c r="L263">
        <v>8</v>
      </c>
      <c r="M263">
        <v>4</v>
      </c>
      <c r="N263">
        <v>178</v>
      </c>
      <c r="O263" t="s">
        <v>29</v>
      </c>
      <c r="P263" t="s">
        <v>41</v>
      </c>
      <c r="Q263" s="10">
        <v>79</v>
      </c>
      <c r="R263" s="10">
        <v>58</v>
      </c>
      <c r="S263" s="10">
        <v>78</v>
      </c>
      <c r="T263" s="10">
        <v>34</v>
      </c>
      <c r="U263" s="10">
        <v>0</v>
      </c>
      <c r="V263" s="10">
        <v>11</v>
      </c>
      <c r="W263" s="10">
        <v>25</v>
      </c>
    </row>
    <row r="264" spans="1:23" ht="30.75">
      <c r="A264" s="2" t="s">
        <v>474</v>
      </c>
      <c r="B264" s="2" t="s">
        <v>475</v>
      </c>
      <c r="C264">
        <v>1</v>
      </c>
      <c r="D264" s="5">
        <v>44659</v>
      </c>
      <c r="E264">
        <v>3242</v>
      </c>
      <c r="F264">
        <v>9</v>
      </c>
      <c r="G264">
        <v>293186992</v>
      </c>
      <c r="H264" t="str">
        <f t="shared" si="4"/>
        <v>yes</v>
      </c>
      <c r="I264">
        <v>67</v>
      </c>
      <c r="J264">
        <v>55</v>
      </c>
      <c r="K264">
        <v>48</v>
      </c>
      <c r="L264">
        <v>0</v>
      </c>
      <c r="M264">
        <v>6</v>
      </c>
      <c r="N264">
        <v>148</v>
      </c>
      <c r="O264" t="s">
        <v>37</v>
      </c>
      <c r="P264" t="s">
        <v>26</v>
      </c>
      <c r="Q264" s="10">
        <v>51</v>
      </c>
      <c r="R264" s="10">
        <v>27</v>
      </c>
      <c r="S264" s="10">
        <v>33</v>
      </c>
      <c r="T264" s="10">
        <v>48</v>
      </c>
      <c r="U264" s="10">
        <v>0</v>
      </c>
      <c r="V264" s="10">
        <v>22</v>
      </c>
      <c r="W264" s="10">
        <v>3</v>
      </c>
    </row>
    <row r="265" spans="1:23">
      <c r="A265" s="2" t="s">
        <v>476</v>
      </c>
      <c r="B265" s="2" t="s">
        <v>477</v>
      </c>
      <c r="C265">
        <v>1</v>
      </c>
      <c r="D265" s="5">
        <v>44981</v>
      </c>
      <c r="E265">
        <v>526</v>
      </c>
      <c r="F265">
        <v>10</v>
      </c>
      <c r="G265">
        <v>139681964</v>
      </c>
      <c r="H265" t="str">
        <f t="shared" si="4"/>
        <v>no</v>
      </c>
      <c r="I265">
        <v>15</v>
      </c>
      <c r="J265">
        <v>93</v>
      </c>
      <c r="K265">
        <v>30</v>
      </c>
      <c r="L265">
        <v>0</v>
      </c>
      <c r="M265">
        <v>320</v>
      </c>
      <c r="N265">
        <v>120</v>
      </c>
      <c r="O265" t="s">
        <v>51</v>
      </c>
      <c r="P265" t="s">
        <v>26</v>
      </c>
      <c r="Q265" s="10">
        <v>77</v>
      </c>
      <c r="R265" s="10">
        <v>94</v>
      </c>
      <c r="S265" s="10">
        <v>66</v>
      </c>
      <c r="T265" s="10">
        <v>65</v>
      </c>
      <c r="U265" s="10">
        <v>0</v>
      </c>
      <c r="V265" s="10">
        <v>38</v>
      </c>
      <c r="W265" s="10">
        <v>3</v>
      </c>
    </row>
    <row r="266" spans="1:23">
      <c r="A266" s="2" t="s">
        <v>476</v>
      </c>
      <c r="B266" s="2" t="s">
        <v>478</v>
      </c>
      <c r="C266">
        <v>1</v>
      </c>
      <c r="D266" s="5">
        <v>45026</v>
      </c>
      <c r="E266">
        <v>366</v>
      </c>
      <c r="F266">
        <v>15</v>
      </c>
      <c r="G266">
        <v>123132751</v>
      </c>
      <c r="H266" t="str">
        <f t="shared" si="4"/>
        <v>no</v>
      </c>
      <c r="I266">
        <v>16</v>
      </c>
      <c r="J266">
        <v>102</v>
      </c>
      <c r="K266">
        <v>7</v>
      </c>
      <c r="L266">
        <v>0</v>
      </c>
      <c r="M266">
        <v>55</v>
      </c>
      <c r="N266">
        <v>122</v>
      </c>
      <c r="O266" t="s">
        <v>98</v>
      </c>
      <c r="P266" t="s">
        <v>41</v>
      </c>
      <c r="Q266" s="10">
        <v>68</v>
      </c>
      <c r="R266" s="10">
        <v>38</v>
      </c>
      <c r="S266" s="10">
        <v>88</v>
      </c>
      <c r="T266" s="10">
        <v>1</v>
      </c>
      <c r="U266" s="10">
        <v>0</v>
      </c>
      <c r="V266" s="10">
        <v>8</v>
      </c>
      <c r="W266" s="10">
        <v>5</v>
      </c>
    </row>
    <row r="267" spans="1:23" ht="76.5">
      <c r="A267" s="2" t="s">
        <v>479</v>
      </c>
      <c r="B267" s="2" t="s">
        <v>480</v>
      </c>
      <c r="C267">
        <v>1</v>
      </c>
      <c r="D267" s="5">
        <v>35431</v>
      </c>
      <c r="E267">
        <v>472</v>
      </c>
      <c r="F267">
        <v>2</v>
      </c>
      <c r="G267">
        <v>103762518</v>
      </c>
      <c r="H267" t="str">
        <f t="shared" si="4"/>
        <v>no</v>
      </c>
      <c r="I267">
        <v>0</v>
      </c>
      <c r="J267">
        <v>0</v>
      </c>
      <c r="K267">
        <v>6</v>
      </c>
      <c r="L267">
        <v>0</v>
      </c>
      <c r="M267">
        <v>0</v>
      </c>
      <c r="N267">
        <v>144</v>
      </c>
      <c r="O267" t="s">
        <v>32</v>
      </c>
      <c r="P267" t="s">
        <v>26</v>
      </c>
      <c r="Q267" s="10">
        <v>74</v>
      </c>
      <c r="R267" s="10">
        <v>75</v>
      </c>
      <c r="S267" s="10">
        <v>73</v>
      </c>
      <c r="T267" s="10">
        <v>42</v>
      </c>
      <c r="U267" s="10">
        <v>0</v>
      </c>
      <c r="V267" s="10">
        <v>9</v>
      </c>
      <c r="W267" s="10">
        <v>4</v>
      </c>
    </row>
    <row r="268" spans="1:23">
      <c r="A268" s="2" t="s">
        <v>481</v>
      </c>
      <c r="B268" s="2" t="s">
        <v>482</v>
      </c>
      <c r="C268">
        <v>2</v>
      </c>
      <c r="D268" s="5">
        <v>44989</v>
      </c>
      <c r="E268">
        <v>432</v>
      </c>
      <c r="F268">
        <v>12</v>
      </c>
      <c r="G268">
        <v>162887075</v>
      </c>
      <c r="H268" t="str">
        <f t="shared" si="4"/>
        <v>no</v>
      </c>
      <c r="I268">
        <v>8</v>
      </c>
      <c r="J268">
        <v>14</v>
      </c>
      <c r="K268">
        <v>12</v>
      </c>
      <c r="L268">
        <v>2</v>
      </c>
      <c r="M268">
        <v>33</v>
      </c>
      <c r="N268">
        <v>96</v>
      </c>
      <c r="O268" t="s">
        <v>51</v>
      </c>
      <c r="P268" t="s">
        <v>26</v>
      </c>
      <c r="Q268" s="10">
        <v>93</v>
      </c>
      <c r="R268" s="10">
        <v>47</v>
      </c>
      <c r="S268" s="10">
        <v>47</v>
      </c>
      <c r="T268" s="10">
        <v>33</v>
      </c>
      <c r="U268" s="10">
        <v>0</v>
      </c>
      <c r="V268" s="10">
        <v>10</v>
      </c>
      <c r="W268" s="10">
        <v>36</v>
      </c>
    </row>
    <row r="269" spans="1:23">
      <c r="A269" s="2" t="s">
        <v>483</v>
      </c>
      <c r="B269" s="2" t="s">
        <v>484</v>
      </c>
      <c r="C269">
        <v>1</v>
      </c>
      <c r="D269" s="5">
        <v>45040</v>
      </c>
      <c r="E269">
        <v>271</v>
      </c>
      <c r="F269">
        <v>12</v>
      </c>
      <c r="G269">
        <v>91221625</v>
      </c>
      <c r="H269" t="str">
        <f t="shared" si="4"/>
        <v>no</v>
      </c>
      <c r="I269">
        <v>16</v>
      </c>
      <c r="J269">
        <v>103</v>
      </c>
      <c r="K269">
        <v>9</v>
      </c>
      <c r="L269">
        <v>0</v>
      </c>
      <c r="M269">
        <v>55</v>
      </c>
      <c r="N269">
        <v>137</v>
      </c>
      <c r="O269" t="s">
        <v>63</v>
      </c>
      <c r="P269" t="s">
        <v>26</v>
      </c>
      <c r="Q269" s="10">
        <v>77</v>
      </c>
      <c r="R269" s="10">
        <v>35</v>
      </c>
      <c r="S269" s="10">
        <v>88</v>
      </c>
      <c r="T269" s="10">
        <v>16</v>
      </c>
      <c r="U269" s="10">
        <v>0</v>
      </c>
      <c r="V269" s="10">
        <v>17</v>
      </c>
      <c r="W269" s="10">
        <v>9</v>
      </c>
    </row>
    <row r="270" spans="1:23">
      <c r="A270" s="2" t="s">
        <v>483</v>
      </c>
      <c r="B270" s="2" t="s">
        <v>485</v>
      </c>
      <c r="C270">
        <v>1</v>
      </c>
      <c r="D270" s="5">
        <v>44673</v>
      </c>
      <c r="E270">
        <v>816</v>
      </c>
      <c r="F270">
        <v>4</v>
      </c>
      <c r="G270">
        <v>190490915</v>
      </c>
      <c r="H270" t="str">
        <f t="shared" si="4"/>
        <v>no</v>
      </c>
      <c r="I270">
        <v>21</v>
      </c>
      <c r="J270">
        <v>4</v>
      </c>
      <c r="K270">
        <v>13</v>
      </c>
      <c r="L270">
        <v>0</v>
      </c>
      <c r="M270">
        <v>4</v>
      </c>
      <c r="N270">
        <v>121</v>
      </c>
      <c r="O270" t="s">
        <v>53</v>
      </c>
      <c r="P270" t="s">
        <v>41</v>
      </c>
      <c r="Q270" s="10">
        <v>94</v>
      </c>
      <c r="R270" s="10">
        <v>71</v>
      </c>
      <c r="S270" s="10">
        <v>61</v>
      </c>
      <c r="T270" s="10">
        <v>12</v>
      </c>
      <c r="U270" s="10">
        <v>0</v>
      </c>
      <c r="V270" s="10">
        <v>53</v>
      </c>
      <c r="W270" s="10">
        <v>42</v>
      </c>
    </row>
    <row r="271" spans="1:23" ht="45.75">
      <c r="A271" s="2" t="s">
        <v>483</v>
      </c>
      <c r="B271" s="2" t="s">
        <v>486</v>
      </c>
      <c r="C271">
        <v>2</v>
      </c>
      <c r="D271" s="5">
        <v>45037</v>
      </c>
      <c r="E271">
        <v>1169</v>
      </c>
      <c r="F271">
        <v>0</v>
      </c>
      <c r="G271">
        <v>96180277</v>
      </c>
      <c r="H271" t="str">
        <f t="shared" si="4"/>
        <v>no</v>
      </c>
      <c r="I271">
        <v>36</v>
      </c>
      <c r="J271">
        <v>65</v>
      </c>
      <c r="K271">
        <v>28</v>
      </c>
      <c r="L271">
        <v>0</v>
      </c>
      <c r="M271">
        <v>0</v>
      </c>
      <c r="N271">
        <v>119</v>
      </c>
      <c r="O271" t="s">
        <v>37</v>
      </c>
      <c r="P271" t="s">
        <v>41</v>
      </c>
      <c r="Q271" s="10">
        <v>60</v>
      </c>
      <c r="R271" s="10">
        <v>10</v>
      </c>
      <c r="S271" s="10">
        <v>57</v>
      </c>
      <c r="T271" s="10">
        <v>1</v>
      </c>
      <c r="U271" s="10">
        <v>0</v>
      </c>
      <c r="V271" s="10">
        <v>50</v>
      </c>
      <c r="W271" s="10">
        <v>3</v>
      </c>
    </row>
    <row r="272" spans="1:23" ht="45.75">
      <c r="A272" s="2" t="s">
        <v>487</v>
      </c>
      <c r="B272" s="2" t="s">
        <v>488</v>
      </c>
      <c r="C272">
        <v>1</v>
      </c>
      <c r="D272" s="5">
        <v>43700</v>
      </c>
      <c r="E272">
        <v>1282</v>
      </c>
      <c r="F272">
        <v>6</v>
      </c>
      <c r="G272">
        <v>185240616</v>
      </c>
      <c r="H272" t="str">
        <f t="shared" si="4"/>
        <v>no</v>
      </c>
      <c r="I272">
        <v>26</v>
      </c>
      <c r="J272">
        <v>6</v>
      </c>
      <c r="K272">
        <v>19</v>
      </c>
      <c r="L272">
        <v>0</v>
      </c>
      <c r="M272">
        <v>5</v>
      </c>
      <c r="N272">
        <v>96</v>
      </c>
      <c r="O272" t="s">
        <v>51</v>
      </c>
      <c r="P272" t="s">
        <v>26</v>
      </c>
      <c r="Q272" s="10">
        <v>72</v>
      </c>
      <c r="R272" s="10">
        <v>40</v>
      </c>
      <c r="S272" s="10">
        <v>47</v>
      </c>
      <c r="T272" s="10">
        <v>71</v>
      </c>
      <c r="U272" s="10">
        <v>0</v>
      </c>
      <c r="V272" s="10">
        <v>13</v>
      </c>
      <c r="W272" s="10">
        <v>4</v>
      </c>
    </row>
    <row r="273" spans="1:23">
      <c r="A273" s="2" t="s">
        <v>489</v>
      </c>
      <c r="B273" s="2" t="s">
        <v>490</v>
      </c>
      <c r="C273">
        <v>1</v>
      </c>
      <c r="D273" s="5">
        <v>44672</v>
      </c>
      <c r="E273">
        <v>6587</v>
      </c>
      <c r="F273">
        <v>34</v>
      </c>
      <c r="G273">
        <v>885093467</v>
      </c>
      <c r="H273" t="str">
        <f t="shared" si="4"/>
        <v>yes</v>
      </c>
      <c r="I273">
        <v>114</v>
      </c>
      <c r="J273">
        <v>104</v>
      </c>
      <c r="K273">
        <v>147</v>
      </c>
      <c r="L273">
        <v>11</v>
      </c>
      <c r="M273">
        <v>20</v>
      </c>
      <c r="N273">
        <v>111</v>
      </c>
      <c r="O273" t="s">
        <v>29</v>
      </c>
      <c r="P273" t="s">
        <v>26</v>
      </c>
      <c r="Q273" s="10">
        <v>87</v>
      </c>
      <c r="R273" s="10">
        <v>53</v>
      </c>
      <c r="S273" s="10">
        <v>52</v>
      </c>
      <c r="T273" s="10">
        <v>66</v>
      </c>
      <c r="U273" s="10">
        <v>1</v>
      </c>
      <c r="V273" s="10">
        <v>11</v>
      </c>
      <c r="W273" s="10">
        <v>5</v>
      </c>
    </row>
    <row r="274" spans="1:23" ht="45.75">
      <c r="A274" s="2" t="s">
        <v>491</v>
      </c>
      <c r="B274" s="2" t="s">
        <v>492</v>
      </c>
      <c r="C274">
        <v>2</v>
      </c>
      <c r="D274" s="5">
        <v>45030</v>
      </c>
      <c r="E274">
        <v>1444</v>
      </c>
      <c r="F274">
        <v>4</v>
      </c>
      <c r="G274">
        <v>104992946</v>
      </c>
      <c r="H274" t="str">
        <f t="shared" si="4"/>
        <v>no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148</v>
      </c>
      <c r="O274" t="s">
        <v>37</v>
      </c>
      <c r="P274" t="s">
        <v>26</v>
      </c>
      <c r="Q274" s="10">
        <v>90</v>
      </c>
      <c r="R274" s="10">
        <v>74</v>
      </c>
      <c r="S274" s="10">
        <v>68</v>
      </c>
      <c r="T274" s="10">
        <v>14</v>
      </c>
      <c r="U274" s="10">
        <v>0</v>
      </c>
      <c r="V274" s="10">
        <v>10</v>
      </c>
      <c r="W274" s="10">
        <v>19</v>
      </c>
    </row>
    <row r="275" spans="1:23">
      <c r="A275" s="2" t="s">
        <v>491</v>
      </c>
      <c r="B275" s="2" t="s">
        <v>493</v>
      </c>
      <c r="C275">
        <v>2</v>
      </c>
      <c r="D275" s="5">
        <v>44960</v>
      </c>
      <c r="E275">
        <v>356</v>
      </c>
      <c r="F275">
        <v>10</v>
      </c>
      <c r="G275">
        <v>147290338</v>
      </c>
      <c r="H275" t="str">
        <f t="shared" si="4"/>
        <v>no</v>
      </c>
      <c r="I275">
        <v>4</v>
      </c>
      <c r="J275">
        <v>64</v>
      </c>
      <c r="K275">
        <v>4</v>
      </c>
      <c r="L275">
        <v>2</v>
      </c>
      <c r="M275">
        <v>37</v>
      </c>
      <c r="N275">
        <v>182</v>
      </c>
      <c r="O275" t="s">
        <v>37</v>
      </c>
      <c r="P275" t="s">
        <v>26</v>
      </c>
      <c r="Q275" s="10">
        <v>57</v>
      </c>
      <c r="R275" s="10">
        <v>80</v>
      </c>
      <c r="S275" s="10">
        <v>59</v>
      </c>
      <c r="T275" s="10">
        <v>8</v>
      </c>
      <c r="U275" s="10">
        <v>0</v>
      </c>
      <c r="V275" s="10">
        <v>6</v>
      </c>
      <c r="W275" s="10">
        <v>5</v>
      </c>
    </row>
    <row r="276" spans="1:23">
      <c r="A276" s="2" t="s">
        <v>491</v>
      </c>
      <c r="B276" s="2" t="s">
        <v>494</v>
      </c>
      <c r="C276">
        <v>1</v>
      </c>
      <c r="D276" s="5">
        <v>44448</v>
      </c>
      <c r="E276">
        <v>10147</v>
      </c>
      <c r="F276">
        <v>30</v>
      </c>
      <c r="G276">
        <v>1302184087</v>
      </c>
      <c r="H276" t="str">
        <f t="shared" si="4"/>
        <v>yes</v>
      </c>
      <c r="I276">
        <v>234</v>
      </c>
      <c r="J276">
        <v>71</v>
      </c>
      <c r="K276">
        <v>543</v>
      </c>
      <c r="L276">
        <v>18</v>
      </c>
      <c r="N276">
        <v>141</v>
      </c>
      <c r="O276" t="s">
        <v>51</v>
      </c>
      <c r="P276" t="s">
        <v>26</v>
      </c>
      <c r="Q276" s="10">
        <v>79</v>
      </c>
      <c r="R276" s="10">
        <v>82</v>
      </c>
      <c r="S276" s="10">
        <v>86</v>
      </c>
      <c r="T276" s="10">
        <v>28</v>
      </c>
      <c r="U276" s="10">
        <v>0</v>
      </c>
      <c r="V276" s="10">
        <v>4</v>
      </c>
      <c r="W276" s="10">
        <v>9</v>
      </c>
    </row>
    <row r="277" spans="1:23" ht="30.75">
      <c r="A277" s="2" t="s">
        <v>491</v>
      </c>
      <c r="B277" s="2" t="s">
        <v>495</v>
      </c>
      <c r="C277">
        <v>2</v>
      </c>
      <c r="D277" s="5">
        <v>44925</v>
      </c>
      <c r="E277">
        <v>265</v>
      </c>
      <c r="F277">
        <v>6</v>
      </c>
      <c r="G277">
        <v>158950978</v>
      </c>
      <c r="H277" t="str">
        <f t="shared" si="4"/>
        <v>no</v>
      </c>
      <c r="I277">
        <v>8</v>
      </c>
      <c r="J277">
        <v>84</v>
      </c>
      <c r="K277">
        <v>5</v>
      </c>
      <c r="L277">
        <v>1</v>
      </c>
      <c r="M277">
        <v>4</v>
      </c>
      <c r="N277">
        <v>145</v>
      </c>
      <c r="O277" t="s">
        <v>98</v>
      </c>
      <c r="P277" t="s">
        <v>41</v>
      </c>
      <c r="Q277" s="10">
        <v>76</v>
      </c>
      <c r="R277" s="10">
        <v>80</v>
      </c>
      <c r="S277" s="10">
        <v>81</v>
      </c>
      <c r="T277" s="10">
        <v>19</v>
      </c>
      <c r="U277" s="10">
        <v>0</v>
      </c>
      <c r="V277" s="10">
        <v>6</v>
      </c>
      <c r="W277" s="10">
        <v>9</v>
      </c>
    </row>
    <row r="278" spans="1:23" ht="45.75">
      <c r="A278" s="2" t="s">
        <v>491</v>
      </c>
      <c r="B278" s="2" t="s">
        <v>496</v>
      </c>
      <c r="C278">
        <v>2</v>
      </c>
      <c r="D278" s="5">
        <v>45041</v>
      </c>
      <c r="E278">
        <v>351</v>
      </c>
      <c r="F278">
        <v>9</v>
      </c>
      <c r="G278">
        <v>76910644</v>
      </c>
      <c r="H278" t="str">
        <f t="shared" si="4"/>
        <v>no</v>
      </c>
      <c r="I278">
        <v>16</v>
      </c>
      <c r="J278">
        <v>90</v>
      </c>
      <c r="K278">
        <v>10</v>
      </c>
      <c r="L278">
        <v>0</v>
      </c>
      <c r="M278">
        <v>64</v>
      </c>
      <c r="N278">
        <v>110</v>
      </c>
      <c r="O278" t="s">
        <v>25</v>
      </c>
      <c r="P278" t="s">
        <v>41</v>
      </c>
      <c r="Q278" s="10">
        <v>76</v>
      </c>
      <c r="R278" s="10">
        <v>26</v>
      </c>
      <c r="S278" s="10">
        <v>70</v>
      </c>
      <c r="T278" s="10">
        <v>1</v>
      </c>
      <c r="U278" s="10">
        <v>0</v>
      </c>
      <c r="V278" s="10">
        <v>41</v>
      </c>
      <c r="W278" s="10">
        <v>6</v>
      </c>
    </row>
    <row r="279" spans="1:23">
      <c r="A279" s="2" t="s">
        <v>491</v>
      </c>
      <c r="B279" s="2" t="s">
        <v>497</v>
      </c>
      <c r="C279">
        <v>1</v>
      </c>
      <c r="D279" s="5">
        <v>44789</v>
      </c>
      <c r="E279">
        <v>158</v>
      </c>
      <c r="F279">
        <v>4</v>
      </c>
      <c r="G279">
        <v>137123880</v>
      </c>
      <c r="H279" t="str">
        <f t="shared" si="4"/>
        <v>no</v>
      </c>
      <c r="I279">
        <v>5</v>
      </c>
      <c r="J279">
        <v>6</v>
      </c>
      <c r="K279">
        <v>1</v>
      </c>
      <c r="L279">
        <v>1</v>
      </c>
      <c r="M279">
        <v>18</v>
      </c>
      <c r="N279">
        <v>134</v>
      </c>
      <c r="O279" t="s">
        <v>72</v>
      </c>
      <c r="P279" t="s">
        <v>26</v>
      </c>
      <c r="Q279" s="10">
        <v>70</v>
      </c>
      <c r="R279" s="10">
        <v>35</v>
      </c>
      <c r="S279" s="10">
        <v>41</v>
      </c>
      <c r="T279" s="10">
        <v>41</v>
      </c>
      <c r="U279" s="10">
        <v>0</v>
      </c>
      <c r="V279" s="10">
        <v>10</v>
      </c>
      <c r="W279" s="10">
        <v>3</v>
      </c>
    </row>
    <row r="280" spans="1:23">
      <c r="A280" s="2" t="s">
        <v>491</v>
      </c>
      <c r="B280" s="2" t="s">
        <v>498</v>
      </c>
      <c r="C280">
        <v>1</v>
      </c>
      <c r="D280" s="5">
        <v>44770</v>
      </c>
      <c r="E280">
        <v>7613</v>
      </c>
      <c r="F280">
        <v>33</v>
      </c>
      <c r="G280">
        <v>782369383</v>
      </c>
      <c r="H280" t="str">
        <f t="shared" si="4"/>
        <v>yes</v>
      </c>
      <c r="I280">
        <v>180</v>
      </c>
      <c r="J280">
        <v>90</v>
      </c>
      <c r="K280">
        <v>422</v>
      </c>
      <c r="L280">
        <v>15</v>
      </c>
      <c r="M280">
        <v>55</v>
      </c>
      <c r="N280">
        <v>130</v>
      </c>
      <c r="O280" t="s">
        <v>72</v>
      </c>
      <c r="P280" t="s">
        <v>26</v>
      </c>
      <c r="Q280" s="10">
        <v>92</v>
      </c>
      <c r="R280" s="10">
        <v>78</v>
      </c>
      <c r="S280" s="10">
        <v>62</v>
      </c>
      <c r="T280" s="10">
        <v>18</v>
      </c>
      <c r="U280" s="10">
        <v>0</v>
      </c>
      <c r="V280" s="10">
        <v>6</v>
      </c>
      <c r="W280" s="10">
        <v>10</v>
      </c>
    </row>
    <row r="281" spans="1:23" ht="30.75">
      <c r="A281" s="2" t="s">
        <v>491</v>
      </c>
      <c r="B281" s="2" t="s">
        <v>499</v>
      </c>
      <c r="C281">
        <v>1</v>
      </c>
      <c r="D281" s="5">
        <v>44855</v>
      </c>
      <c r="E281">
        <v>3956</v>
      </c>
      <c r="F281">
        <v>6</v>
      </c>
      <c r="G281">
        <v>502574952</v>
      </c>
      <c r="H281" t="str">
        <f t="shared" si="4"/>
        <v>yes</v>
      </c>
      <c r="I281">
        <v>142</v>
      </c>
      <c r="J281">
        <v>23</v>
      </c>
      <c r="K281">
        <v>127</v>
      </c>
      <c r="L281">
        <v>3</v>
      </c>
      <c r="M281">
        <v>16</v>
      </c>
      <c r="N281">
        <v>145</v>
      </c>
      <c r="O281" t="s">
        <v>128</v>
      </c>
      <c r="P281" t="s">
        <v>26</v>
      </c>
      <c r="Q281" s="10">
        <v>84</v>
      </c>
      <c r="R281" s="10">
        <v>88</v>
      </c>
      <c r="S281" s="10">
        <v>53</v>
      </c>
      <c r="T281" s="10">
        <v>35</v>
      </c>
      <c r="U281" s="10">
        <v>0</v>
      </c>
      <c r="V281" s="10">
        <v>8</v>
      </c>
      <c r="W281" s="10">
        <v>7</v>
      </c>
    </row>
    <row r="282" spans="1:23" ht="60.75">
      <c r="A282" s="2" t="s">
        <v>500</v>
      </c>
      <c r="B282" s="2" t="s">
        <v>501</v>
      </c>
      <c r="C282">
        <v>3</v>
      </c>
      <c r="D282" s="5">
        <v>44962</v>
      </c>
      <c r="E282">
        <v>1638</v>
      </c>
      <c r="F282">
        <v>10</v>
      </c>
      <c r="G282">
        <v>207033255</v>
      </c>
      <c r="H282" t="str">
        <f t="shared" si="4"/>
        <v>yes</v>
      </c>
      <c r="I282">
        <v>0</v>
      </c>
      <c r="J282">
        <v>0</v>
      </c>
      <c r="K282">
        <v>21</v>
      </c>
      <c r="L282">
        <v>0</v>
      </c>
      <c r="M282">
        <v>0</v>
      </c>
      <c r="N282">
        <v>130</v>
      </c>
      <c r="O282" t="s">
        <v>25</v>
      </c>
      <c r="P282" t="s">
        <v>41</v>
      </c>
      <c r="Q282" s="10">
        <v>69</v>
      </c>
      <c r="R282" s="10">
        <v>36</v>
      </c>
      <c r="S282" s="10">
        <v>90</v>
      </c>
      <c r="T282" s="10">
        <v>1</v>
      </c>
      <c r="U282" s="10">
        <v>10</v>
      </c>
      <c r="V282" s="10">
        <v>15</v>
      </c>
      <c r="W282" s="10">
        <v>4</v>
      </c>
    </row>
    <row r="283" spans="1:23">
      <c r="A283" s="2" t="s">
        <v>502</v>
      </c>
      <c r="B283" s="2" t="s">
        <v>503</v>
      </c>
      <c r="C283">
        <v>1</v>
      </c>
      <c r="D283" s="5">
        <v>44679</v>
      </c>
      <c r="E283">
        <v>924</v>
      </c>
      <c r="F283">
        <v>18</v>
      </c>
      <c r="G283">
        <v>404887295</v>
      </c>
      <c r="H283" t="str">
        <f t="shared" si="4"/>
        <v>yes</v>
      </c>
      <c r="I283">
        <v>17</v>
      </c>
      <c r="J283">
        <v>80</v>
      </c>
      <c r="K283">
        <v>22</v>
      </c>
      <c r="L283">
        <v>9</v>
      </c>
      <c r="M283">
        <v>38</v>
      </c>
      <c r="N283">
        <v>173</v>
      </c>
      <c r="P283" t="s">
        <v>26</v>
      </c>
      <c r="Q283" s="10">
        <v>59</v>
      </c>
      <c r="R283" s="10">
        <v>69</v>
      </c>
      <c r="S283" s="10">
        <v>53</v>
      </c>
      <c r="T283" s="10">
        <v>12</v>
      </c>
      <c r="U283" s="10">
        <v>0</v>
      </c>
      <c r="V283" s="10">
        <v>23</v>
      </c>
      <c r="W283" s="10">
        <v>3</v>
      </c>
    </row>
    <row r="284" spans="1:23" ht="30.75">
      <c r="A284" s="2" t="s">
        <v>504</v>
      </c>
      <c r="B284" s="2" t="s">
        <v>505</v>
      </c>
      <c r="C284">
        <v>1</v>
      </c>
      <c r="D284" s="5">
        <v>44869</v>
      </c>
      <c r="E284">
        <v>1985</v>
      </c>
      <c r="F284">
        <v>35</v>
      </c>
      <c r="G284">
        <v>381161027</v>
      </c>
      <c r="H284" t="str">
        <f t="shared" si="4"/>
        <v>yes</v>
      </c>
      <c r="I284">
        <v>34</v>
      </c>
      <c r="J284">
        <v>26</v>
      </c>
      <c r="K284">
        <v>37</v>
      </c>
      <c r="L284">
        <v>5</v>
      </c>
      <c r="M284">
        <v>1</v>
      </c>
      <c r="N284">
        <v>92</v>
      </c>
      <c r="O284" t="s">
        <v>25</v>
      </c>
      <c r="P284" t="s">
        <v>41</v>
      </c>
      <c r="Q284" s="10">
        <v>75</v>
      </c>
      <c r="R284" s="10">
        <v>55</v>
      </c>
      <c r="S284" s="10">
        <v>76</v>
      </c>
      <c r="T284" s="10">
        <v>25</v>
      </c>
      <c r="U284" s="10">
        <v>0</v>
      </c>
      <c r="V284" s="10">
        <v>10</v>
      </c>
      <c r="W284" s="10">
        <v>15</v>
      </c>
    </row>
    <row r="285" spans="1:23" ht="45.75">
      <c r="A285" s="2" t="s">
        <v>506</v>
      </c>
      <c r="B285" s="2" t="s">
        <v>507</v>
      </c>
      <c r="C285">
        <v>1</v>
      </c>
      <c r="D285" s="5">
        <v>41795</v>
      </c>
      <c r="E285">
        <v>6339</v>
      </c>
      <c r="F285">
        <v>13</v>
      </c>
      <c r="G285">
        <v>466231982</v>
      </c>
      <c r="H285" t="str">
        <f t="shared" si="4"/>
        <v>yes</v>
      </c>
      <c r="I285">
        <v>3</v>
      </c>
      <c r="J285">
        <v>1</v>
      </c>
      <c r="K285">
        <v>36</v>
      </c>
      <c r="L285">
        <v>1</v>
      </c>
      <c r="M285">
        <v>37</v>
      </c>
      <c r="N285">
        <v>105</v>
      </c>
      <c r="O285" t="s">
        <v>32</v>
      </c>
      <c r="P285" t="s">
        <v>41</v>
      </c>
      <c r="Q285" s="10">
        <v>56</v>
      </c>
      <c r="R285" s="10">
        <v>57</v>
      </c>
      <c r="S285" s="10">
        <v>87</v>
      </c>
      <c r="T285" s="10">
        <v>0</v>
      </c>
      <c r="U285" s="10">
        <v>1</v>
      </c>
      <c r="V285" s="10">
        <v>10</v>
      </c>
      <c r="W285" s="10">
        <v>4</v>
      </c>
    </row>
    <row r="286" spans="1:23" ht="30.75">
      <c r="A286" s="2" t="s">
        <v>508</v>
      </c>
      <c r="B286" s="2" t="s">
        <v>509</v>
      </c>
      <c r="C286">
        <v>1</v>
      </c>
      <c r="D286" s="5">
        <v>44525</v>
      </c>
      <c r="E286">
        <v>1561</v>
      </c>
      <c r="F286">
        <v>24</v>
      </c>
      <c r="G286">
        <v>357580552</v>
      </c>
      <c r="H286" t="str">
        <f t="shared" si="4"/>
        <v>yes</v>
      </c>
      <c r="I286">
        <v>18</v>
      </c>
      <c r="J286">
        <v>78</v>
      </c>
      <c r="K286">
        <v>24</v>
      </c>
      <c r="L286">
        <v>0</v>
      </c>
      <c r="M286">
        <v>30</v>
      </c>
      <c r="N286">
        <v>175</v>
      </c>
      <c r="O286" t="s">
        <v>72</v>
      </c>
      <c r="P286" t="s">
        <v>41</v>
      </c>
      <c r="Q286" s="10">
        <v>59</v>
      </c>
      <c r="R286" s="10">
        <v>15</v>
      </c>
      <c r="S286" s="10">
        <v>64</v>
      </c>
      <c r="T286" s="10">
        <v>43</v>
      </c>
      <c r="U286" s="10">
        <v>90</v>
      </c>
      <c r="V286" s="10">
        <v>12</v>
      </c>
      <c r="W286" s="10">
        <v>10</v>
      </c>
    </row>
    <row r="287" spans="1:23" ht="30.75">
      <c r="A287" s="2" t="s">
        <v>510</v>
      </c>
      <c r="B287" s="2" t="s">
        <v>511</v>
      </c>
      <c r="C287">
        <v>2</v>
      </c>
      <c r="D287" s="5">
        <v>45043</v>
      </c>
      <c r="E287">
        <v>875</v>
      </c>
      <c r="F287">
        <v>4</v>
      </c>
      <c r="G287">
        <v>61105704</v>
      </c>
      <c r="H287" t="str">
        <f t="shared" si="4"/>
        <v>no</v>
      </c>
      <c r="I287">
        <v>17</v>
      </c>
      <c r="J287">
        <v>13</v>
      </c>
      <c r="K287">
        <v>27</v>
      </c>
      <c r="L287">
        <v>0</v>
      </c>
      <c r="M287">
        <v>43</v>
      </c>
      <c r="N287">
        <v>120</v>
      </c>
      <c r="O287" t="s">
        <v>72</v>
      </c>
      <c r="P287" t="s">
        <v>41</v>
      </c>
      <c r="Q287" s="10">
        <v>80</v>
      </c>
      <c r="R287" s="10">
        <v>33</v>
      </c>
      <c r="S287" s="10">
        <v>70</v>
      </c>
      <c r="T287" s="10">
        <v>22</v>
      </c>
      <c r="U287" s="10">
        <v>0</v>
      </c>
      <c r="V287" s="10">
        <v>9</v>
      </c>
      <c r="W287" s="10">
        <v>4</v>
      </c>
    </row>
    <row r="288" spans="1:23">
      <c r="A288" s="2" t="s">
        <v>512</v>
      </c>
      <c r="B288" s="2" t="s">
        <v>513</v>
      </c>
      <c r="C288">
        <v>2</v>
      </c>
      <c r="D288" s="5">
        <v>44919</v>
      </c>
      <c r="E288">
        <v>406</v>
      </c>
      <c r="F288">
        <v>5</v>
      </c>
      <c r="G288">
        <v>198275403</v>
      </c>
      <c r="H288" t="str">
        <f t="shared" si="4"/>
        <v>no</v>
      </c>
      <c r="I288">
        <v>3</v>
      </c>
      <c r="J288">
        <v>31</v>
      </c>
      <c r="K288">
        <v>2</v>
      </c>
      <c r="L288">
        <v>1</v>
      </c>
      <c r="M288">
        <v>0</v>
      </c>
      <c r="N288">
        <v>139</v>
      </c>
      <c r="O288" t="s">
        <v>196</v>
      </c>
      <c r="P288" t="s">
        <v>41</v>
      </c>
      <c r="Q288" s="10">
        <v>70</v>
      </c>
      <c r="R288" s="10">
        <v>77</v>
      </c>
      <c r="S288" s="10">
        <v>48</v>
      </c>
      <c r="T288" s="10">
        <v>37</v>
      </c>
      <c r="U288" s="10">
        <v>0</v>
      </c>
      <c r="V288" s="10">
        <v>12</v>
      </c>
      <c r="W288" s="10">
        <v>5</v>
      </c>
    </row>
    <row r="289" spans="1:23" ht="30.75">
      <c r="A289" s="2" t="s">
        <v>514</v>
      </c>
      <c r="B289" s="2" t="s">
        <v>515</v>
      </c>
      <c r="C289">
        <v>1</v>
      </c>
      <c r="D289" s="5">
        <v>45002</v>
      </c>
      <c r="E289">
        <v>340</v>
      </c>
      <c r="F289">
        <v>13</v>
      </c>
      <c r="G289">
        <v>168448603</v>
      </c>
      <c r="H289" t="str">
        <f t="shared" si="4"/>
        <v>no</v>
      </c>
      <c r="I289">
        <v>4</v>
      </c>
      <c r="J289">
        <v>71</v>
      </c>
      <c r="K289">
        <v>16</v>
      </c>
      <c r="L289">
        <v>1</v>
      </c>
      <c r="M289">
        <v>9</v>
      </c>
      <c r="N289">
        <v>132</v>
      </c>
      <c r="P289" t="s">
        <v>41</v>
      </c>
      <c r="Q289" s="10">
        <v>59</v>
      </c>
      <c r="R289" s="10">
        <v>56</v>
      </c>
      <c r="S289" s="10">
        <v>82</v>
      </c>
      <c r="T289" s="10">
        <v>12</v>
      </c>
      <c r="U289" s="10">
        <v>0</v>
      </c>
      <c r="V289" s="10">
        <v>12</v>
      </c>
      <c r="W289" s="10">
        <v>6</v>
      </c>
    </row>
    <row r="290" spans="1:23" ht="30.75">
      <c r="A290" s="2" t="s">
        <v>514</v>
      </c>
      <c r="B290" s="2" t="s">
        <v>516</v>
      </c>
      <c r="C290">
        <v>2</v>
      </c>
      <c r="D290" s="5">
        <v>43188</v>
      </c>
      <c r="E290">
        <v>4188</v>
      </c>
      <c r="F290">
        <v>15</v>
      </c>
      <c r="G290">
        <v>705469769</v>
      </c>
      <c r="H290" t="str">
        <f t="shared" si="4"/>
        <v>yes</v>
      </c>
      <c r="I290">
        <v>30</v>
      </c>
      <c r="J290">
        <v>70</v>
      </c>
      <c r="K290">
        <v>142</v>
      </c>
      <c r="L290">
        <v>0</v>
      </c>
      <c r="M290">
        <v>27</v>
      </c>
      <c r="N290">
        <v>114</v>
      </c>
      <c r="O290" t="s">
        <v>128</v>
      </c>
      <c r="P290" t="s">
        <v>26</v>
      </c>
      <c r="Q290" s="10">
        <v>32</v>
      </c>
      <c r="R290" s="10">
        <v>17</v>
      </c>
      <c r="S290" s="10">
        <v>74</v>
      </c>
      <c r="T290" s="10">
        <v>14</v>
      </c>
      <c r="U290" s="10">
        <v>0</v>
      </c>
      <c r="V290" s="10">
        <v>17</v>
      </c>
      <c r="W290" s="10">
        <v>3</v>
      </c>
    </row>
    <row r="291" spans="1:23" ht="60.75">
      <c r="A291" s="2" t="s">
        <v>517</v>
      </c>
      <c r="B291" s="2" t="s">
        <v>518</v>
      </c>
      <c r="C291">
        <v>2</v>
      </c>
      <c r="D291" s="5">
        <v>45050</v>
      </c>
      <c r="E291">
        <v>105</v>
      </c>
      <c r="F291">
        <v>0</v>
      </c>
      <c r="G291">
        <v>34502215</v>
      </c>
      <c r="H291" t="str">
        <f t="shared" si="4"/>
        <v>no</v>
      </c>
      <c r="I291">
        <v>5</v>
      </c>
      <c r="J291">
        <v>9</v>
      </c>
      <c r="K291">
        <v>5</v>
      </c>
      <c r="L291">
        <v>0</v>
      </c>
      <c r="M291">
        <v>0</v>
      </c>
      <c r="N291">
        <v>145</v>
      </c>
      <c r="O291" t="s">
        <v>25</v>
      </c>
      <c r="P291" t="s">
        <v>41</v>
      </c>
      <c r="Q291" s="10">
        <v>54</v>
      </c>
      <c r="R291" s="10">
        <v>19</v>
      </c>
      <c r="S291" s="10">
        <v>48</v>
      </c>
      <c r="T291" s="10">
        <v>36</v>
      </c>
      <c r="U291" s="10">
        <v>0</v>
      </c>
      <c r="V291" s="10">
        <v>37</v>
      </c>
      <c r="W291" s="10">
        <v>5</v>
      </c>
    </row>
    <row r="292" spans="1:23">
      <c r="A292" s="2" t="s">
        <v>519</v>
      </c>
      <c r="B292" s="2" t="s">
        <v>520</v>
      </c>
      <c r="C292">
        <v>1</v>
      </c>
      <c r="D292" s="5">
        <v>44820</v>
      </c>
      <c r="E292">
        <v>1524</v>
      </c>
      <c r="F292">
        <v>17</v>
      </c>
      <c r="G292">
        <v>482175240</v>
      </c>
      <c r="H292" t="str">
        <f t="shared" si="4"/>
        <v>yes</v>
      </c>
      <c r="I292">
        <v>53</v>
      </c>
      <c r="J292">
        <v>120</v>
      </c>
      <c r="K292">
        <v>62</v>
      </c>
      <c r="L292">
        <v>0</v>
      </c>
      <c r="M292">
        <v>2</v>
      </c>
      <c r="N292">
        <v>110</v>
      </c>
      <c r="P292" t="s">
        <v>26</v>
      </c>
      <c r="Q292" s="10">
        <v>82</v>
      </c>
      <c r="R292" s="10">
        <v>67</v>
      </c>
      <c r="S292" s="10">
        <v>69</v>
      </c>
      <c r="T292" s="10">
        <v>0</v>
      </c>
      <c r="U292" s="10">
        <v>0</v>
      </c>
      <c r="V292" s="10">
        <v>18</v>
      </c>
      <c r="W292" s="10">
        <v>4</v>
      </c>
    </row>
    <row r="293" spans="1:23">
      <c r="A293" s="2" t="s">
        <v>519</v>
      </c>
      <c r="B293" s="2" t="s">
        <v>521</v>
      </c>
      <c r="C293">
        <v>2</v>
      </c>
      <c r="D293" s="5">
        <v>44917</v>
      </c>
      <c r="E293">
        <v>2651</v>
      </c>
      <c r="F293">
        <v>30</v>
      </c>
      <c r="G293">
        <v>304118600</v>
      </c>
      <c r="H293" t="str">
        <f t="shared" si="4"/>
        <v>yes</v>
      </c>
      <c r="I293">
        <v>21</v>
      </c>
      <c r="J293">
        <v>55</v>
      </c>
      <c r="K293">
        <v>32</v>
      </c>
      <c r="L293">
        <v>3</v>
      </c>
      <c r="M293">
        <v>0</v>
      </c>
      <c r="N293">
        <v>94</v>
      </c>
      <c r="O293" t="s">
        <v>63</v>
      </c>
      <c r="P293" t="s">
        <v>26</v>
      </c>
      <c r="Q293" s="10">
        <v>89</v>
      </c>
      <c r="R293" s="10">
        <v>61</v>
      </c>
      <c r="S293" s="10">
        <v>66</v>
      </c>
      <c r="T293" s="10">
        <v>17</v>
      </c>
      <c r="U293" s="10">
        <v>0</v>
      </c>
      <c r="V293" s="10">
        <v>36</v>
      </c>
      <c r="W293" s="10">
        <v>16</v>
      </c>
    </row>
    <row r="294" spans="1:23" ht="30.75">
      <c r="A294" s="2" t="s">
        <v>522</v>
      </c>
      <c r="B294" s="2" t="s">
        <v>523</v>
      </c>
      <c r="C294">
        <v>1</v>
      </c>
      <c r="D294" s="5">
        <v>43188</v>
      </c>
      <c r="E294">
        <v>11087</v>
      </c>
      <c r="F294">
        <v>6</v>
      </c>
      <c r="G294">
        <v>1449799467</v>
      </c>
      <c r="H294" t="str">
        <f t="shared" si="4"/>
        <v>yes</v>
      </c>
      <c r="I294">
        <v>151</v>
      </c>
      <c r="J294">
        <v>107</v>
      </c>
      <c r="K294">
        <v>801</v>
      </c>
      <c r="L294">
        <v>1</v>
      </c>
      <c r="M294">
        <v>105</v>
      </c>
      <c r="N294">
        <v>134</v>
      </c>
      <c r="O294" t="s">
        <v>29</v>
      </c>
      <c r="P294" t="s">
        <v>26</v>
      </c>
      <c r="Q294" s="10">
        <v>45</v>
      </c>
      <c r="R294" s="10">
        <v>17</v>
      </c>
      <c r="S294" s="10">
        <v>60</v>
      </c>
      <c r="T294" s="10">
        <v>21</v>
      </c>
      <c r="U294" s="10">
        <v>0</v>
      </c>
      <c r="V294" s="10">
        <v>33</v>
      </c>
      <c r="W294" s="10">
        <v>4</v>
      </c>
    </row>
    <row r="295" spans="1:23" ht="45.75">
      <c r="A295" s="2" t="s">
        <v>524</v>
      </c>
      <c r="B295" s="2" t="s">
        <v>525</v>
      </c>
      <c r="C295">
        <v>1</v>
      </c>
      <c r="D295" s="5">
        <v>45009</v>
      </c>
      <c r="E295">
        <v>373</v>
      </c>
      <c r="F295">
        <v>19</v>
      </c>
      <c r="G295">
        <v>173627354</v>
      </c>
      <c r="H295" t="str">
        <f t="shared" si="4"/>
        <v>no</v>
      </c>
      <c r="I295">
        <v>4</v>
      </c>
      <c r="J295">
        <v>72</v>
      </c>
      <c r="K295">
        <v>5</v>
      </c>
      <c r="L295">
        <v>0</v>
      </c>
      <c r="M295">
        <v>5</v>
      </c>
      <c r="N295">
        <v>120</v>
      </c>
      <c r="O295" t="s">
        <v>72</v>
      </c>
      <c r="P295" t="s">
        <v>26</v>
      </c>
      <c r="Q295" s="10">
        <v>62</v>
      </c>
      <c r="R295" s="10">
        <v>32</v>
      </c>
      <c r="S295" s="10">
        <v>76</v>
      </c>
      <c r="T295" s="10">
        <v>0</v>
      </c>
      <c r="U295" s="10">
        <v>0</v>
      </c>
      <c r="V295" s="10">
        <v>39</v>
      </c>
      <c r="W295" s="10">
        <v>4</v>
      </c>
    </row>
    <row r="296" spans="1:23">
      <c r="A296" s="2" t="s">
        <v>526</v>
      </c>
      <c r="B296" s="2" t="s">
        <v>527</v>
      </c>
      <c r="C296">
        <v>2</v>
      </c>
      <c r="D296" s="5">
        <v>44959</v>
      </c>
      <c r="E296">
        <v>200</v>
      </c>
      <c r="F296">
        <v>4</v>
      </c>
      <c r="G296">
        <v>90025258</v>
      </c>
      <c r="H296" t="str">
        <f t="shared" si="4"/>
        <v>no</v>
      </c>
      <c r="I296">
        <v>8</v>
      </c>
      <c r="J296">
        <v>77</v>
      </c>
      <c r="K296">
        <v>2</v>
      </c>
      <c r="L296">
        <v>1</v>
      </c>
      <c r="M296">
        <v>1</v>
      </c>
      <c r="N296">
        <v>123</v>
      </c>
      <c r="O296" t="s">
        <v>72</v>
      </c>
      <c r="P296" t="s">
        <v>41</v>
      </c>
      <c r="Q296" s="10">
        <v>70</v>
      </c>
      <c r="R296" s="10">
        <v>86</v>
      </c>
      <c r="S296" s="10">
        <v>68</v>
      </c>
      <c r="T296" s="10">
        <v>24</v>
      </c>
      <c r="U296" s="10">
        <v>0</v>
      </c>
      <c r="V296" s="10">
        <v>11</v>
      </c>
      <c r="W296" s="10">
        <v>4</v>
      </c>
    </row>
    <row r="297" spans="1:23">
      <c r="A297" s="2" t="s">
        <v>528</v>
      </c>
      <c r="B297" s="2" t="s">
        <v>529</v>
      </c>
      <c r="C297">
        <v>2</v>
      </c>
      <c r="D297" s="5">
        <v>44533</v>
      </c>
      <c r="E297">
        <v>3741</v>
      </c>
      <c r="F297">
        <v>17</v>
      </c>
      <c r="G297">
        <v>652704649</v>
      </c>
      <c r="H297" t="str">
        <f t="shared" si="4"/>
        <v>yes</v>
      </c>
      <c r="I297">
        <v>156</v>
      </c>
      <c r="J297">
        <v>35</v>
      </c>
      <c r="K297">
        <v>110</v>
      </c>
      <c r="L297">
        <v>19</v>
      </c>
      <c r="M297">
        <v>0</v>
      </c>
      <c r="N297">
        <v>131</v>
      </c>
      <c r="O297" t="s">
        <v>128</v>
      </c>
      <c r="P297" t="s">
        <v>26</v>
      </c>
      <c r="Q297" s="10">
        <v>77</v>
      </c>
      <c r="R297" s="10">
        <v>84</v>
      </c>
      <c r="S297" s="10">
        <v>71</v>
      </c>
      <c r="T297" s="10">
        <v>35</v>
      </c>
      <c r="U297" s="10">
        <v>0</v>
      </c>
      <c r="V297" s="10">
        <v>15</v>
      </c>
      <c r="W297" s="10">
        <v>4</v>
      </c>
    </row>
    <row r="298" spans="1:23" ht="45.75">
      <c r="A298" s="2" t="s">
        <v>528</v>
      </c>
      <c r="B298" s="2" t="s">
        <v>530</v>
      </c>
      <c r="C298">
        <v>1</v>
      </c>
      <c r="D298" s="5">
        <v>37257</v>
      </c>
      <c r="E298">
        <v>32502</v>
      </c>
      <c r="F298">
        <v>21</v>
      </c>
      <c r="G298">
        <v>1829992958</v>
      </c>
      <c r="H298" t="str">
        <f t="shared" si="4"/>
        <v>yes</v>
      </c>
      <c r="I298">
        <v>247</v>
      </c>
      <c r="J298">
        <v>54</v>
      </c>
      <c r="K298" s="1">
        <v>5567</v>
      </c>
      <c r="L298">
        <v>1</v>
      </c>
      <c r="M298">
        <v>51</v>
      </c>
      <c r="N298">
        <v>171</v>
      </c>
      <c r="O298" t="s">
        <v>51</v>
      </c>
      <c r="P298" t="s">
        <v>26</v>
      </c>
      <c r="Q298" s="10">
        <v>70</v>
      </c>
      <c r="R298" s="10">
        <v>6</v>
      </c>
      <c r="S298" s="10">
        <v>73</v>
      </c>
      <c r="T298" s="10">
        <v>1</v>
      </c>
      <c r="U298" s="10">
        <v>0</v>
      </c>
      <c r="V298" s="10">
        <v>36</v>
      </c>
      <c r="W298" s="10">
        <v>26</v>
      </c>
    </row>
    <row r="299" spans="1:23" ht="30.75">
      <c r="A299" s="2" t="s">
        <v>531</v>
      </c>
      <c r="B299" s="2" t="s">
        <v>532</v>
      </c>
      <c r="C299">
        <v>2</v>
      </c>
      <c r="D299" s="5">
        <v>37402</v>
      </c>
      <c r="E299">
        <v>7615</v>
      </c>
      <c r="F299">
        <v>14</v>
      </c>
      <c r="G299">
        <v>655466831</v>
      </c>
      <c r="H299" t="str">
        <f t="shared" si="4"/>
        <v>yes</v>
      </c>
      <c r="I299">
        <v>18</v>
      </c>
      <c r="J299">
        <v>51</v>
      </c>
      <c r="K299" s="1">
        <v>1005</v>
      </c>
      <c r="L299">
        <v>0</v>
      </c>
      <c r="M299">
        <v>0</v>
      </c>
      <c r="N299">
        <v>130</v>
      </c>
      <c r="O299" t="s">
        <v>98</v>
      </c>
      <c r="P299" t="s">
        <v>41</v>
      </c>
      <c r="Q299" s="10">
        <v>80</v>
      </c>
      <c r="R299" s="10">
        <v>64</v>
      </c>
      <c r="S299" s="10">
        <v>76</v>
      </c>
      <c r="T299" s="10">
        <v>2</v>
      </c>
      <c r="U299" s="10">
        <v>0</v>
      </c>
      <c r="V299" s="10">
        <v>20</v>
      </c>
      <c r="W299" s="10">
        <v>6</v>
      </c>
    </row>
    <row r="300" spans="1:23" ht="30.75">
      <c r="A300" s="2" t="s">
        <v>533</v>
      </c>
      <c r="B300" s="2" t="s">
        <v>534</v>
      </c>
      <c r="C300">
        <v>3</v>
      </c>
      <c r="D300" s="5">
        <v>44987</v>
      </c>
      <c r="E300">
        <v>1208</v>
      </c>
      <c r="F300">
        <v>34</v>
      </c>
      <c r="G300">
        <v>146409671</v>
      </c>
      <c r="H300" t="str">
        <f t="shared" si="4"/>
        <v>no</v>
      </c>
      <c r="I300">
        <v>10</v>
      </c>
      <c r="J300">
        <v>41</v>
      </c>
      <c r="K300">
        <v>20</v>
      </c>
      <c r="L300">
        <v>0</v>
      </c>
      <c r="M300">
        <v>1</v>
      </c>
      <c r="N300">
        <v>94</v>
      </c>
      <c r="O300" t="s">
        <v>25</v>
      </c>
      <c r="P300" t="s">
        <v>26</v>
      </c>
      <c r="Q300" s="10">
        <v>82</v>
      </c>
      <c r="R300" s="10">
        <v>53</v>
      </c>
      <c r="S300" s="10">
        <v>67</v>
      </c>
      <c r="T300" s="10">
        <v>34</v>
      </c>
      <c r="U300" s="10">
        <v>0</v>
      </c>
      <c r="V300" s="10">
        <v>9</v>
      </c>
      <c r="W300" s="10">
        <v>8</v>
      </c>
    </row>
    <row r="301" spans="1:23" ht="30.75">
      <c r="A301" s="2" t="s">
        <v>535</v>
      </c>
      <c r="B301" s="2" t="s">
        <v>536</v>
      </c>
      <c r="C301">
        <v>2</v>
      </c>
      <c r="D301" s="5">
        <v>45023</v>
      </c>
      <c r="E301">
        <v>209</v>
      </c>
      <c r="F301">
        <v>4</v>
      </c>
      <c r="G301">
        <v>95816024</v>
      </c>
      <c r="H301" t="str">
        <f t="shared" si="4"/>
        <v>no</v>
      </c>
      <c r="I301">
        <v>4</v>
      </c>
      <c r="J301">
        <v>45</v>
      </c>
      <c r="K301">
        <v>11</v>
      </c>
      <c r="L301">
        <v>2</v>
      </c>
      <c r="M301">
        <v>24</v>
      </c>
      <c r="N301">
        <v>89</v>
      </c>
      <c r="O301" t="s">
        <v>72</v>
      </c>
      <c r="P301" t="s">
        <v>41</v>
      </c>
      <c r="Q301" s="10">
        <v>73</v>
      </c>
      <c r="R301" s="10">
        <v>44</v>
      </c>
      <c r="S301" s="10">
        <v>57</v>
      </c>
      <c r="T301" s="10">
        <v>39</v>
      </c>
      <c r="U301" s="10">
        <v>0</v>
      </c>
      <c r="V301" s="10">
        <v>32</v>
      </c>
      <c r="W301" s="10">
        <v>6</v>
      </c>
    </row>
    <row r="302" spans="1:23" ht="30.75">
      <c r="A302" s="2" t="s">
        <v>537</v>
      </c>
      <c r="B302" s="2" t="s">
        <v>538</v>
      </c>
      <c r="C302">
        <v>1</v>
      </c>
      <c r="D302" s="5">
        <v>45002</v>
      </c>
      <c r="E302">
        <v>1235</v>
      </c>
      <c r="F302">
        <v>9</v>
      </c>
      <c r="G302">
        <v>117206995</v>
      </c>
      <c r="H302" t="str">
        <f t="shared" si="4"/>
        <v>no</v>
      </c>
      <c r="I302">
        <v>20</v>
      </c>
      <c r="J302">
        <v>8</v>
      </c>
      <c r="K302">
        <v>15</v>
      </c>
      <c r="L302">
        <v>0</v>
      </c>
      <c r="M302">
        <v>6</v>
      </c>
      <c r="N302">
        <v>87</v>
      </c>
      <c r="O302" t="s">
        <v>32</v>
      </c>
      <c r="P302" t="s">
        <v>41</v>
      </c>
      <c r="Q302" s="10">
        <v>65</v>
      </c>
      <c r="R302" s="10">
        <v>71</v>
      </c>
      <c r="S302" s="10">
        <v>56</v>
      </c>
      <c r="T302" s="10">
        <v>4</v>
      </c>
      <c r="U302" s="10">
        <v>0</v>
      </c>
      <c r="V302" s="10">
        <v>15</v>
      </c>
      <c r="W302" s="10">
        <v>20</v>
      </c>
    </row>
    <row r="303" spans="1:23" ht="45.75">
      <c r="A303" s="2" t="s">
        <v>539</v>
      </c>
      <c r="B303" s="2" t="s">
        <v>540</v>
      </c>
      <c r="C303">
        <v>2</v>
      </c>
      <c r="D303" s="5">
        <v>45007</v>
      </c>
      <c r="E303">
        <v>654</v>
      </c>
      <c r="F303">
        <v>3</v>
      </c>
      <c r="G303">
        <v>100409613</v>
      </c>
      <c r="H303" t="str">
        <f t="shared" si="4"/>
        <v>no</v>
      </c>
      <c r="I303">
        <v>11</v>
      </c>
      <c r="J303">
        <v>3</v>
      </c>
      <c r="K303">
        <v>18</v>
      </c>
      <c r="L303">
        <v>1</v>
      </c>
      <c r="M303">
        <v>1</v>
      </c>
      <c r="N303">
        <v>124</v>
      </c>
      <c r="O303" t="s">
        <v>25</v>
      </c>
      <c r="P303" t="s">
        <v>41</v>
      </c>
      <c r="Q303" s="10">
        <v>72</v>
      </c>
      <c r="R303" s="10">
        <v>79</v>
      </c>
      <c r="S303" s="10">
        <v>78</v>
      </c>
      <c r="T303" s="10">
        <v>55</v>
      </c>
      <c r="U303" s="10">
        <v>0</v>
      </c>
      <c r="V303" s="10">
        <v>15</v>
      </c>
      <c r="W303" s="10">
        <v>30</v>
      </c>
    </row>
    <row r="304" spans="1:23">
      <c r="A304" s="2" t="s">
        <v>541</v>
      </c>
      <c r="B304" s="2" t="s">
        <v>542</v>
      </c>
      <c r="C304">
        <v>2</v>
      </c>
      <c r="D304" s="5">
        <v>45012</v>
      </c>
      <c r="E304">
        <v>1479</v>
      </c>
      <c r="F304">
        <v>0</v>
      </c>
      <c r="G304">
        <v>80758350</v>
      </c>
      <c r="H304" t="str">
        <f t="shared" si="4"/>
        <v>no</v>
      </c>
      <c r="I304">
        <v>23</v>
      </c>
      <c r="J304">
        <v>0</v>
      </c>
      <c r="K304">
        <v>18</v>
      </c>
      <c r="L304">
        <v>0</v>
      </c>
      <c r="M304">
        <v>33</v>
      </c>
      <c r="N304">
        <v>78</v>
      </c>
      <c r="O304" t="s">
        <v>63</v>
      </c>
      <c r="P304" t="s">
        <v>26</v>
      </c>
      <c r="Q304" s="10">
        <v>71</v>
      </c>
      <c r="R304" s="10">
        <v>80</v>
      </c>
      <c r="S304" s="10">
        <v>65</v>
      </c>
      <c r="T304" s="10">
        <v>51</v>
      </c>
      <c r="U304" s="10">
        <v>0</v>
      </c>
      <c r="V304" s="10">
        <v>22</v>
      </c>
      <c r="W304" s="10">
        <v>32</v>
      </c>
    </row>
    <row r="305" spans="1:23">
      <c r="A305" s="2" t="s">
        <v>541</v>
      </c>
      <c r="B305" s="4">
        <v>0.44097222222222221</v>
      </c>
      <c r="C305">
        <v>2</v>
      </c>
      <c r="D305" s="5">
        <v>44866</v>
      </c>
      <c r="E305">
        <v>4942</v>
      </c>
      <c r="F305">
        <v>26</v>
      </c>
      <c r="G305">
        <v>325592432</v>
      </c>
      <c r="H305" t="str">
        <f t="shared" si="4"/>
        <v>yes</v>
      </c>
      <c r="I305">
        <v>190</v>
      </c>
      <c r="J305">
        <v>104</v>
      </c>
      <c r="K305">
        <v>147</v>
      </c>
      <c r="L305">
        <v>18</v>
      </c>
      <c r="M305">
        <v>63</v>
      </c>
      <c r="N305">
        <v>120</v>
      </c>
      <c r="O305" t="s">
        <v>63</v>
      </c>
      <c r="P305" t="s">
        <v>26</v>
      </c>
      <c r="Q305" s="10">
        <v>70</v>
      </c>
      <c r="R305" s="10">
        <v>70</v>
      </c>
      <c r="S305" s="10">
        <v>79</v>
      </c>
      <c r="T305" s="10">
        <v>7</v>
      </c>
      <c r="U305" s="10">
        <v>0</v>
      </c>
      <c r="V305" s="10">
        <v>18</v>
      </c>
      <c r="W305" s="10">
        <v>10</v>
      </c>
    </row>
    <row r="306" spans="1:23" ht="45.75">
      <c r="A306" s="2" t="s">
        <v>543</v>
      </c>
      <c r="B306" s="2" t="s">
        <v>544</v>
      </c>
      <c r="C306">
        <v>2</v>
      </c>
      <c r="D306" s="5">
        <v>45016</v>
      </c>
      <c r="E306">
        <v>709</v>
      </c>
      <c r="F306">
        <v>0</v>
      </c>
      <c r="G306">
        <v>58473276</v>
      </c>
      <c r="H306" t="str">
        <f t="shared" si="4"/>
        <v>no</v>
      </c>
      <c r="I306">
        <v>8</v>
      </c>
      <c r="J306">
        <v>1</v>
      </c>
      <c r="K306">
        <v>13</v>
      </c>
      <c r="L306">
        <v>0</v>
      </c>
      <c r="M306">
        <v>0</v>
      </c>
      <c r="N306">
        <v>96</v>
      </c>
      <c r="O306" t="s">
        <v>53</v>
      </c>
      <c r="P306" t="s">
        <v>41</v>
      </c>
      <c r="Q306" s="10">
        <v>48</v>
      </c>
      <c r="R306" s="10">
        <v>50</v>
      </c>
      <c r="S306" s="10">
        <v>80</v>
      </c>
      <c r="T306" s="10">
        <v>40</v>
      </c>
      <c r="U306" s="10">
        <v>0</v>
      </c>
      <c r="V306" s="10">
        <v>37</v>
      </c>
      <c r="W306" s="10">
        <v>20</v>
      </c>
    </row>
    <row r="307" spans="1:23" ht="45.75">
      <c r="A307" s="2" t="s">
        <v>545</v>
      </c>
      <c r="B307" s="2" t="s">
        <v>546</v>
      </c>
      <c r="C307">
        <v>1</v>
      </c>
      <c r="D307" s="5">
        <v>45010</v>
      </c>
      <c r="E307">
        <v>660</v>
      </c>
      <c r="F307">
        <v>0</v>
      </c>
      <c r="G307">
        <v>52722996</v>
      </c>
      <c r="H307" t="str">
        <f t="shared" si="4"/>
        <v>no</v>
      </c>
      <c r="I307">
        <v>22</v>
      </c>
      <c r="J307">
        <v>7</v>
      </c>
      <c r="K307">
        <v>11</v>
      </c>
      <c r="L307">
        <v>0</v>
      </c>
      <c r="M307">
        <v>78</v>
      </c>
      <c r="N307">
        <v>106</v>
      </c>
      <c r="O307" t="s">
        <v>72</v>
      </c>
      <c r="P307" t="s">
        <v>26</v>
      </c>
      <c r="Q307" s="10">
        <v>73</v>
      </c>
      <c r="R307" s="10">
        <v>22</v>
      </c>
      <c r="S307" s="10">
        <v>86</v>
      </c>
      <c r="T307" s="10">
        <v>31</v>
      </c>
      <c r="U307" s="10">
        <v>0</v>
      </c>
      <c r="V307" s="10">
        <v>12</v>
      </c>
      <c r="W307" s="10">
        <v>4</v>
      </c>
    </row>
    <row r="308" spans="1:23" ht="45.75">
      <c r="A308" s="2" t="s">
        <v>547</v>
      </c>
      <c r="B308" s="2" t="s">
        <v>548</v>
      </c>
      <c r="C308">
        <v>1</v>
      </c>
      <c r="D308" s="5">
        <v>44554</v>
      </c>
      <c r="E308">
        <v>489</v>
      </c>
      <c r="F308">
        <v>17</v>
      </c>
      <c r="G308">
        <v>191945597</v>
      </c>
      <c r="H308" t="str">
        <f t="shared" si="4"/>
        <v>no</v>
      </c>
      <c r="I308">
        <v>4</v>
      </c>
      <c r="J308">
        <v>11</v>
      </c>
      <c r="K308">
        <v>5</v>
      </c>
      <c r="L308">
        <v>1</v>
      </c>
      <c r="M308">
        <v>2</v>
      </c>
      <c r="N308">
        <v>170</v>
      </c>
      <c r="O308" t="s">
        <v>51</v>
      </c>
      <c r="P308" t="s">
        <v>41</v>
      </c>
      <c r="Q308" s="10">
        <v>78</v>
      </c>
      <c r="R308" s="10">
        <v>75</v>
      </c>
      <c r="S308" s="10">
        <v>46</v>
      </c>
      <c r="T308" s="10">
        <v>62</v>
      </c>
      <c r="U308" s="10">
        <v>0</v>
      </c>
      <c r="V308" s="10">
        <v>12</v>
      </c>
      <c r="W308" s="10">
        <v>35</v>
      </c>
    </row>
    <row r="309" spans="1:23" ht="60.75">
      <c r="A309" s="2" t="s">
        <v>549</v>
      </c>
      <c r="B309" s="2" t="s">
        <v>550</v>
      </c>
      <c r="C309">
        <v>2</v>
      </c>
      <c r="D309" s="5">
        <v>45009</v>
      </c>
      <c r="E309">
        <v>407</v>
      </c>
      <c r="F309">
        <v>0</v>
      </c>
      <c r="G309">
        <v>77377503</v>
      </c>
      <c r="H309" t="str">
        <f t="shared" si="4"/>
        <v>no</v>
      </c>
      <c r="I309">
        <v>16</v>
      </c>
      <c r="J309">
        <v>15</v>
      </c>
      <c r="K309">
        <v>5</v>
      </c>
      <c r="L309">
        <v>0</v>
      </c>
      <c r="M309">
        <v>1</v>
      </c>
      <c r="N309">
        <v>134</v>
      </c>
      <c r="O309" t="s">
        <v>25</v>
      </c>
      <c r="P309" t="s">
        <v>41</v>
      </c>
      <c r="Q309" s="10">
        <v>67</v>
      </c>
      <c r="R309" s="10">
        <v>11</v>
      </c>
      <c r="S309" s="10">
        <v>76</v>
      </c>
      <c r="T309" s="10">
        <v>8</v>
      </c>
      <c r="U309" s="10">
        <v>47</v>
      </c>
      <c r="V309" s="10">
        <v>30</v>
      </c>
      <c r="W309" s="10">
        <v>7</v>
      </c>
    </row>
    <row r="310" spans="1:23" ht="30.75">
      <c r="A310" s="2" t="s">
        <v>551</v>
      </c>
      <c r="B310" s="2" t="s">
        <v>552</v>
      </c>
      <c r="C310">
        <v>1</v>
      </c>
      <c r="D310" s="5">
        <v>44701</v>
      </c>
      <c r="E310">
        <v>7461</v>
      </c>
      <c r="F310">
        <v>8</v>
      </c>
      <c r="G310">
        <v>743693613</v>
      </c>
      <c r="H310" t="str">
        <f t="shared" si="4"/>
        <v>yes</v>
      </c>
      <c r="I310">
        <v>166</v>
      </c>
      <c r="J310">
        <v>42</v>
      </c>
      <c r="K310">
        <v>199</v>
      </c>
      <c r="L310">
        <v>16</v>
      </c>
      <c r="M310">
        <v>58</v>
      </c>
      <c r="N310">
        <v>115</v>
      </c>
      <c r="O310" t="s">
        <v>128</v>
      </c>
      <c r="P310" t="s">
        <v>26</v>
      </c>
      <c r="Q310" s="10">
        <v>71</v>
      </c>
      <c r="R310" s="10">
        <v>90</v>
      </c>
      <c r="S310" s="10">
        <v>73</v>
      </c>
      <c r="T310" s="10">
        <v>30</v>
      </c>
      <c r="U310" s="10">
        <v>0</v>
      </c>
      <c r="V310" s="10">
        <v>11</v>
      </c>
      <c r="W310" s="10">
        <v>5</v>
      </c>
    </row>
    <row r="311" spans="1:23">
      <c r="A311" s="2" t="s">
        <v>305</v>
      </c>
      <c r="B311" s="2" t="s">
        <v>553</v>
      </c>
      <c r="C311">
        <v>1</v>
      </c>
      <c r="D311" s="5">
        <v>44904</v>
      </c>
      <c r="E311">
        <v>993</v>
      </c>
      <c r="F311">
        <v>4</v>
      </c>
      <c r="G311">
        <v>267789608</v>
      </c>
      <c r="H311" t="str">
        <f t="shared" si="4"/>
        <v>yes</v>
      </c>
      <c r="I311">
        <v>30</v>
      </c>
      <c r="J311">
        <v>84</v>
      </c>
      <c r="K311">
        <v>88</v>
      </c>
      <c r="L311">
        <v>1</v>
      </c>
      <c r="M311">
        <v>28</v>
      </c>
      <c r="N311">
        <v>130</v>
      </c>
      <c r="O311" t="s">
        <v>53</v>
      </c>
      <c r="P311" t="s">
        <v>26</v>
      </c>
      <c r="Q311" s="10">
        <v>74</v>
      </c>
      <c r="R311" s="10">
        <v>79</v>
      </c>
      <c r="S311" s="10">
        <v>87</v>
      </c>
      <c r="T311" s="10">
        <v>45</v>
      </c>
      <c r="U311" s="10">
        <v>0</v>
      </c>
      <c r="V311" s="10">
        <v>30</v>
      </c>
      <c r="W311" s="10">
        <v>3</v>
      </c>
    </row>
    <row r="312" spans="1:23" ht="76.5">
      <c r="A312" s="2" t="s">
        <v>554</v>
      </c>
      <c r="B312" s="2" t="s">
        <v>555</v>
      </c>
      <c r="C312">
        <v>2</v>
      </c>
      <c r="D312" s="5">
        <v>43910</v>
      </c>
      <c r="E312">
        <v>9161</v>
      </c>
      <c r="F312">
        <v>5</v>
      </c>
      <c r="G312">
        <v>1221813483</v>
      </c>
      <c r="H312" t="str">
        <f t="shared" si="4"/>
        <v>yes</v>
      </c>
      <c r="I312">
        <v>240</v>
      </c>
      <c r="J312">
        <v>98</v>
      </c>
      <c r="K312">
        <v>468</v>
      </c>
      <c r="L312">
        <v>3</v>
      </c>
      <c r="M312">
        <v>10</v>
      </c>
      <c r="N312">
        <v>118</v>
      </c>
      <c r="P312" t="s">
        <v>26</v>
      </c>
      <c r="Q312" s="10">
        <v>65</v>
      </c>
      <c r="R312" s="10">
        <v>63</v>
      </c>
      <c r="S312" s="10">
        <v>79</v>
      </c>
      <c r="T312" s="10">
        <v>3</v>
      </c>
      <c r="U312" s="10">
        <v>0</v>
      </c>
      <c r="V312" s="10">
        <v>10</v>
      </c>
      <c r="W312" s="10">
        <v>3</v>
      </c>
    </row>
    <row r="313" spans="1:23" ht="30.75">
      <c r="A313" s="2" t="s">
        <v>556</v>
      </c>
      <c r="B313" s="2" t="s">
        <v>557</v>
      </c>
      <c r="C313">
        <v>1</v>
      </c>
      <c r="D313" s="5">
        <v>44673</v>
      </c>
      <c r="E313">
        <v>3282</v>
      </c>
      <c r="F313">
        <v>12</v>
      </c>
      <c r="G313">
        <v>449701773</v>
      </c>
      <c r="H313" t="str">
        <f t="shared" si="4"/>
        <v>yes</v>
      </c>
      <c r="I313">
        <v>67</v>
      </c>
      <c r="J313">
        <v>84</v>
      </c>
      <c r="K313">
        <v>46</v>
      </c>
      <c r="L313">
        <v>16</v>
      </c>
      <c r="M313">
        <v>117</v>
      </c>
      <c r="N313">
        <v>110</v>
      </c>
      <c r="O313" t="s">
        <v>72</v>
      </c>
      <c r="P313" t="s">
        <v>26</v>
      </c>
      <c r="Q313" s="10">
        <v>59</v>
      </c>
      <c r="R313" s="10">
        <v>22</v>
      </c>
      <c r="S313" s="10">
        <v>38</v>
      </c>
      <c r="T313" s="10">
        <v>42</v>
      </c>
      <c r="U313" s="10">
        <v>0</v>
      </c>
      <c r="V313" s="10">
        <v>12</v>
      </c>
      <c r="W313" s="10">
        <v>3</v>
      </c>
    </row>
    <row r="314" spans="1:23">
      <c r="A314" s="2" t="s">
        <v>558</v>
      </c>
      <c r="B314" s="2" t="s">
        <v>559</v>
      </c>
      <c r="C314">
        <v>1</v>
      </c>
      <c r="D314" s="5">
        <v>45014</v>
      </c>
      <c r="E314">
        <v>596</v>
      </c>
      <c r="F314">
        <v>0</v>
      </c>
      <c r="G314">
        <v>67070410</v>
      </c>
      <c r="H314" t="str">
        <f t="shared" si="4"/>
        <v>no</v>
      </c>
      <c r="I314">
        <v>29</v>
      </c>
      <c r="J314">
        <v>9</v>
      </c>
      <c r="K314">
        <v>12</v>
      </c>
      <c r="L314">
        <v>0</v>
      </c>
      <c r="M314">
        <v>52</v>
      </c>
      <c r="N314">
        <v>100</v>
      </c>
      <c r="O314" t="s">
        <v>37</v>
      </c>
      <c r="P314" t="s">
        <v>26</v>
      </c>
      <c r="Q314" s="10">
        <v>72</v>
      </c>
      <c r="R314" s="10">
        <v>42</v>
      </c>
      <c r="S314" s="10">
        <v>66</v>
      </c>
      <c r="T314" s="10">
        <v>18</v>
      </c>
      <c r="U314" s="10">
        <v>4</v>
      </c>
      <c r="V314" s="10">
        <v>19</v>
      </c>
      <c r="W314" s="10">
        <v>4</v>
      </c>
    </row>
    <row r="315" spans="1:23" ht="45.75">
      <c r="A315" s="2" t="s">
        <v>560</v>
      </c>
      <c r="B315" s="2" t="s">
        <v>561</v>
      </c>
      <c r="C315">
        <v>2</v>
      </c>
      <c r="D315" s="5">
        <v>44999</v>
      </c>
      <c r="E315">
        <v>320</v>
      </c>
      <c r="F315">
        <v>6</v>
      </c>
      <c r="G315">
        <v>116334601</v>
      </c>
      <c r="H315" t="str">
        <f t="shared" si="4"/>
        <v>no</v>
      </c>
      <c r="I315">
        <v>5</v>
      </c>
      <c r="J315">
        <v>48</v>
      </c>
      <c r="K315">
        <v>2</v>
      </c>
      <c r="L315">
        <v>1</v>
      </c>
      <c r="M315">
        <v>9</v>
      </c>
      <c r="N315">
        <v>142</v>
      </c>
      <c r="O315" t="s">
        <v>72</v>
      </c>
      <c r="P315" t="s">
        <v>41</v>
      </c>
      <c r="Q315" s="10">
        <v>70</v>
      </c>
      <c r="R315" s="10">
        <v>76</v>
      </c>
      <c r="S315" s="10">
        <v>79</v>
      </c>
      <c r="T315" s="10">
        <v>26</v>
      </c>
      <c r="U315" s="10">
        <v>0</v>
      </c>
      <c r="V315" s="10">
        <v>11</v>
      </c>
      <c r="W315" s="10">
        <v>7</v>
      </c>
    </row>
    <row r="316" spans="1:23" ht="30.75">
      <c r="A316" s="2" t="s">
        <v>562</v>
      </c>
      <c r="B316" s="2" t="s">
        <v>563</v>
      </c>
      <c r="C316">
        <v>1</v>
      </c>
      <c r="D316" s="5">
        <v>44855</v>
      </c>
      <c r="E316">
        <v>2612</v>
      </c>
      <c r="F316">
        <v>4</v>
      </c>
      <c r="G316">
        <v>433356509</v>
      </c>
      <c r="H316" t="str">
        <f t="shared" si="4"/>
        <v>yes</v>
      </c>
      <c r="I316">
        <v>19</v>
      </c>
      <c r="J316">
        <v>29</v>
      </c>
      <c r="K316">
        <v>21</v>
      </c>
      <c r="L316">
        <v>0</v>
      </c>
      <c r="M316">
        <v>0</v>
      </c>
      <c r="N316">
        <v>140</v>
      </c>
      <c r="P316" t="s">
        <v>26</v>
      </c>
      <c r="Q316" s="10">
        <v>64</v>
      </c>
      <c r="R316" s="10">
        <v>18</v>
      </c>
      <c r="S316" s="10">
        <v>37</v>
      </c>
      <c r="T316" s="10">
        <v>72</v>
      </c>
      <c r="U316" s="10">
        <v>0</v>
      </c>
      <c r="V316" s="10">
        <v>12</v>
      </c>
      <c r="W316" s="10">
        <v>7</v>
      </c>
    </row>
    <row r="317" spans="1:23" ht="30.75">
      <c r="A317" s="2" t="s">
        <v>564</v>
      </c>
      <c r="B317" s="2" t="s">
        <v>565</v>
      </c>
      <c r="C317">
        <v>1</v>
      </c>
      <c r="D317" s="5">
        <v>44967</v>
      </c>
      <c r="E317">
        <v>2040</v>
      </c>
      <c r="F317">
        <v>4</v>
      </c>
      <c r="G317">
        <v>165584767</v>
      </c>
      <c r="H317" t="str">
        <f t="shared" si="4"/>
        <v>no</v>
      </c>
      <c r="I317">
        <v>81</v>
      </c>
      <c r="J317">
        <v>27</v>
      </c>
      <c r="K317">
        <v>66</v>
      </c>
      <c r="L317">
        <v>9</v>
      </c>
      <c r="M317">
        <v>444</v>
      </c>
      <c r="N317">
        <v>116</v>
      </c>
      <c r="O317" t="s">
        <v>72</v>
      </c>
      <c r="P317" t="s">
        <v>26</v>
      </c>
      <c r="Q317" s="10">
        <v>90</v>
      </c>
      <c r="R317" s="10">
        <v>96</v>
      </c>
      <c r="S317" s="10">
        <v>73</v>
      </c>
      <c r="T317" s="10">
        <v>62</v>
      </c>
      <c r="U317" s="10">
        <v>0</v>
      </c>
      <c r="V317" s="10">
        <v>9</v>
      </c>
      <c r="W317" s="10">
        <v>4</v>
      </c>
    </row>
    <row r="318" spans="1:23">
      <c r="A318" s="2" t="s">
        <v>566</v>
      </c>
      <c r="B318" s="2" t="s">
        <v>567</v>
      </c>
      <c r="C318">
        <v>1</v>
      </c>
      <c r="D318" s="5">
        <v>44694</v>
      </c>
      <c r="E318">
        <v>2128</v>
      </c>
      <c r="F318">
        <v>9</v>
      </c>
      <c r="G318">
        <v>367814306</v>
      </c>
      <c r="H318" t="str">
        <f t="shared" si="4"/>
        <v>yes</v>
      </c>
      <c r="I318">
        <v>37</v>
      </c>
      <c r="J318">
        <v>88</v>
      </c>
      <c r="K318">
        <v>9</v>
      </c>
      <c r="L318">
        <v>0</v>
      </c>
      <c r="M318">
        <v>14</v>
      </c>
      <c r="N318">
        <v>120</v>
      </c>
      <c r="O318" t="s">
        <v>37</v>
      </c>
      <c r="P318" t="s">
        <v>26</v>
      </c>
      <c r="Q318" s="10">
        <v>73</v>
      </c>
      <c r="R318" s="10">
        <v>64</v>
      </c>
      <c r="S318" s="10">
        <v>85</v>
      </c>
      <c r="T318" s="10">
        <v>25</v>
      </c>
      <c r="U318" s="10">
        <v>0</v>
      </c>
      <c r="V318" s="10">
        <v>61</v>
      </c>
      <c r="W318" s="10">
        <v>3</v>
      </c>
    </row>
    <row r="319" spans="1:23" ht="45.75">
      <c r="A319" s="2" t="s">
        <v>568</v>
      </c>
      <c r="B319" s="2" t="s">
        <v>569</v>
      </c>
      <c r="C319">
        <v>2</v>
      </c>
      <c r="D319" s="5">
        <v>44652</v>
      </c>
      <c r="E319">
        <v>2598</v>
      </c>
      <c r="F319">
        <v>37</v>
      </c>
      <c r="G319">
        <v>477033549</v>
      </c>
      <c r="H319" t="str">
        <f t="shared" si="4"/>
        <v>yes</v>
      </c>
      <c r="I319">
        <v>28</v>
      </c>
      <c r="J319">
        <v>57</v>
      </c>
      <c r="K319">
        <v>43</v>
      </c>
      <c r="L319">
        <v>8</v>
      </c>
      <c r="M319">
        <v>85</v>
      </c>
      <c r="N319">
        <v>92</v>
      </c>
      <c r="O319" t="s">
        <v>32</v>
      </c>
      <c r="P319" t="s">
        <v>41</v>
      </c>
      <c r="Q319" s="10">
        <v>76</v>
      </c>
      <c r="R319" s="10">
        <v>46</v>
      </c>
      <c r="S319" s="10">
        <v>79</v>
      </c>
      <c r="T319" s="10">
        <v>31</v>
      </c>
      <c r="U319" s="10">
        <v>0</v>
      </c>
      <c r="V319" s="10">
        <v>7</v>
      </c>
      <c r="W319" s="10">
        <v>6</v>
      </c>
    </row>
    <row r="320" spans="1:23" ht="45.75">
      <c r="A320" s="2" t="s">
        <v>570</v>
      </c>
      <c r="B320" s="2" t="s">
        <v>571</v>
      </c>
      <c r="C320">
        <v>1</v>
      </c>
      <c r="D320" s="5">
        <v>44860</v>
      </c>
      <c r="E320">
        <v>542</v>
      </c>
      <c r="F320">
        <v>2</v>
      </c>
      <c r="G320">
        <v>156214700</v>
      </c>
      <c r="H320" t="str">
        <f t="shared" si="4"/>
        <v>no</v>
      </c>
      <c r="I320">
        <v>23</v>
      </c>
      <c r="J320">
        <v>2</v>
      </c>
      <c r="K320">
        <v>21</v>
      </c>
      <c r="L320">
        <v>0</v>
      </c>
      <c r="M320">
        <v>0</v>
      </c>
      <c r="N320">
        <v>110</v>
      </c>
      <c r="O320" t="s">
        <v>63</v>
      </c>
      <c r="P320" t="s">
        <v>41</v>
      </c>
      <c r="Q320" s="10">
        <v>81</v>
      </c>
      <c r="R320" s="10">
        <v>64</v>
      </c>
      <c r="S320" s="10">
        <v>79</v>
      </c>
      <c r="T320" s="10">
        <v>5</v>
      </c>
      <c r="U320" s="10">
        <v>0</v>
      </c>
      <c r="V320" s="10">
        <v>31</v>
      </c>
      <c r="W320" s="10">
        <v>3</v>
      </c>
    </row>
    <row r="321" spans="1:23" ht="30.75">
      <c r="A321" s="2" t="s">
        <v>572</v>
      </c>
      <c r="B321" s="2" t="s">
        <v>573</v>
      </c>
      <c r="C321">
        <v>1</v>
      </c>
      <c r="D321" s="5">
        <v>44582</v>
      </c>
      <c r="E321">
        <v>2459</v>
      </c>
      <c r="F321">
        <v>20</v>
      </c>
      <c r="G321">
        <v>448843705</v>
      </c>
      <c r="H321" t="str">
        <f t="shared" si="4"/>
        <v>yes</v>
      </c>
      <c r="I321">
        <v>20</v>
      </c>
      <c r="J321">
        <v>68</v>
      </c>
      <c r="K321">
        <v>50</v>
      </c>
      <c r="L321">
        <v>0</v>
      </c>
      <c r="M321">
        <v>22</v>
      </c>
      <c r="N321">
        <v>120</v>
      </c>
      <c r="O321" t="s">
        <v>128</v>
      </c>
      <c r="P321" t="s">
        <v>26</v>
      </c>
      <c r="Q321" s="10">
        <v>71</v>
      </c>
      <c r="R321" s="10">
        <v>57</v>
      </c>
      <c r="S321" s="10">
        <v>97</v>
      </c>
      <c r="T321" s="10">
        <v>1</v>
      </c>
      <c r="U321" s="10">
        <v>0</v>
      </c>
      <c r="V321" s="10">
        <v>13</v>
      </c>
      <c r="W321" s="10">
        <v>11</v>
      </c>
    </row>
    <row r="322" spans="1:23" ht="30.75">
      <c r="A322" s="2" t="s">
        <v>574</v>
      </c>
      <c r="B322" s="2" t="s">
        <v>575</v>
      </c>
      <c r="C322">
        <v>2</v>
      </c>
      <c r="D322" s="5">
        <v>34891</v>
      </c>
      <c r="E322">
        <v>10624</v>
      </c>
      <c r="F322">
        <v>17</v>
      </c>
      <c r="G322">
        <v>1357608774</v>
      </c>
      <c r="H322" t="str">
        <f t="shared" ref="H322:H385" si="5">IF(G322&gt;$Z$2,$Z$4,$Z$5)</f>
        <v>yes</v>
      </c>
      <c r="I322">
        <v>21</v>
      </c>
      <c r="J322">
        <v>0</v>
      </c>
      <c r="K322">
        <v>386</v>
      </c>
      <c r="L322">
        <v>0</v>
      </c>
      <c r="N322">
        <v>80</v>
      </c>
      <c r="O322" t="s">
        <v>63</v>
      </c>
      <c r="P322" t="s">
        <v>26</v>
      </c>
      <c r="Q322" s="10">
        <v>63</v>
      </c>
      <c r="R322" s="10">
        <v>40</v>
      </c>
      <c r="S322" s="10">
        <v>61</v>
      </c>
      <c r="T322" s="10">
        <v>9</v>
      </c>
      <c r="U322" s="10">
        <v>0</v>
      </c>
      <c r="V322" s="10">
        <v>56</v>
      </c>
      <c r="W322" s="10">
        <v>6</v>
      </c>
    </row>
    <row r="323" spans="1:23">
      <c r="A323" s="2" t="s">
        <v>576</v>
      </c>
      <c r="B323" s="2" t="s">
        <v>577</v>
      </c>
      <c r="C323">
        <v>2</v>
      </c>
      <c r="D323" s="5">
        <v>44878</v>
      </c>
      <c r="E323">
        <v>2418</v>
      </c>
      <c r="F323">
        <v>26</v>
      </c>
      <c r="G323">
        <v>294352144</v>
      </c>
      <c r="H323" t="str">
        <f t="shared" si="5"/>
        <v>yes</v>
      </c>
      <c r="I323">
        <v>52</v>
      </c>
      <c r="J323">
        <v>66</v>
      </c>
      <c r="K323">
        <v>55</v>
      </c>
      <c r="L323">
        <v>1</v>
      </c>
      <c r="M323">
        <v>16</v>
      </c>
      <c r="N323">
        <v>115</v>
      </c>
      <c r="O323" t="s">
        <v>32</v>
      </c>
      <c r="P323" t="s">
        <v>41</v>
      </c>
      <c r="Q323" s="10">
        <v>95</v>
      </c>
      <c r="R323" s="10">
        <v>43</v>
      </c>
      <c r="S323" s="10">
        <v>69</v>
      </c>
      <c r="T323" s="10">
        <v>47</v>
      </c>
      <c r="U323" s="10">
        <v>0</v>
      </c>
      <c r="V323" s="10">
        <v>9</v>
      </c>
      <c r="W323" s="10">
        <v>31</v>
      </c>
    </row>
    <row r="324" spans="1:23" ht="30.75">
      <c r="A324" s="2" t="s">
        <v>578</v>
      </c>
      <c r="B324" s="2" t="s">
        <v>579</v>
      </c>
      <c r="C324">
        <v>1</v>
      </c>
      <c r="D324" s="5">
        <v>41971</v>
      </c>
      <c r="E324">
        <v>7536</v>
      </c>
      <c r="F324">
        <v>7</v>
      </c>
      <c r="G324">
        <v>972164968</v>
      </c>
      <c r="H324" t="str">
        <f t="shared" si="5"/>
        <v>yes</v>
      </c>
      <c r="I324">
        <v>44</v>
      </c>
      <c r="J324">
        <v>19</v>
      </c>
      <c r="K324">
        <v>135</v>
      </c>
      <c r="L324">
        <v>0</v>
      </c>
      <c r="M324">
        <v>6</v>
      </c>
      <c r="N324">
        <v>76</v>
      </c>
      <c r="O324" t="s">
        <v>128</v>
      </c>
      <c r="P324" t="s">
        <v>26</v>
      </c>
      <c r="Q324" s="10">
        <v>58</v>
      </c>
      <c r="R324" s="10">
        <v>46</v>
      </c>
      <c r="S324" s="10">
        <v>67</v>
      </c>
      <c r="T324" s="10">
        <v>65</v>
      </c>
      <c r="U324" s="10">
        <v>0</v>
      </c>
      <c r="V324" s="10">
        <v>13</v>
      </c>
      <c r="W324" s="10">
        <v>4</v>
      </c>
    </row>
    <row r="325" spans="1:23" ht="30.75">
      <c r="A325" s="2" t="s">
        <v>580</v>
      </c>
      <c r="B325" s="2" t="s">
        <v>581</v>
      </c>
      <c r="C325">
        <v>1</v>
      </c>
      <c r="D325" s="5">
        <v>42786</v>
      </c>
      <c r="E325">
        <v>10431</v>
      </c>
      <c r="F325">
        <v>7</v>
      </c>
      <c r="G325">
        <v>920045682</v>
      </c>
      <c r="H325" t="str">
        <f t="shared" si="5"/>
        <v>yes</v>
      </c>
      <c r="I325">
        <v>71</v>
      </c>
      <c r="J325">
        <v>53</v>
      </c>
      <c r="K325">
        <v>181</v>
      </c>
      <c r="L325">
        <v>0</v>
      </c>
      <c r="M325">
        <v>10</v>
      </c>
      <c r="N325">
        <v>172</v>
      </c>
      <c r="O325" t="s">
        <v>53</v>
      </c>
      <c r="P325" t="s">
        <v>26</v>
      </c>
      <c r="Q325" s="10">
        <v>60</v>
      </c>
      <c r="R325" s="10">
        <v>77</v>
      </c>
      <c r="S325" s="10">
        <v>78</v>
      </c>
      <c r="T325" s="10">
        <v>45</v>
      </c>
      <c r="U325" s="10">
        <v>0</v>
      </c>
      <c r="V325" s="10">
        <v>12</v>
      </c>
      <c r="W325" s="10">
        <v>6</v>
      </c>
    </row>
    <row r="326" spans="1:23" ht="30.75">
      <c r="A326" s="2" t="s">
        <v>582</v>
      </c>
      <c r="B326" s="2" t="s">
        <v>583</v>
      </c>
      <c r="C326">
        <v>1</v>
      </c>
      <c r="D326" s="5">
        <v>42622</v>
      </c>
      <c r="E326">
        <v>15722</v>
      </c>
      <c r="F326">
        <v>16</v>
      </c>
      <c r="G326">
        <v>2420461338</v>
      </c>
      <c r="H326" t="str">
        <f t="shared" si="5"/>
        <v>yes</v>
      </c>
      <c r="I326">
        <v>231</v>
      </c>
      <c r="J326">
        <v>37</v>
      </c>
      <c r="K326" s="1">
        <v>1509</v>
      </c>
      <c r="L326">
        <v>0</v>
      </c>
      <c r="M326">
        <v>13</v>
      </c>
      <c r="N326">
        <v>99</v>
      </c>
      <c r="O326" t="s">
        <v>128</v>
      </c>
      <c r="P326" t="s">
        <v>26</v>
      </c>
      <c r="Q326" s="10">
        <v>40</v>
      </c>
      <c r="R326" s="10">
        <v>45</v>
      </c>
      <c r="S326" s="10">
        <v>56</v>
      </c>
      <c r="T326" s="10">
        <v>69</v>
      </c>
      <c r="U326" s="10">
        <v>0</v>
      </c>
      <c r="V326" s="10">
        <v>9</v>
      </c>
      <c r="W326" s="10">
        <v>5</v>
      </c>
    </row>
    <row r="327" spans="1:23">
      <c r="A327" s="2" t="s">
        <v>584</v>
      </c>
      <c r="B327" s="2" t="s">
        <v>585</v>
      </c>
      <c r="C327">
        <v>1</v>
      </c>
      <c r="D327" s="5">
        <v>42151</v>
      </c>
      <c r="E327">
        <v>25744</v>
      </c>
      <c r="F327">
        <v>4</v>
      </c>
      <c r="G327">
        <v>1947371785</v>
      </c>
      <c r="H327" t="str">
        <f t="shared" si="5"/>
        <v>yes</v>
      </c>
      <c r="I327">
        <v>122</v>
      </c>
      <c r="J327">
        <v>94</v>
      </c>
      <c r="K327" s="1">
        <v>1992</v>
      </c>
      <c r="L327">
        <v>0</v>
      </c>
      <c r="M327">
        <v>18</v>
      </c>
      <c r="N327">
        <v>136</v>
      </c>
      <c r="P327" t="s">
        <v>41</v>
      </c>
      <c r="Q327" s="10">
        <v>36</v>
      </c>
      <c r="R327" s="10">
        <v>12</v>
      </c>
      <c r="S327" s="10">
        <v>57</v>
      </c>
      <c r="T327" s="10">
        <v>9</v>
      </c>
      <c r="U327" s="10">
        <v>0</v>
      </c>
      <c r="V327" s="10">
        <v>14</v>
      </c>
      <c r="W327" s="10">
        <v>8</v>
      </c>
    </row>
    <row r="328" spans="1:23">
      <c r="A328" s="2" t="s">
        <v>586</v>
      </c>
      <c r="B328" s="2" t="s">
        <v>587</v>
      </c>
      <c r="C328">
        <v>1</v>
      </c>
      <c r="D328" s="5">
        <v>43595</v>
      </c>
      <c r="E328">
        <v>1640</v>
      </c>
      <c r="F328">
        <v>0</v>
      </c>
      <c r="G328">
        <v>244658767</v>
      </c>
      <c r="H328" t="str">
        <f t="shared" si="5"/>
        <v>yes</v>
      </c>
      <c r="I328">
        <v>27</v>
      </c>
      <c r="J328">
        <v>27</v>
      </c>
      <c r="K328">
        <v>29</v>
      </c>
      <c r="L328">
        <v>1</v>
      </c>
      <c r="M328">
        <v>1</v>
      </c>
      <c r="N328">
        <v>150</v>
      </c>
      <c r="O328" t="s">
        <v>63</v>
      </c>
      <c r="P328" t="s">
        <v>41</v>
      </c>
      <c r="Q328" s="10">
        <v>90</v>
      </c>
      <c r="R328" s="10">
        <v>64</v>
      </c>
      <c r="S328" s="10">
        <v>14</v>
      </c>
      <c r="T328" s="10">
        <v>67</v>
      </c>
      <c r="U328" s="10">
        <v>35</v>
      </c>
      <c r="V328" s="10">
        <v>11</v>
      </c>
      <c r="W328" s="10">
        <v>10</v>
      </c>
    </row>
    <row r="329" spans="1:23" ht="60.75">
      <c r="A329" s="2" t="s">
        <v>588</v>
      </c>
      <c r="B329" s="2" t="s">
        <v>589</v>
      </c>
      <c r="C329">
        <v>1</v>
      </c>
      <c r="D329" s="5">
        <v>45023</v>
      </c>
      <c r="E329">
        <v>34</v>
      </c>
      <c r="F329">
        <v>0</v>
      </c>
      <c r="G329">
        <v>68216992</v>
      </c>
      <c r="H329" t="str">
        <f t="shared" si="5"/>
        <v>no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92</v>
      </c>
      <c r="O329" t="s">
        <v>128</v>
      </c>
      <c r="P329" t="s">
        <v>41</v>
      </c>
      <c r="Q329" s="10">
        <v>71</v>
      </c>
      <c r="R329" s="10">
        <v>41</v>
      </c>
      <c r="S329" s="10">
        <v>31</v>
      </c>
      <c r="T329" s="10">
        <v>79</v>
      </c>
      <c r="U329" s="10">
        <v>0</v>
      </c>
      <c r="V329" s="10">
        <v>10</v>
      </c>
      <c r="W329" s="10">
        <v>5</v>
      </c>
    </row>
    <row r="330" spans="1:23" ht="30.75">
      <c r="A330" s="2" t="s">
        <v>590</v>
      </c>
      <c r="B330" s="2" t="s">
        <v>591</v>
      </c>
      <c r="C330">
        <v>5</v>
      </c>
      <c r="D330" s="5">
        <v>44910</v>
      </c>
      <c r="E330">
        <v>1845</v>
      </c>
      <c r="F330">
        <v>16</v>
      </c>
      <c r="G330">
        <v>223582566</v>
      </c>
      <c r="H330" t="str">
        <f t="shared" si="5"/>
        <v>yes</v>
      </c>
      <c r="I330">
        <v>20</v>
      </c>
      <c r="J330">
        <v>8</v>
      </c>
      <c r="K330">
        <v>30</v>
      </c>
      <c r="L330">
        <v>2</v>
      </c>
      <c r="M330">
        <v>0</v>
      </c>
      <c r="N330">
        <v>95</v>
      </c>
      <c r="O330" t="s">
        <v>29</v>
      </c>
      <c r="P330" t="s">
        <v>26</v>
      </c>
      <c r="Q330" s="10">
        <v>77</v>
      </c>
      <c r="R330" s="10">
        <v>72</v>
      </c>
      <c r="S330" s="10">
        <v>87</v>
      </c>
      <c r="T330" s="10">
        <v>17</v>
      </c>
      <c r="U330" s="10">
        <v>0</v>
      </c>
      <c r="V330" s="10">
        <v>7</v>
      </c>
      <c r="W330" s="10">
        <v>5</v>
      </c>
    </row>
    <row r="331" spans="1:23">
      <c r="A331" s="2" t="s">
        <v>590</v>
      </c>
      <c r="B331" s="2" t="s">
        <v>592</v>
      </c>
      <c r="C331">
        <v>3</v>
      </c>
      <c r="D331" s="5">
        <v>44767</v>
      </c>
      <c r="E331">
        <v>3301</v>
      </c>
      <c r="F331">
        <v>30</v>
      </c>
      <c r="G331">
        <v>471819764</v>
      </c>
      <c r="H331" t="str">
        <f t="shared" si="5"/>
        <v>yes</v>
      </c>
      <c r="I331">
        <v>72</v>
      </c>
      <c r="J331">
        <v>64</v>
      </c>
      <c r="K331">
        <v>64</v>
      </c>
      <c r="L331">
        <v>6</v>
      </c>
      <c r="M331">
        <v>3</v>
      </c>
      <c r="N331">
        <v>102</v>
      </c>
      <c r="O331" t="s">
        <v>25</v>
      </c>
      <c r="P331" t="s">
        <v>41</v>
      </c>
      <c r="Q331" s="10">
        <v>83</v>
      </c>
      <c r="R331" s="10">
        <v>58</v>
      </c>
      <c r="S331" s="10">
        <v>83</v>
      </c>
      <c r="T331" s="10">
        <v>21</v>
      </c>
      <c r="U331" s="10">
        <v>0</v>
      </c>
      <c r="V331" s="10">
        <v>10</v>
      </c>
      <c r="W331" s="10">
        <v>5</v>
      </c>
    </row>
    <row r="332" spans="1:23">
      <c r="A332" s="2" t="s">
        <v>590</v>
      </c>
      <c r="B332" s="2" t="s">
        <v>593</v>
      </c>
      <c r="C332">
        <v>1</v>
      </c>
      <c r="D332" s="5">
        <v>44904</v>
      </c>
      <c r="E332">
        <v>1911</v>
      </c>
      <c r="F332">
        <v>0</v>
      </c>
      <c r="G332">
        <v>272377463</v>
      </c>
      <c r="H332" t="str">
        <f t="shared" si="5"/>
        <v>yes</v>
      </c>
      <c r="I332">
        <v>23</v>
      </c>
      <c r="J332">
        <v>71</v>
      </c>
      <c r="K332">
        <v>14</v>
      </c>
      <c r="L332">
        <v>0</v>
      </c>
      <c r="M332">
        <v>9</v>
      </c>
      <c r="N332">
        <v>145</v>
      </c>
      <c r="P332" t="s">
        <v>41</v>
      </c>
      <c r="Q332" s="10">
        <v>70</v>
      </c>
      <c r="R332" s="10">
        <v>34</v>
      </c>
      <c r="S332" s="10">
        <v>55</v>
      </c>
      <c r="T332" s="10">
        <v>43</v>
      </c>
      <c r="U332" s="10">
        <v>0</v>
      </c>
      <c r="V332" s="10">
        <v>16</v>
      </c>
      <c r="W332" s="10">
        <v>6</v>
      </c>
    </row>
    <row r="333" spans="1:23">
      <c r="A333" s="2" t="s">
        <v>590</v>
      </c>
      <c r="B333" s="2" t="s">
        <v>594</v>
      </c>
      <c r="C333">
        <v>1</v>
      </c>
      <c r="D333" s="5">
        <v>37704</v>
      </c>
      <c r="E333">
        <v>20111</v>
      </c>
      <c r="F333">
        <v>5</v>
      </c>
      <c r="G333">
        <v>1361425037</v>
      </c>
      <c r="H333" t="str">
        <f t="shared" si="5"/>
        <v>yes</v>
      </c>
      <c r="I333">
        <v>39</v>
      </c>
      <c r="J333">
        <v>0</v>
      </c>
      <c r="K333" s="1">
        <v>7341</v>
      </c>
      <c r="L333">
        <v>0</v>
      </c>
      <c r="M333">
        <v>0</v>
      </c>
      <c r="N333">
        <v>110</v>
      </c>
      <c r="O333" t="s">
        <v>37</v>
      </c>
      <c r="P333" t="s">
        <v>26</v>
      </c>
      <c r="Q333" s="10">
        <v>50</v>
      </c>
      <c r="R333" s="10">
        <v>24</v>
      </c>
      <c r="S333" s="10">
        <v>86</v>
      </c>
      <c r="T333" s="10">
        <v>0</v>
      </c>
      <c r="U333" s="10">
        <v>0</v>
      </c>
      <c r="V333" s="10">
        <v>64</v>
      </c>
      <c r="W333" s="10">
        <v>4</v>
      </c>
    </row>
    <row r="334" spans="1:23" ht="45.75">
      <c r="A334" s="2" t="s">
        <v>590</v>
      </c>
      <c r="B334" s="2" t="s">
        <v>595</v>
      </c>
      <c r="C334">
        <v>2</v>
      </c>
      <c r="D334" s="5">
        <v>44981</v>
      </c>
      <c r="E334">
        <v>1529</v>
      </c>
      <c r="F334">
        <v>0</v>
      </c>
      <c r="G334">
        <v>149778242</v>
      </c>
      <c r="H334" t="str">
        <f t="shared" si="5"/>
        <v>no</v>
      </c>
      <c r="I334">
        <v>32</v>
      </c>
      <c r="J334">
        <v>18</v>
      </c>
      <c r="K334">
        <v>39</v>
      </c>
      <c r="L334">
        <v>2</v>
      </c>
      <c r="M334">
        <v>0</v>
      </c>
      <c r="N334">
        <v>95</v>
      </c>
      <c r="P334" t="s">
        <v>26</v>
      </c>
      <c r="Q334" s="10">
        <v>64</v>
      </c>
      <c r="R334" s="10">
        <v>30</v>
      </c>
      <c r="S334" s="10">
        <v>77</v>
      </c>
      <c r="T334" s="10">
        <v>46</v>
      </c>
      <c r="U334" s="10">
        <v>0</v>
      </c>
      <c r="V334" s="10">
        <v>38</v>
      </c>
      <c r="W334" s="10">
        <v>6</v>
      </c>
    </row>
    <row r="335" spans="1:23" ht="30.75">
      <c r="A335" s="2" t="s">
        <v>590</v>
      </c>
      <c r="B335" s="2" t="s">
        <v>596</v>
      </c>
      <c r="C335">
        <v>2</v>
      </c>
      <c r="D335" s="5">
        <v>44988</v>
      </c>
      <c r="E335">
        <v>615</v>
      </c>
      <c r="F335">
        <v>2</v>
      </c>
      <c r="G335">
        <v>116599790</v>
      </c>
      <c r="H335" t="str">
        <f t="shared" si="5"/>
        <v>no</v>
      </c>
      <c r="I335">
        <v>22</v>
      </c>
      <c r="J335">
        <v>82</v>
      </c>
      <c r="K335">
        <v>8</v>
      </c>
      <c r="L335">
        <v>0</v>
      </c>
      <c r="M335">
        <v>9</v>
      </c>
      <c r="N335">
        <v>94</v>
      </c>
      <c r="O335" t="s">
        <v>25</v>
      </c>
      <c r="P335" t="s">
        <v>41</v>
      </c>
      <c r="Q335" s="10">
        <v>68</v>
      </c>
      <c r="R335" s="10">
        <v>81</v>
      </c>
      <c r="S335" s="10">
        <v>82</v>
      </c>
      <c r="T335" s="10">
        <v>53</v>
      </c>
      <c r="U335" s="10">
        <v>0</v>
      </c>
      <c r="V335" s="10">
        <v>9</v>
      </c>
      <c r="W335" s="10">
        <v>13</v>
      </c>
    </row>
    <row r="336" spans="1:23" ht="30.75">
      <c r="A336" s="2" t="s">
        <v>590</v>
      </c>
      <c r="B336" s="2" t="s">
        <v>597</v>
      </c>
      <c r="C336">
        <v>1</v>
      </c>
      <c r="D336" s="5">
        <v>44897</v>
      </c>
      <c r="E336">
        <v>811</v>
      </c>
      <c r="F336">
        <v>4</v>
      </c>
      <c r="G336">
        <v>148469433</v>
      </c>
      <c r="H336" t="str">
        <f t="shared" si="5"/>
        <v>no</v>
      </c>
      <c r="I336">
        <v>11</v>
      </c>
      <c r="J336">
        <v>58</v>
      </c>
      <c r="K336">
        <v>5</v>
      </c>
      <c r="L336">
        <v>0</v>
      </c>
      <c r="M336">
        <v>21</v>
      </c>
      <c r="N336">
        <v>142</v>
      </c>
      <c r="O336" t="s">
        <v>72</v>
      </c>
      <c r="P336" t="s">
        <v>26</v>
      </c>
      <c r="Q336" s="10">
        <v>61</v>
      </c>
      <c r="R336" s="10">
        <v>92</v>
      </c>
      <c r="S336" s="10">
        <v>91</v>
      </c>
      <c r="T336" s="10">
        <v>0</v>
      </c>
      <c r="U336" s="10">
        <v>0</v>
      </c>
      <c r="V336" s="10">
        <v>26</v>
      </c>
      <c r="W336" s="10">
        <v>3</v>
      </c>
    </row>
    <row r="337" spans="1:23">
      <c r="A337" s="2" t="s">
        <v>590</v>
      </c>
      <c r="B337" s="2" t="s">
        <v>598</v>
      </c>
      <c r="C337">
        <v>2</v>
      </c>
      <c r="D337" s="5">
        <v>44778</v>
      </c>
      <c r="E337">
        <v>5730</v>
      </c>
      <c r="F337">
        <v>10</v>
      </c>
      <c r="G337">
        <v>497225336</v>
      </c>
      <c r="H337" t="str">
        <f t="shared" si="5"/>
        <v>yes</v>
      </c>
      <c r="I337">
        <v>108</v>
      </c>
      <c r="J337">
        <v>16</v>
      </c>
      <c r="K337">
        <v>197</v>
      </c>
      <c r="L337">
        <v>3</v>
      </c>
      <c r="M337">
        <v>165</v>
      </c>
      <c r="N337">
        <v>145</v>
      </c>
      <c r="O337" t="s">
        <v>53</v>
      </c>
      <c r="P337" t="s">
        <v>41</v>
      </c>
      <c r="Q337" s="10">
        <v>59</v>
      </c>
      <c r="R337" s="10">
        <v>20</v>
      </c>
      <c r="S337" s="10">
        <v>74</v>
      </c>
      <c r="T337" s="10">
        <v>1</v>
      </c>
      <c r="U337" s="10">
        <v>0</v>
      </c>
      <c r="V337" s="10">
        <v>15</v>
      </c>
      <c r="W337" s="10">
        <v>5</v>
      </c>
    </row>
    <row r="338" spans="1:23" ht="30.75">
      <c r="A338" s="2" t="s">
        <v>590</v>
      </c>
      <c r="B338" s="2" t="s">
        <v>599</v>
      </c>
      <c r="C338">
        <v>1</v>
      </c>
      <c r="D338" s="5">
        <v>44988</v>
      </c>
      <c r="E338">
        <v>356</v>
      </c>
      <c r="F338">
        <v>4</v>
      </c>
      <c r="G338">
        <v>88791109</v>
      </c>
      <c r="H338" t="str">
        <f t="shared" si="5"/>
        <v>no</v>
      </c>
      <c r="I338">
        <v>4</v>
      </c>
      <c r="J338">
        <v>20</v>
      </c>
      <c r="K338">
        <v>0</v>
      </c>
      <c r="L338">
        <v>0</v>
      </c>
      <c r="M338">
        <v>0</v>
      </c>
      <c r="N338">
        <v>121</v>
      </c>
      <c r="O338" t="s">
        <v>53</v>
      </c>
      <c r="P338" t="s">
        <v>41</v>
      </c>
      <c r="Q338" s="10">
        <v>64</v>
      </c>
      <c r="R338" s="10">
        <v>67</v>
      </c>
      <c r="S338" s="10">
        <v>80</v>
      </c>
      <c r="T338" s="10">
        <v>0</v>
      </c>
      <c r="U338" s="10">
        <v>0</v>
      </c>
      <c r="V338" s="10">
        <v>36</v>
      </c>
      <c r="W338" s="10">
        <v>3</v>
      </c>
    </row>
    <row r="339" spans="1:23" ht="30.75">
      <c r="A339" s="2" t="s">
        <v>590</v>
      </c>
      <c r="B339" s="2" t="s">
        <v>600</v>
      </c>
      <c r="C339">
        <v>1</v>
      </c>
      <c r="D339" s="5">
        <v>44988</v>
      </c>
      <c r="E339">
        <v>604</v>
      </c>
      <c r="F339">
        <v>6</v>
      </c>
      <c r="G339">
        <v>125917280</v>
      </c>
      <c r="H339" t="str">
        <f t="shared" si="5"/>
        <v>no</v>
      </c>
      <c r="I339">
        <v>22</v>
      </c>
      <c r="J339">
        <v>101</v>
      </c>
      <c r="K339">
        <v>0</v>
      </c>
      <c r="L339">
        <v>0</v>
      </c>
      <c r="M339">
        <v>66</v>
      </c>
      <c r="N339">
        <v>140</v>
      </c>
      <c r="O339" t="s">
        <v>196</v>
      </c>
      <c r="P339" t="s">
        <v>41</v>
      </c>
      <c r="Q339" s="10">
        <v>66</v>
      </c>
      <c r="R339" s="10">
        <v>43</v>
      </c>
      <c r="S339" s="10">
        <v>76</v>
      </c>
      <c r="T339" s="10">
        <v>49</v>
      </c>
      <c r="U339" s="10">
        <v>0</v>
      </c>
      <c r="V339" s="10">
        <v>12</v>
      </c>
      <c r="W339" s="10">
        <v>3</v>
      </c>
    </row>
    <row r="340" spans="1:23" ht="60.75">
      <c r="A340" s="2" t="s">
        <v>590</v>
      </c>
      <c r="B340" s="2" t="s">
        <v>601</v>
      </c>
      <c r="C340">
        <v>3</v>
      </c>
      <c r="D340" s="5">
        <v>44980</v>
      </c>
      <c r="E340">
        <v>1190</v>
      </c>
      <c r="F340">
        <v>0</v>
      </c>
      <c r="G340">
        <v>105062254</v>
      </c>
      <c r="H340" t="str">
        <f t="shared" si="5"/>
        <v>no</v>
      </c>
      <c r="I340">
        <v>29</v>
      </c>
      <c r="J340">
        <v>3</v>
      </c>
      <c r="K340">
        <v>18</v>
      </c>
      <c r="L340">
        <v>0</v>
      </c>
      <c r="M340">
        <v>19</v>
      </c>
      <c r="N340">
        <v>137</v>
      </c>
      <c r="O340" t="s">
        <v>29</v>
      </c>
      <c r="P340" t="s">
        <v>41</v>
      </c>
      <c r="Q340" s="10">
        <v>84</v>
      </c>
      <c r="R340" s="10">
        <v>44</v>
      </c>
      <c r="S340" s="10">
        <v>67</v>
      </c>
      <c r="T340" s="10">
        <v>8</v>
      </c>
      <c r="U340" s="10">
        <v>0</v>
      </c>
      <c r="V340" s="10">
        <v>11</v>
      </c>
      <c r="W340" s="10">
        <v>6</v>
      </c>
    </row>
    <row r="341" spans="1:23" ht="30.75">
      <c r="A341" s="2" t="s">
        <v>590</v>
      </c>
      <c r="B341" s="2" t="s">
        <v>602</v>
      </c>
      <c r="C341">
        <v>1</v>
      </c>
      <c r="D341" s="5">
        <v>44957</v>
      </c>
      <c r="E341">
        <v>579</v>
      </c>
      <c r="F341">
        <v>0</v>
      </c>
      <c r="G341">
        <v>95623148</v>
      </c>
      <c r="H341" t="str">
        <f t="shared" si="5"/>
        <v>no</v>
      </c>
      <c r="I341">
        <v>11</v>
      </c>
      <c r="J341">
        <v>54</v>
      </c>
      <c r="K341">
        <v>0</v>
      </c>
      <c r="L341">
        <v>0</v>
      </c>
      <c r="M341">
        <v>103</v>
      </c>
      <c r="N341">
        <v>104</v>
      </c>
      <c r="O341" t="s">
        <v>63</v>
      </c>
      <c r="P341" t="s">
        <v>26</v>
      </c>
      <c r="Q341" s="10">
        <v>56</v>
      </c>
      <c r="R341" s="10">
        <v>72</v>
      </c>
      <c r="S341" s="10">
        <v>85</v>
      </c>
      <c r="T341" s="10">
        <v>0</v>
      </c>
      <c r="U341" s="10">
        <v>0</v>
      </c>
      <c r="V341" s="10">
        <v>15</v>
      </c>
      <c r="W341" s="10">
        <v>3</v>
      </c>
    </row>
    <row r="342" spans="1:23">
      <c r="A342" s="2" t="s">
        <v>590</v>
      </c>
      <c r="B342" s="2" t="s">
        <v>603</v>
      </c>
      <c r="C342">
        <v>1</v>
      </c>
      <c r="D342" s="5">
        <v>44974</v>
      </c>
      <c r="E342">
        <v>1553</v>
      </c>
      <c r="F342">
        <v>2</v>
      </c>
      <c r="G342">
        <v>144584800</v>
      </c>
      <c r="H342" t="str">
        <f t="shared" si="5"/>
        <v>no</v>
      </c>
      <c r="I342">
        <v>61</v>
      </c>
      <c r="J342">
        <v>6</v>
      </c>
      <c r="K342">
        <v>48</v>
      </c>
      <c r="L342">
        <v>0</v>
      </c>
      <c r="M342">
        <v>150</v>
      </c>
      <c r="N342">
        <v>92</v>
      </c>
      <c r="O342" t="s">
        <v>32</v>
      </c>
      <c r="P342" t="s">
        <v>26</v>
      </c>
      <c r="Q342" s="10">
        <v>57</v>
      </c>
      <c r="R342" s="10">
        <v>68</v>
      </c>
      <c r="S342" s="10">
        <v>76</v>
      </c>
      <c r="T342" s="10">
        <v>7</v>
      </c>
      <c r="U342" s="10">
        <v>0</v>
      </c>
      <c r="V342" s="10">
        <v>33</v>
      </c>
      <c r="W342" s="10">
        <v>3</v>
      </c>
    </row>
    <row r="343" spans="1:23">
      <c r="A343" s="2" t="s">
        <v>590</v>
      </c>
      <c r="B343" s="2" t="s">
        <v>604</v>
      </c>
      <c r="C343">
        <v>1</v>
      </c>
      <c r="D343" s="5">
        <v>44910</v>
      </c>
      <c r="E343">
        <v>2301</v>
      </c>
      <c r="F343">
        <v>20</v>
      </c>
      <c r="G343">
        <v>298063749</v>
      </c>
      <c r="H343" t="str">
        <f t="shared" si="5"/>
        <v>yes</v>
      </c>
      <c r="I343">
        <v>49</v>
      </c>
      <c r="J343">
        <v>23</v>
      </c>
      <c r="K343">
        <v>110</v>
      </c>
      <c r="L343">
        <v>0</v>
      </c>
      <c r="M343">
        <v>8</v>
      </c>
      <c r="N343">
        <v>146</v>
      </c>
      <c r="O343" t="s">
        <v>51</v>
      </c>
      <c r="P343" t="s">
        <v>41</v>
      </c>
      <c r="Q343" s="10">
        <v>74</v>
      </c>
      <c r="R343" s="10">
        <v>51</v>
      </c>
      <c r="S343" s="10">
        <v>45</v>
      </c>
      <c r="T343" s="10">
        <v>86</v>
      </c>
      <c r="U343" s="10">
        <v>0</v>
      </c>
      <c r="V343" s="10">
        <v>21</v>
      </c>
      <c r="W343" s="10">
        <v>38</v>
      </c>
    </row>
    <row r="344" spans="1:23">
      <c r="A344" s="2" t="s">
        <v>590</v>
      </c>
      <c r="B344" s="2" t="s">
        <v>605</v>
      </c>
      <c r="C344">
        <v>1</v>
      </c>
      <c r="D344" s="5">
        <v>44949</v>
      </c>
      <c r="E344">
        <v>134</v>
      </c>
      <c r="F344">
        <v>4</v>
      </c>
      <c r="G344">
        <v>166570053</v>
      </c>
      <c r="H344" t="str">
        <f t="shared" si="5"/>
        <v>no</v>
      </c>
      <c r="I344">
        <v>4</v>
      </c>
      <c r="J344">
        <v>6</v>
      </c>
      <c r="K344">
        <v>0</v>
      </c>
      <c r="L344">
        <v>0</v>
      </c>
      <c r="M344">
        <v>23</v>
      </c>
      <c r="N344">
        <v>120</v>
      </c>
      <c r="O344" t="s">
        <v>51</v>
      </c>
      <c r="P344" t="s">
        <v>26</v>
      </c>
      <c r="Q344" s="10">
        <v>56</v>
      </c>
      <c r="R344" s="10">
        <v>20</v>
      </c>
      <c r="S344" s="10">
        <v>43</v>
      </c>
      <c r="T344" s="10">
        <v>89</v>
      </c>
      <c r="U344" s="10">
        <v>0</v>
      </c>
      <c r="V344" s="10">
        <v>12</v>
      </c>
      <c r="W344" s="10">
        <v>4</v>
      </c>
    </row>
    <row r="345" spans="1:23" ht="30.75">
      <c r="A345" s="2" t="s">
        <v>590</v>
      </c>
      <c r="B345" s="2" t="s">
        <v>606</v>
      </c>
      <c r="C345">
        <v>1</v>
      </c>
      <c r="D345" s="5">
        <v>44957</v>
      </c>
      <c r="E345">
        <v>430</v>
      </c>
      <c r="F345">
        <v>0</v>
      </c>
      <c r="G345">
        <v>83021468</v>
      </c>
      <c r="H345" t="str">
        <f t="shared" si="5"/>
        <v>no</v>
      </c>
      <c r="I345">
        <v>15</v>
      </c>
      <c r="J345">
        <v>17</v>
      </c>
      <c r="K345">
        <v>0</v>
      </c>
      <c r="L345">
        <v>0</v>
      </c>
      <c r="M345">
        <v>0</v>
      </c>
      <c r="N345">
        <v>144</v>
      </c>
      <c r="O345" t="s">
        <v>51</v>
      </c>
      <c r="P345" t="s">
        <v>26</v>
      </c>
      <c r="Q345" s="10">
        <v>68</v>
      </c>
      <c r="R345" s="10">
        <v>83</v>
      </c>
      <c r="S345" s="10">
        <v>81</v>
      </c>
      <c r="T345" s="10">
        <v>9</v>
      </c>
      <c r="U345" s="10">
        <v>0</v>
      </c>
      <c r="V345" s="10">
        <v>8</v>
      </c>
      <c r="W345" s="10">
        <v>4</v>
      </c>
    </row>
    <row r="346" spans="1:23" ht="45.75">
      <c r="A346" s="2" t="s">
        <v>590</v>
      </c>
      <c r="B346" s="2" t="s">
        <v>607</v>
      </c>
      <c r="C346">
        <v>2</v>
      </c>
      <c r="D346" s="5">
        <v>44870</v>
      </c>
      <c r="E346">
        <v>86</v>
      </c>
      <c r="F346">
        <v>0</v>
      </c>
      <c r="G346">
        <v>139836056</v>
      </c>
      <c r="H346" t="str">
        <f t="shared" si="5"/>
        <v>no</v>
      </c>
      <c r="I346">
        <v>11</v>
      </c>
      <c r="J346">
        <v>101</v>
      </c>
      <c r="K346">
        <v>0</v>
      </c>
      <c r="L346">
        <v>0</v>
      </c>
      <c r="M346">
        <v>48</v>
      </c>
      <c r="N346">
        <v>94</v>
      </c>
      <c r="O346" t="s">
        <v>37</v>
      </c>
      <c r="P346" t="s">
        <v>26</v>
      </c>
      <c r="Q346" s="10">
        <v>59</v>
      </c>
      <c r="R346" s="10">
        <v>44</v>
      </c>
      <c r="S346" s="10">
        <v>56</v>
      </c>
      <c r="T346" s="10">
        <v>80</v>
      </c>
      <c r="U346" s="10">
        <v>0</v>
      </c>
      <c r="V346" s="10">
        <v>6</v>
      </c>
      <c r="W346" s="10">
        <v>3</v>
      </c>
    </row>
    <row r="347" spans="1:23" ht="30.75">
      <c r="A347" s="2" t="s">
        <v>608</v>
      </c>
      <c r="B347" s="2" t="s">
        <v>609</v>
      </c>
      <c r="C347">
        <v>1</v>
      </c>
      <c r="D347" s="5">
        <v>44865</v>
      </c>
      <c r="E347">
        <v>629</v>
      </c>
      <c r="F347">
        <v>14</v>
      </c>
      <c r="G347">
        <v>303216294</v>
      </c>
      <c r="H347" t="str">
        <f t="shared" si="5"/>
        <v>yes</v>
      </c>
      <c r="I347">
        <v>32</v>
      </c>
      <c r="J347">
        <v>3</v>
      </c>
      <c r="K347">
        <v>9</v>
      </c>
      <c r="L347">
        <v>0</v>
      </c>
      <c r="M347">
        <v>0</v>
      </c>
      <c r="N347">
        <v>94</v>
      </c>
      <c r="O347" t="s">
        <v>63</v>
      </c>
      <c r="P347" t="s">
        <v>26</v>
      </c>
      <c r="Q347" s="10">
        <v>73</v>
      </c>
      <c r="R347" s="10">
        <v>65</v>
      </c>
      <c r="S347" s="10">
        <v>79</v>
      </c>
      <c r="T347" s="10">
        <v>5</v>
      </c>
      <c r="U347" s="10">
        <v>2</v>
      </c>
      <c r="V347" s="10">
        <v>11</v>
      </c>
      <c r="W347" s="10">
        <v>6</v>
      </c>
    </row>
    <row r="348" spans="1:23" ht="30.75">
      <c r="A348" s="2" t="s">
        <v>608</v>
      </c>
      <c r="B348" s="2" t="s">
        <v>610</v>
      </c>
      <c r="C348">
        <v>2</v>
      </c>
      <c r="D348" s="5">
        <v>44910</v>
      </c>
      <c r="E348">
        <v>1701</v>
      </c>
      <c r="F348">
        <v>15</v>
      </c>
      <c r="G348">
        <v>221409663</v>
      </c>
      <c r="H348" t="str">
        <f t="shared" si="5"/>
        <v>yes</v>
      </c>
      <c r="I348">
        <v>30</v>
      </c>
      <c r="J348">
        <v>15</v>
      </c>
      <c r="K348">
        <v>34</v>
      </c>
      <c r="L348">
        <v>2</v>
      </c>
      <c r="M348">
        <v>47</v>
      </c>
      <c r="N348">
        <v>113</v>
      </c>
      <c r="O348" t="s">
        <v>72</v>
      </c>
      <c r="P348" t="s">
        <v>41</v>
      </c>
      <c r="Q348" s="10">
        <v>79</v>
      </c>
      <c r="R348" s="10">
        <v>66</v>
      </c>
      <c r="S348" s="10">
        <v>74</v>
      </c>
      <c r="T348" s="10">
        <v>8</v>
      </c>
      <c r="U348" s="10">
        <v>0</v>
      </c>
      <c r="V348" s="10">
        <v>11</v>
      </c>
      <c r="W348" s="10">
        <v>5</v>
      </c>
    </row>
    <row r="349" spans="1:23" ht="45.75">
      <c r="A349" s="2" t="s">
        <v>611</v>
      </c>
      <c r="B349" s="2" t="s">
        <v>612</v>
      </c>
      <c r="C349">
        <v>2</v>
      </c>
      <c r="D349" s="5">
        <v>44988</v>
      </c>
      <c r="E349">
        <v>329</v>
      </c>
      <c r="F349">
        <v>0</v>
      </c>
      <c r="G349">
        <v>58890931</v>
      </c>
      <c r="H349" t="str">
        <f t="shared" si="5"/>
        <v>no</v>
      </c>
      <c r="I349">
        <v>14</v>
      </c>
      <c r="J349">
        <v>35</v>
      </c>
      <c r="K349">
        <v>1</v>
      </c>
      <c r="L349">
        <v>0</v>
      </c>
      <c r="M349">
        <v>0</v>
      </c>
      <c r="N349">
        <v>148</v>
      </c>
      <c r="O349" t="s">
        <v>98</v>
      </c>
      <c r="P349" t="s">
        <v>26</v>
      </c>
      <c r="Q349" s="10">
        <v>50</v>
      </c>
      <c r="R349" s="10">
        <v>49</v>
      </c>
      <c r="S349" s="10">
        <v>76</v>
      </c>
      <c r="T349" s="10">
        <v>12</v>
      </c>
      <c r="U349" s="10">
        <v>0</v>
      </c>
      <c r="V349" s="10">
        <v>12</v>
      </c>
      <c r="W349" s="10">
        <v>3</v>
      </c>
    </row>
    <row r="350" spans="1:23" ht="30.75">
      <c r="A350" s="2" t="s">
        <v>613</v>
      </c>
      <c r="B350" s="2" t="s">
        <v>614</v>
      </c>
      <c r="C350">
        <v>1</v>
      </c>
      <c r="D350" s="5">
        <v>44988</v>
      </c>
      <c r="E350">
        <v>1168</v>
      </c>
      <c r="F350">
        <v>0</v>
      </c>
      <c r="G350">
        <v>81419389</v>
      </c>
      <c r="H350" t="str">
        <f t="shared" si="5"/>
        <v>no</v>
      </c>
      <c r="I350">
        <v>45</v>
      </c>
      <c r="J350">
        <v>11</v>
      </c>
      <c r="K350">
        <v>20</v>
      </c>
      <c r="L350">
        <v>0</v>
      </c>
      <c r="M350">
        <v>21</v>
      </c>
      <c r="N350">
        <v>98</v>
      </c>
      <c r="O350" t="s">
        <v>29</v>
      </c>
      <c r="P350" t="s">
        <v>26</v>
      </c>
      <c r="Q350" s="10">
        <v>70</v>
      </c>
      <c r="R350" s="10">
        <v>29</v>
      </c>
      <c r="S350" s="10">
        <v>73</v>
      </c>
      <c r="T350" s="10">
        <v>12</v>
      </c>
      <c r="U350" s="10">
        <v>0</v>
      </c>
      <c r="V350" s="10">
        <v>11</v>
      </c>
      <c r="W350" s="10">
        <v>26</v>
      </c>
    </row>
    <row r="351" spans="1:23" ht="30.75">
      <c r="A351" s="2" t="s">
        <v>613</v>
      </c>
      <c r="B351" s="2" t="s">
        <v>615</v>
      </c>
      <c r="C351">
        <v>1</v>
      </c>
      <c r="D351" s="5">
        <v>44712</v>
      </c>
      <c r="E351">
        <v>162</v>
      </c>
      <c r="F351">
        <v>6</v>
      </c>
      <c r="G351">
        <v>156777415</v>
      </c>
      <c r="H351" t="str">
        <f t="shared" si="5"/>
        <v>no</v>
      </c>
      <c r="I351">
        <v>1</v>
      </c>
      <c r="J351">
        <v>10</v>
      </c>
      <c r="K351">
        <v>1</v>
      </c>
      <c r="L351">
        <v>0</v>
      </c>
      <c r="M351">
        <v>1</v>
      </c>
      <c r="N351">
        <v>140</v>
      </c>
      <c r="O351" t="s">
        <v>25</v>
      </c>
      <c r="P351" t="s">
        <v>26</v>
      </c>
      <c r="Q351" s="10">
        <v>58</v>
      </c>
      <c r="R351" s="10">
        <v>26</v>
      </c>
      <c r="S351" s="10">
        <v>38</v>
      </c>
      <c r="T351" s="10">
        <v>91</v>
      </c>
      <c r="U351" s="10">
        <v>0</v>
      </c>
      <c r="V351" s="10">
        <v>10</v>
      </c>
      <c r="W351" s="10">
        <v>4</v>
      </c>
    </row>
    <row r="352" spans="1:23" ht="30.75">
      <c r="A352" s="2" t="s">
        <v>613</v>
      </c>
      <c r="B352" s="2" t="s">
        <v>616</v>
      </c>
      <c r="C352">
        <v>1</v>
      </c>
      <c r="D352" s="5">
        <v>44904</v>
      </c>
      <c r="E352">
        <v>2536</v>
      </c>
      <c r="F352">
        <v>6</v>
      </c>
      <c r="G352">
        <v>284908316</v>
      </c>
      <c r="H352" t="str">
        <f t="shared" si="5"/>
        <v>yes</v>
      </c>
      <c r="I352">
        <v>59</v>
      </c>
      <c r="J352">
        <v>100</v>
      </c>
      <c r="K352">
        <v>58</v>
      </c>
      <c r="L352">
        <v>13</v>
      </c>
      <c r="M352">
        <v>2</v>
      </c>
      <c r="N352">
        <v>100</v>
      </c>
      <c r="O352" t="s">
        <v>72</v>
      </c>
      <c r="P352" t="s">
        <v>26</v>
      </c>
      <c r="Q352" s="10">
        <v>36</v>
      </c>
      <c r="R352" s="10">
        <v>28</v>
      </c>
      <c r="S352" s="10">
        <v>28</v>
      </c>
      <c r="T352" s="10">
        <v>81</v>
      </c>
      <c r="U352" s="10">
        <v>0</v>
      </c>
      <c r="V352" s="10">
        <v>18</v>
      </c>
      <c r="W352" s="10">
        <v>3</v>
      </c>
    </row>
    <row r="353" spans="1:23" ht="45.75">
      <c r="A353" s="2" t="s">
        <v>617</v>
      </c>
      <c r="B353" s="2" t="s">
        <v>618</v>
      </c>
      <c r="C353">
        <v>2</v>
      </c>
      <c r="D353" s="5">
        <v>44980</v>
      </c>
      <c r="E353">
        <v>387</v>
      </c>
      <c r="F353">
        <v>11</v>
      </c>
      <c r="G353">
        <v>93438910</v>
      </c>
      <c r="H353" t="str">
        <f t="shared" si="5"/>
        <v>no</v>
      </c>
      <c r="I353">
        <v>11</v>
      </c>
      <c r="J353">
        <v>15</v>
      </c>
      <c r="K353">
        <v>14</v>
      </c>
      <c r="L353">
        <v>3</v>
      </c>
      <c r="M353">
        <v>1</v>
      </c>
      <c r="N353">
        <v>140</v>
      </c>
      <c r="O353" t="s">
        <v>53</v>
      </c>
      <c r="P353" t="s">
        <v>26</v>
      </c>
      <c r="Q353" s="10">
        <v>86</v>
      </c>
      <c r="R353" s="10">
        <v>68</v>
      </c>
      <c r="S353" s="10">
        <v>79</v>
      </c>
      <c r="T353" s="10">
        <v>39</v>
      </c>
      <c r="U353" s="10">
        <v>0</v>
      </c>
      <c r="V353" s="10">
        <v>11</v>
      </c>
      <c r="W353" s="10">
        <v>29</v>
      </c>
    </row>
    <row r="354" spans="1:23" ht="60.75">
      <c r="A354" s="2" t="s">
        <v>619</v>
      </c>
      <c r="B354" s="2" t="s">
        <v>620</v>
      </c>
      <c r="C354">
        <v>1</v>
      </c>
      <c r="D354" s="5">
        <v>44774</v>
      </c>
      <c r="E354">
        <v>892</v>
      </c>
      <c r="F354">
        <v>17</v>
      </c>
      <c r="G354">
        <v>363472647</v>
      </c>
      <c r="H354" t="str">
        <f t="shared" si="5"/>
        <v>yes</v>
      </c>
      <c r="I354">
        <v>20</v>
      </c>
      <c r="J354">
        <v>119</v>
      </c>
      <c r="K354">
        <v>12</v>
      </c>
      <c r="L354">
        <v>2</v>
      </c>
      <c r="M354">
        <v>7</v>
      </c>
      <c r="N354">
        <v>100</v>
      </c>
      <c r="O354" t="s">
        <v>98</v>
      </c>
      <c r="P354" t="s">
        <v>41</v>
      </c>
      <c r="Q354" s="10">
        <v>59</v>
      </c>
      <c r="R354" s="10">
        <v>78</v>
      </c>
      <c r="S354" s="10">
        <v>94</v>
      </c>
      <c r="T354" s="10">
        <v>27</v>
      </c>
      <c r="U354" s="10">
        <v>0</v>
      </c>
      <c r="V354" s="10">
        <v>29</v>
      </c>
      <c r="W354" s="10">
        <v>23</v>
      </c>
    </row>
    <row r="355" spans="1:23" ht="45.75">
      <c r="A355" s="2" t="s">
        <v>621</v>
      </c>
      <c r="B355" s="2" t="s">
        <v>622</v>
      </c>
      <c r="C355">
        <v>1</v>
      </c>
      <c r="D355" s="5">
        <v>40544</v>
      </c>
      <c r="E355">
        <v>3909</v>
      </c>
      <c r="F355">
        <v>0</v>
      </c>
      <c r="G355">
        <v>372476382</v>
      </c>
      <c r="H355" t="str">
        <f t="shared" si="5"/>
        <v>yes</v>
      </c>
      <c r="I355">
        <v>66</v>
      </c>
      <c r="J355">
        <v>26</v>
      </c>
      <c r="K355">
        <v>277</v>
      </c>
      <c r="L355">
        <v>3</v>
      </c>
      <c r="M355">
        <v>734</v>
      </c>
      <c r="N355">
        <v>100</v>
      </c>
      <c r="O355" t="s">
        <v>37</v>
      </c>
      <c r="P355" t="s">
        <v>41</v>
      </c>
      <c r="Q355" s="10">
        <v>59</v>
      </c>
      <c r="R355" s="10">
        <v>49</v>
      </c>
      <c r="S355" s="10">
        <v>65</v>
      </c>
      <c r="T355" s="10">
        <v>2</v>
      </c>
      <c r="U355" s="10">
        <v>0</v>
      </c>
      <c r="V355" s="10">
        <v>13</v>
      </c>
      <c r="W355" s="10">
        <v>3</v>
      </c>
    </row>
    <row r="356" spans="1:23" ht="45.75">
      <c r="A356" s="2" t="s">
        <v>623</v>
      </c>
      <c r="B356" s="2" t="s">
        <v>624</v>
      </c>
      <c r="C356">
        <v>2</v>
      </c>
      <c r="D356" s="5">
        <v>44853</v>
      </c>
      <c r="E356">
        <v>3645</v>
      </c>
      <c r="F356">
        <v>15</v>
      </c>
      <c r="G356">
        <v>380726517</v>
      </c>
      <c r="H356" t="str">
        <f t="shared" si="5"/>
        <v>yes</v>
      </c>
      <c r="I356">
        <v>118</v>
      </c>
      <c r="J356">
        <v>34</v>
      </c>
      <c r="K356">
        <v>150</v>
      </c>
      <c r="L356">
        <v>4</v>
      </c>
      <c r="M356">
        <v>19</v>
      </c>
      <c r="N356">
        <v>132</v>
      </c>
      <c r="P356" t="s">
        <v>41</v>
      </c>
      <c r="Q356" s="10">
        <v>87</v>
      </c>
      <c r="R356" s="10">
        <v>82</v>
      </c>
      <c r="S356" s="10">
        <v>70</v>
      </c>
      <c r="T356" s="10">
        <v>42</v>
      </c>
      <c r="U356" s="10">
        <v>0</v>
      </c>
      <c r="V356" s="10">
        <v>21</v>
      </c>
      <c r="W356" s="10">
        <v>5</v>
      </c>
    </row>
    <row r="357" spans="1:23">
      <c r="A357" s="2" t="s">
        <v>625</v>
      </c>
      <c r="B357" s="2" t="s">
        <v>626</v>
      </c>
      <c r="C357">
        <v>1</v>
      </c>
      <c r="D357" s="5">
        <v>44988</v>
      </c>
      <c r="E357">
        <v>282</v>
      </c>
      <c r="F357">
        <v>0</v>
      </c>
      <c r="G357">
        <v>56533272</v>
      </c>
      <c r="H357" t="str">
        <f t="shared" si="5"/>
        <v>no</v>
      </c>
      <c r="I357">
        <v>6</v>
      </c>
      <c r="J357">
        <v>15</v>
      </c>
      <c r="K357">
        <v>0</v>
      </c>
      <c r="L357">
        <v>0</v>
      </c>
      <c r="M357">
        <v>0</v>
      </c>
      <c r="N357">
        <v>142</v>
      </c>
      <c r="O357" t="s">
        <v>51</v>
      </c>
      <c r="P357" t="s">
        <v>26</v>
      </c>
      <c r="Q357" s="10">
        <v>49</v>
      </c>
      <c r="R357" s="10">
        <v>48</v>
      </c>
      <c r="S357" s="10">
        <v>67</v>
      </c>
      <c r="T357" s="10">
        <v>10</v>
      </c>
      <c r="U357" s="10">
        <v>0</v>
      </c>
      <c r="V357" s="10">
        <v>26</v>
      </c>
      <c r="W357" s="10">
        <v>3</v>
      </c>
    </row>
    <row r="358" spans="1:23" ht="30.75">
      <c r="A358" s="2" t="s">
        <v>627</v>
      </c>
      <c r="B358" s="2" t="s">
        <v>628</v>
      </c>
      <c r="C358">
        <v>1</v>
      </c>
      <c r="D358" s="5">
        <v>44946</v>
      </c>
      <c r="E358">
        <v>888</v>
      </c>
      <c r="F358">
        <v>22</v>
      </c>
      <c r="G358">
        <v>175399345</v>
      </c>
      <c r="H358" t="str">
        <f t="shared" si="5"/>
        <v>no</v>
      </c>
      <c r="I358">
        <v>11</v>
      </c>
      <c r="J358">
        <v>24</v>
      </c>
      <c r="K358">
        <v>7</v>
      </c>
      <c r="L358">
        <v>1</v>
      </c>
      <c r="M358">
        <v>7</v>
      </c>
      <c r="N358">
        <v>176</v>
      </c>
      <c r="O358" t="s">
        <v>98</v>
      </c>
      <c r="P358" t="s">
        <v>41</v>
      </c>
      <c r="Q358" s="10">
        <v>72</v>
      </c>
      <c r="R358" s="10">
        <v>96</v>
      </c>
      <c r="S358" s="10">
        <v>63</v>
      </c>
      <c r="T358" s="10">
        <v>25</v>
      </c>
      <c r="U358" s="10">
        <v>0</v>
      </c>
      <c r="V358" s="10">
        <v>21</v>
      </c>
      <c r="W358" s="10">
        <v>7</v>
      </c>
    </row>
    <row r="359" spans="1:23" ht="30.75">
      <c r="A359" s="2" t="s">
        <v>629</v>
      </c>
      <c r="B359" s="2" t="s">
        <v>630</v>
      </c>
      <c r="C359">
        <v>1</v>
      </c>
      <c r="D359" s="5">
        <v>44687</v>
      </c>
      <c r="E359">
        <v>968</v>
      </c>
      <c r="F359">
        <v>4</v>
      </c>
      <c r="G359">
        <v>203221468</v>
      </c>
      <c r="H359" t="str">
        <f t="shared" si="5"/>
        <v>yes</v>
      </c>
      <c r="I359">
        <v>16</v>
      </c>
      <c r="J359">
        <v>53</v>
      </c>
      <c r="K359">
        <v>1</v>
      </c>
      <c r="L359">
        <v>0</v>
      </c>
      <c r="M359">
        <v>61</v>
      </c>
      <c r="N359">
        <v>140</v>
      </c>
      <c r="O359" t="s">
        <v>53</v>
      </c>
      <c r="P359" t="s">
        <v>26</v>
      </c>
      <c r="Q359" s="10">
        <v>53</v>
      </c>
      <c r="R359" s="10">
        <v>51</v>
      </c>
      <c r="S359" s="10">
        <v>70</v>
      </c>
      <c r="T359" s="10">
        <v>49</v>
      </c>
      <c r="U359" s="10">
        <v>0</v>
      </c>
      <c r="V359" s="10">
        <v>14</v>
      </c>
      <c r="W359" s="10">
        <v>3</v>
      </c>
    </row>
    <row r="360" spans="1:23">
      <c r="A360" s="2" t="s">
        <v>631</v>
      </c>
      <c r="B360" s="2" t="s">
        <v>632</v>
      </c>
      <c r="C360">
        <v>1</v>
      </c>
      <c r="D360" s="5">
        <v>36823</v>
      </c>
      <c r="E360">
        <v>25065</v>
      </c>
      <c r="F360">
        <v>6</v>
      </c>
      <c r="G360">
        <v>1624165576</v>
      </c>
      <c r="H360" t="str">
        <f t="shared" si="5"/>
        <v>yes</v>
      </c>
      <c r="I360">
        <v>63</v>
      </c>
      <c r="J360">
        <v>0</v>
      </c>
      <c r="K360" s="1">
        <v>6808</v>
      </c>
      <c r="L360">
        <v>2</v>
      </c>
      <c r="M360">
        <v>0</v>
      </c>
      <c r="N360">
        <v>105</v>
      </c>
      <c r="O360" t="s">
        <v>196</v>
      </c>
      <c r="P360" t="s">
        <v>41</v>
      </c>
      <c r="Q360" s="10">
        <v>55</v>
      </c>
      <c r="R360" s="10">
        <v>40</v>
      </c>
      <c r="S360" s="10">
        <v>90</v>
      </c>
      <c r="T360" s="10">
        <v>1</v>
      </c>
      <c r="U360" s="10">
        <v>0</v>
      </c>
      <c r="V360" s="10">
        <v>32</v>
      </c>
      <c r="W360" s="10">
        <v>6</v>
      </c>
    </row>
    <row r="361" spans="1:23" ht="30.75">
      <c r="A361" s="2" t="s">
        <v>633</v>
      </c>
      <c r="B361" s="2" t="s">
        <v>634</v>
      </c>
      <c r="C361">
        <v>1</v>
      </c>
      <c r="D361" s="5">
        <v>44903</v>
      </c>
      <c r="E361">
        <v>531</v>
      </c>
      <c r="F361">
        <v>4</v>
      </c>
      <c r="G361">
        <v>134294498</v>
      </c>
      <c r="H361" t="str">
        <f t="shared" si="5"/>
        <v>no</v>
      </c>
      <c r="I361">
        <v>20</v>
      </c>
      <c r="J361">
        <v>1</v>
      </c>
      <c r="K361">
        <v>71</v>
      </c>
      <c r="L361">
        <v>2</v>
      </c>
      <c r="M361">
        <v>0</v>
      </c>
      <c r="N361">
        <v>135</v>
      </c>
      <c r="O361" t="s">
        <v>32</v>
      </c>
      <c r="P361" t="s">
        <v>26</v>
      </c>
      <c r="Q361" s="10">
        <v>81</v>
      </c>
      <c r="R361" s="10">
        <v>97</v>
      </c>
      <c r="S361" s="10">
        <v>77</v>
      </c>
      <c r="T361" s="10">
        <v>75</v>
      </c>
      <c r="U361" s="10">
        <v>0</v>
      </c>
      <c r="V361" s="10">
        <v>35</v>
      </c>
      <c r="W361" s="10">
        <v>3</v>
      </c>
    </row>
    <row r="362" spans="1:23">
      <c r="A362" s="2" t="s">
        <v>633</v>
      </c>
      <c r="B362" s="2" t="s">
        <v>635</v>
      </c>
      <c r="C362">
        <v>1</v>
      </c>
      <c r="D362" s="5">
        <v>44770</v>
      </c>
      <c r="E362">
        <v>242</v>
      </c>
      <c r="F362">
        <v>0</v>
      </c>
      <c r="G362">
        <v>70069745</v>
      </c>
      <c r="H362" t="str">
        <f t="shared" si="5"/>
        <v>no</v>
      </c>
      <c r="I362">
        <v>12</v>
      </c>
      <c r="J362">
        <v>2</v>
      </c>
      <c r="K362">
        <v>13</v>
      </c>
      <c r="L362">
        <v>0</v>
      </c>
      <c r="M362">
        <v>4</v>
      </c>
      <c r="N362">
        <v>128</v>
      </c>
      <c r="O362" t="s">
        <v>98</v>
      </c>
      <c r="P362" t="s">
        <v>41</v>
      </c>
      <c r="Q362" s="10">
        <v>82</v>
      </c>
      <c r="R362" s="10">
        <v>61</v>
      </c>
      <c r="S362" s="10">
        <v>59</v>
      </c>
      <c r="T362" s="10">
        <v>30</v>
      </c>
      <c r="U362" s="10">
        <v>0</v>
      </c>
      <c r="V362" s="10">
        <v>12</v>
      </c>
      <c r="W362" s="10">
        <v>4</v>
      </c>
    </row>
    <row r="363" spans="1:23" ht="45.75">
      <c r="A363" s="2" t="s">
        <v>633</v>
      </c>
      <c r="B363" s="2" t="s">
        <v>636</v>
      </c>
      <c r="C363">
        <v>2</v>
      </c>
      <c r="D363" s="5">
        <v>44715</v>
      </c>
      <c r="E363">
        <v>5281</v>
      </c>
      <c r="F363">
        <v>14</v>
      </c>
      <c r="G363">
        <v>609293408</v>
      </c>
      <c r="H363" t="str">
        <f t="shared" si="5"/>
        <v>yes</v>
      </c>
      <c r="I363">
        <v>94</v>
      </c>
      <c r="J363">
        <v>21</v>
      </c>
      <c r="K363">
        <v>80</v>
      </c>
      <c r="L363">
        <v>15</v>
      </c>
      <c r="M363">
        <v>38</v>
      </c>
      <c r="N363">
        <v>101</v>
      </c>
      <c r="O363" t="s">
        <v>32</v>
      </c>
      <c r="P363" t="s">
        <v>26</v>
      </c>
      <c r="Q363" s="10">
        <v>74</v>
      </c>
      <c r="R363" s="10">
        <v>43</v>
      </c>
      <c r="S363" s="10">
        <v>69</v>
      </c>
      <c r="T363" s="10">
        <v>12</v>
      </c>
      <c r="U363" s="10">
        <v>0</v>
      </c>
      <c r="V363" s="10">
        <v>12</v>
      </c>
      <c r="W363" s="10">
        <v>7</v>
      </c>
    </row>
    <row r="364" spans="1:23">
      <c r="A364" s="2" t="s">
        <v>633</v>
      </c>
      <c r="B364" s="2" t="s">
        <v>637</v>
      </c>
      <c r="C364">
        <v>1</v>
      </c>
      <c r="D364" s="5">
        <v>44687</v>
      </c>
      <c r="E364">
        <v>2590</v>
      </c>
      <c r="F364">
        <v>30</v>
      </c>
      <c r="G364">
        <v>671365962</v>
      </c>
      <c r="H364" t="str">
        <f t="shared" si="5"/>
        <v>yes</v>
      </c>
      <c r="I364">
        <v>20</v>
      </c>
      <c r="J364">
        <v>64</v>
      </c>
      <c r="K364">
        <v>35</v>
      </c>
      <c r="L364">
        <v>6</v>
      </c>
      <c r="M364">
        <v>0</v>
      </c>
      <c r="N364">
        <v>122</v>
      </c>
      <c r="O364" t="s">
        <v>128</v>
      </c>
      <c r="P364" t="s">
        <v>26</v>
      </c>
      <c r="Q364" s="10">
        <v>88</v>
      </c>
      <c r="R364" s="10">
        <v>43</v>
      </c>
      <c r="S364" s="10">
        <v>50</v>
      </c>
      <c r="T364" s="10">
        <v>7</v>
      </c>
      <c r="U364" s="10">
        <v>0</v>
      </c>
      <c r="V364" s="10">
        <v>14</v>
      </c>
      <c r="W364" s="10">
        <v>5</v>
      </c>
    </row>
    <row r="365" spans="1:23" ht="30.75">
      <c r="A365" s="2" t="s">
        <v>638</v>
      </c>
      <c r="B365" s="2" t="s">
        <v>639</v>
      </c>
      <c r="C365">
        <v>1</v>
      </c>
      <c r="D365" s="5">
        <v>44812</v>
      </c>
      <c r="E365">
        <v>1769</v>
      </c>
      <c r="F365">
        <v>34</v>
      </c>
      <c r="G365">
        <v>362361576</v>
      </c>
      <c r="H365" t="str">
        <f t="shared" si="5"/>
        <v>yes</v>
      </c>
      <c r="I365">
        <v>16</v>
      </c>
      <c r="J365">
        <v>19</v>
      </c>
      <c r="K365">
        <v>21</v>
      </c>
      <c r="L365">
        <v>3</v>
      </c>
      <c r="M365">
        <v>4</v>
      </c>
      <c r="N365">
        <v>105</v>
      </c>
      <c r="P365" t="s">
        <v>41</v>
      </c>
      <c r="Q365" s="10">
        <v>76</v>
      </c>
      <c r="R365" s="10">
        <v>49</v>
      </c>
      <c r="S365" s="10">
        <v>56</v>
      </c>
      <c r="T365" s="10">
        <v>80</v>
      </c>
      <c r="U365" s="10">
        <v>12</v>
      </c>
      <c r="V365" s="10">
        <v>10</v>
      </c>
      <c r="W365" s="10">
        <v>13</v>
      </c>
    </row>
    <row r="366" spans="1:23" ht="45.75">
      <c r="A366" s="2" t="s">
        <v>640</v>
      </c>
      <c r="B366" s="2" t="s">
        <v>641</v>
      </c>
      <c r="C366">
        <v>2</v>
      </c>
      <c r="D366" s="5">
        <v>44918</v>
      </c>
      <c r="E366">
        <v>454</v>
      </c>
      <c r="F366">
        <v>4</v>
      </c>
      <c r="G366">
        <v>93587665</v>
      </c>
      <c r="H366" t="str">
        <f t="shared" si="5"/>
        <v>no</v>
      </c>
      <c r="I366">
        <v>6</v>
      </c>
      <c r="J366">
        <v>1</v>
      </c>
      <c r="K366">
        <v>21</v>
      </c>
      <c r="L366">
        <v>0</v>
      </c>
      <c r="M366">
        <v>1</v>
      </c>
      <c r="N366">
        <v>83</v>
      </c>
      <c r="O366" t="s">
        <v>29</v>
      </c>
      <c r="P366" t="s">
        <v>26</v>
      </c>
      <c r="Q366" s="10">
        <v>53</v>
      </c>
      <c r="R366" s="10">
        <v>40</v>
      </c>
      <c r="S366" s="10">
        <v>36</v>
      </c>
      <c r="T366" s="10">
        <v>73</v>
      </c>
      <c r="U366" s="10">
        <v>0</v>
      </c>
      <c r="V366" s="10">
        <v>11</v>
      </c>
      <c r="W366" s="10">
        <v>33</v>
      </c>
    </row>
    <row r="367" spans="1:23" ht="76.5">
      <c r="A367" s="2" t="s">
        <v>642</v>
      </c>
      <c r="B367" s="2" t="s">
        <v>643</v>
      </c>
      <c r="C367">
        <v>4</v>
      </c>
      <c r="D367" s="5">
        <v>44442</v>
      </c>
      <c r="E367">
        <v>6180</v>
      </c>
      <c r="F367">
        <v>7</v>
      </c>
      <c r="G367">
        <v>1223481149</v>
      </c>
      <c r="H367" t="str">
        <f t="shared" si="5"/>
        <v>yes</v>
      </c>
      <c r="I367">
        <v>122</v>
      </c>
      <c r="J367">
        <v>88</v>
      </c>
      <c r="K367">
        <v>580</v>
      </c>
      <c r="L367">
        <v>21</v>
      </c>
      <c r="M367">
        <v>10</v>
      </c>
      <c r="N367">
        <v>77</v>
      </c>
      <c r="O367" t="s">
        <v>25</v>
      </c>
      <c r="P367" t="s">
        <v>41</v>
      </c>
      <c r="Q367" s="10">
        <v>72</v>
      </c>
      <c r="R367" s="10">
        <v>59</v>
      </c>
      <c r="S367" s="10">
        <v>76</v>
      </c>
      <c r="T367" s="10">
        <v>24</v>
      </c>
      <c r="U367" s="10">
        <v>0</v>
      </c>
      <c r="V367" s="10">
        <v>42</v>
      </c>
      <c r="W367" s="10">
        <v>28</v>
      </c>
    </row>
    <row r="368" spans="1:23">
      <c r="A368" s="2" t="s">
        <v>644</v>
      </c>
      <c r="B368" s="2" t="s">
        <v>645</v>
      </c>
      <c r="C368">
        <v>1</v>
      </c>
      <c r="D368" s="5">
        <v>42972</v>
      </c>
      <c r="E368">
        <v>3600</v>
      </c>
      <c r="F368">
        <v>11</v>
      </c>
      <c r="G368">
        <v>1022258230</v>
      </c>
      <c r="H368" t="str">
        <f t="shared" si="5"/>
        <v>yes</v>
      </c>
      <c r="I368">
        <v>7</v>
      </c>
      <c r="J368">
        <v>0</v>
      </c>
      <c r="K368">
        <v>203</v>
      </c>
      <c r="L368">
        <v>0</v>
      </c>
      <c r="M368">
        <v>2</v>
      </c>
      <c r="N368">
        <v>140</v>
      </c>
      <c r="O368" t="s">
        <v>25</v>
      </c>
      <c r="P368" t="s">
        <v>41</v>
      </c>
      <c r="Q368" s="10">
        <v>75</v>
      </c>
      <c r="R368" s="10">
        <v>18</v>
      </c>
      <c r="S368" s="10">
        <v>25</v>
      </c>
      <c r="T368" s="10">
        <v>78</v>
      </c>
      <c r="U368" s="10">
        <v>0</v>
      </c>
      <c r="V368" s="10">
        <v>11</v>
      </c>
      <c r="W368" s="10">
        <v>26</v>
      </c>
    </row>
    <row r="369" spans="1:23" ht="30.75">
      <c r="A369" s="2" t="s">
        <v>646</v>
      </c>
      <c r="B369" s="2" t="s">
        <v>647</v>
      </c>
      <c r="C369">
        <v>2</v>
      </c>
      <c r="D369" s="5">
        <v>44868</v>
      </c>
      <c r="E369">
        <v>1254</v>
      </c>
      <c r="F369">
        <v>6</v>
      </c>
      <c r="G369">
        <v>263453310</v>
      </c>
      <c r="H369" t="str">
        <f t="shared" si="5"/>
        <v>yes</v>
      </c>
      <c r="I369">
        <v>26</v>
      </c>
      <c r="J369">
        <v>69</v>
      </c>
      <c r="K369">
        <v>73</v>
      </c>
      <c r="L369">
        <v>2</v>
      </c>
      <c r="M369">
        <v>6</v>
      </c>
      <c r="N369">
        <v>158</v>
      </c>
      <c r="O369" t="s">
        <v>29</v>
      </c>
      <c r="P369" t="s">
        <v>26</v>
      </c>
      <c r="Q369" s="10">
        <v>65</v>
      </c>
      <c r="R369" s="10">
        <v>72</v>
      </c>
      <c r="S369" s="10">
        <v>95</v>
      </c>
      <c r="T369" s="10">
        <v>31</v>
      </c>
      <c r="U369" s="10">
        <v>0</v>
      </c>
      <c r="V369" s="10">
        <v>92</v>
      </c>
      <c r="W369" s="10">
        <v>5</v>
      </c>
    </row>
    <row r="370" spans="1:23">
      <c r="A370" s="2" t="s">
        <v>648</v>
      </c>
      <c r="B370" s="2" t="s">
        <v>649</v>
      </c>
      <c r="C370">
        <v>2</v>
      </c>
      <c r="D370" s="5">
        <v>43644</v>
      </c>
      <c r="E370">
        <v>6398</v>
      </c>
      <c r="F370">
        <v>31</v>
      </c>
      <c r="G370">
        <v>1435127549</v>
      </c>
      <c r="H370" t="str">
        <f t="shared" si="5"/>
        <v>yes</v>
      </c>
      <c r="I370">
        <v>177</v>
      </c>
      <c r="J370">
        <v>109</v>
      </c>
      <c r="K370">
        <v>305</v>
      </c>
      <c r="L370">
        <v>3</v>
      </c>
      <c r="M370">
        <v>5</v>
      </c>
      <c r="N370">
        <v>176</v>
      </c>
      <c r="O370" t="s">
        <v>72</v>
      </c>
      <c r="P370" t="s">
        <v>26</v>
      </c>
      <c r="Q370" s="10">
        <v>75</v>
      </c>
      <c r="R370" s="10">
        <v>43</v>
      </c>
      <c r="S370" s="10">
        <v>65</v>
      </c>
      <c r="T370" s="10">
        <v>15</v>
      </c>
      <c r="U370" s="10">
        <v>0</v>
      </c>
      <c r="V370" s="10">
        <v>11</v>
      </c>
      <c r="W370" s="10">
        <v>32</v>
      </c>
    </row>
    <row r="371" spans="1:23">
      <c r="A371" s="2" t="s">
        <v>650</v>
      </c>
      <c r="B371" s="2" t="s">
        <v>651</v>
      </c>
      <c r="C371">
        <v>2</v>
      </c>
      <c r="D371" s="5">
        <v>44854</v>
      </c>
      <c r="E371">
        <v>660</v>
      </c>
      <c r="F371">
        <v>15</v>
      </c>
      <c r="G371">
        <v>236857112</v>
      </c>
      <c r="H371" t="str">
        <f t="shared" si="5"/>
        <v>yes</v>
      </c>
      <c r="I371">
        <v>19</v>
      </c>
      <c r="J371">
        <v>59</v>
      </c>
      <c r="K371">
        <v>18</v>
      </c>
      <c r="L371">
        <v>5</v>
      </c>
      <c r="M371">
        <v>52</v>
      </c>
      <c r="N371">
        <v>98</v>
      </c>
      <c r="O371" t="s">
        <v>25</v>
      </c>
      <c r="P371" t="s">
        <v>26</v>
      </c>
      <c r="Q371" s="10">
        <v>73</v>
      </c>
      <c r="R371" s="10">
        <v>88</v>
      </c>
      <c r="S371" s="10">
        <v>57</v>
      </c>
      <c r="T371" s="10">
        <v>56</v>
      </c>
      <c r="U371" s="10">
        <v>0</v>
      </c>
      <c r="V371" s="10">
        <v>5</v>
      </c>
      <c r="W371" s="10">
        <v>2</v>
      </c>
    </row>
    <row r="372" spans="1:23">
      <c r="A372" s="2" t="s">
        <v>650</v>
      </c>
      <c r="B372" s="2" t="s">
        <v>652</v>
      </c>
      <c r="C372">
        <v>1</v>
      </c>
      <c r="D372" s="5">
        <v>44953</v>
      </c>
      <c r="E372">
        <v>1283</v>
      </c>
      <c r="F372">
        <v>0</v>
      </c>
      <c r="G372">
        <v>147538971</v>
      </c>
      <c r="H372" t="str">
        <f t="shared" si="5"/>
        <v>no</v>
      </c>
      <c r="I372">
        <v>57</v>
      </c>
      <c r="J372">
        <v>4</v>
      </c>
      <c r="K372">
        <v>48</v>
      </c>
      <c r="L372">
        <v>0</v>
      </c>
      <c r="M372">
        <v>0</v>
      </c>
      <c r="N372">
        <v>107</v>
      </c>
      <c r="O372" t="s">
        <v>25</v>
      </c>
      <c r="P372" t="s">
        <v>41</v>
      </c>
      <c r="Q372" s="10">
        <v>66</v>
      </c>
      <c r="R372" s="10">
        <v>47</v>
      </c>
      <c r="S372" s="10">
        <v>40</v>
      </c>
      <c r="T372" s="10">
        <v>72</v>
      </c>
      <c r="U372" s="10">
        <v>0</v>
      </c>
      <c r="V372" s="10">
        <v>11</v>
      </c>
      <c r="W372" s="10">
        <v>3</v>
      </c>
    </row>
    <row r="373" spans="1:23">
      <c r="A373" s="2" t="s">
        <v>650</v>
      </c>
      <c r="B373" s="2" t="s">
        <v>653</v>
      </c>
      <c r="C373">
        <v>1</v>
      </c>
      <c r="D373" s="5">
        <v>43880</v>
      </c>
      <c r="E373">
        <v>8084</v>
      </c>
      <c r="F373">
        <v>6</v>
      </c>
      <c r="G373">
        <v>698086140</v>
      </c>
      <c r="H373" t="str">
        <f t="shared" si="5"/>
        <v>yes</v>
      </c>
      <c r="I373">
        <v>45</v>
      </c>
      <c r="J373">
        <v>115</v>
      </c>
      <c r="K373">
        <v>218</v>
      </c>
      <c r="L373">
        <v>1</v>
      </c>
      <c r="M373">
        <v>221</v>
      </c>
      <c r="N373">
        <v>109</v>
      </c>
      <c r="O373" t="s">
        <v>32</v>
      </c>
      <c r="P373" t="s">
        <v>41</v>
      </c>
      <c r="Q373" s="10">
        <v>66</v>
      </c>
      <c r="R373" s="10">
        <v>16</v>
      </c>
      <c r="S373" s="10">
        <v>57</v>
      </c>
      <c r="T373" s="10">
        <v>10</v>
      </c>
      <c r="U373" s="10">
        <v>1</v>
      </c>
      <c r="V373" s="10">
        <v>12</v>
      </c>
      <c r="W373" s="10">
        <v>3</v>
      </c>
    </row>
    <row r="374" spans="1:23" ht="30.75">
      <c r="A374" s="2" t="s">
        <v>654</v>
      </c>
      <c r="B374" s="2" t="s">
        <v>655</v>
      </c>
      <c r="C374">
        <v>1</v>
      </c>
      <c r="D374" s="5">
        <v>44757</v>
      </c>
      <c r="E374">
        <v>2332</v>
      </c>
      <c r="F374">
        <v>2</v>
      </c>
      <c r="G374">
        <v>723894473</v>
      </c>
      <c r="H374" t="str">
        <f t="shared" si="5"/>
        <v>yes</v>
      </c>
      <c r="I374">
        <v>0</v>
      </c>
      <c r="J374">
        <v>0</v>
      </c>
      <c r="K374">
        <v>25</v>
      </c>
      <c r="L374">
        <v>0</v>
      </c>
      <c r="M374">
        <v>0</v>
      </c>
      <c r="N374">
        <v>109</v>
      </c>
      <c r="O374" t="s">
        <v>128</v>
      </c>
      <c r="P374" t="s">
        <v>41</v>
      </c>
      <c r="Q374" s="10">
        <v>84</v>
      </c>
      <c r="R374" s="10">
        <v>72</v>
      </c>
      <c r="S374" s="10">
        <v>74</v>
      </c>
      <c r="T374" s="10">
        <v>10</v>
      </c>
      <c r="U374" s="10">
        <v>0</v>
      </c>
      <c r="V374" s="10">
        <v>34</v>
      </c>
      <c r="W374" s="10">
        <v>7</v>
      </c>
    </row>
    <row r="375" spans="1:23" ht="45.75">
      <c r="A375" s="2" t="s">
        <v>656</v>
      </c>
      <c r="B375" s="2" t="s">
        <v>657</v>
      </c>
      <c r="C375">
        <v>1</v>
      </c>
      <c r="D375" s="5">
        <v>44988</v>
      </c>
      <c r="E375">
        <v>203</v>
      </c>
      <c r="F375">
        <v>0</v>
      </c>
      <c r="G375">
        <v>34450974</v>
      </c>
      <c r="H375" t="str">
        <f t="shared" si="5"/>
        <v>no</v>
      </c>
      <c r="I375">
        <v>5</v>
      </c>
      <c r="J375">
        <v>9</v>
      </c>
      <c r="K375">
        <v>0</v>
      </c>
      <c r="L375">
        <v>0</v>
      </c>
      <c r="M375">
        <v>0</v>
      </c>
      <c r="N375">
        <v>148</v>
      </c>
      <c r="P375" t="s">
        <v>26</v>
      </c>
      <c r="Q375" s="10">
        <v>53</v>
      </c>
      <c r="R375" s="10">
        <v>61</v>
      </c>
      <c r="S375" s="10">
        <v>81</v>
      </c>
      <c r="T375" s="10">
        <v>5</v>
      </c>
      <c r="U375" s="10">
        <v>0</v>
      </c>
      <c r="V375" s="10">
        <v>36</v>
      </c>
      <c r="W375" s="10">
        <v>4</v>
      </c>
    </row>
    <row r="376" spans="1:23" ht="30.75">
      <c r="A376" s="2" t="s">
        <v>658</v>
      </c>
      <c r="B376" s="2" t="s">
        <v>659</v>
      </c>
      <c r="C376">
        <v>1</v>
      </c>
      <c r="D376" s="5">
        <v>43971</v>
      </c>
      <c r="E376">
        <v>685</v>
      </c>
      <c r="F376">
        <v>14</v>
      </c>
      <c r="G376">
        <v>403097450</v>
      </c>
      <c r="H376" t="str">
        <f t="shared" si="5"/>
        <v>yes</v>
      </c>
      <c r="I376">
        <v>24</v>
      </c>
      <c r="J376">
        <v>94</v>
      </c>
      <c r="K376">
        <v>9</v>
      </c>
      <c r="L376">
        <v>0</v>
      </c>
      <c r="M376">
        <v>23</v>
      </c>
      <c r="N376">
        <v>158</v>
      </c>
      <c r="O376" t="s">
        <v>53</v>
      </c>
      <c r="P376" t="s">
        <v>41</v>
      </c>
      <c r="Q376" s="10">
        <v>60</v>
      </c>
      <c r="R376" s="10">
        <v>52</v>
      </c>
      <c r="S376" s="10">
        <v>76</v>
      </c>
      <c r="T376" s="10">
        <v>17</v>
      </c>
      <c r="U376" s="10">
        <v>0</v>
      </c>
      <c r="V376" s="10">
        <v>19</v>
      </c>
      <c r="W376" s="10">
        <v>5</v>
      </c>
    </row>
    <row r="377" spans="1:23">
      <c r="A377" s="2" t="s">
        <v>658</v>
      </c>
      <c r="B377" s="2" t="s">
        <v>660</v>
      </c>
      <c r="C377">
        <v>2</v>
      </c>
      <c r="D377" s="5">
        <v>44833</v>
      </c>
      <c r="E377">
        <v>2460</v>
      </c>
      <c r="F377">
        <v>13</v>
      </c>
      <c r="G377">
        <v>309483971</v>
      </c>
      <c r="H377" t="str">
        <f t="shared" si="5"/>
        <v>yes</v>
      </c>
      <c r="I377">
        <v>53</v>
      </c>
      <c r="J377">
        <v>7</v>
      </c>
      <c r="K377">
        <v>56</v>
      </c>
      <c r="L377">
        <v>3</v>
      </c>
      <c r="M377">
        <v>1</v>
      </c>
      <c r="N377">
        <v>94</v>
      </c>
      <c r="O377" t="s">
        <v>32</v>
      </c>
      <c r="P377" t="s">
        <v>41</v>
      </c>
      <c r="Q377" s="10">
        <v>74</v>
      </c>
      <c r="R377" s="10">
        <v>64</v>
      </c>
      <c r="S377" s="10">
        <v>73</v>
      </c>
      <c r="T377" s="10">
        <v>6</v>
      </c>
      <c r="U377" s="10">
        <v>0</v>
      </c>
      <c r="V377" s="10">
        <v>10</v>
      </c>
      <c r="W377" s="10">
        <v>6</v>
      </c>
    </row>
    <row r="378" spans="1:23" ht="30.75">
      <c r="A378" s="2" t="s">
        <v>661</v>
      </c>
      <c r="B378" s="2" t="s">
        <v>662</v>
      </c>
      <c r="C378">
        <v>1</v>
      </c>
      <c r="D378" s="5">
        <v>44846</v>
      </c>
      <c r="E378">
        <v>288</v>
      </c>
      <c r="F378">
        <v>6</v>
      </c>
      <c r="G378">
        <v>319566866</v>
      </c>
      <c r="H378" t="str">
        <f t="shared" si="5"/>
        <v>yes</v>
      </c>
      <c r="I378">
        <v>11</v>
      </c>
      <c r="J378">
        <v>80</v>
      </c>
      <c r="K378">
        <v>1</v>
      </c>
      <c r="L378">
        <v>0</v>
      </c>
      <c r="M378">
        <v>8</v>
      </c>
      <c r="N378">
        <v>96</v>
      </c>
      <c r="O378" t="s">
        <v>53</v>
      </c>
      <c r="P378" t="s">
        <v>41</v>
      </c>
      <c r="Q378" s="10">
        <v>70</v>
      </c>
      <c r="R378" s="10">
        <v>40</v>
      </c>
      <c r="S378" s="10">
        <v>51</v>
      </c>
      <c r="T378" s="10">
        <v>35</v>
      </c>
      <c r="U378" s="10">
        <v>0</v>
      </c>
      <c r="V378" s="10">
        <v>10</v>
      </c>
      <c r="W378" s="10">
        <v>4</v>
      </c>
    </row>
    <row r="379" spans="1:23" ht="30.75">
      <c r="A379" s="2" t="s">
        <v>663</v>
      </c>
      <c r="B379" s="2" t="s">
        <v>664</v>
      </c>
      <c r="C379">
        <v>1</v>
      </c>
      <c r="D379" s="5">
        <v>44687</v>
      </c>
      <c r="E379">
        <v>4572</v>
      </c>
      <c r="F379">
        <v>33</v>
      </c>
      <c r="G379">
        <v>909001996</v>
      </c>
      <c r="H379" t="str">
        <f t="shared" si="5"/>
        <v>yes</v>
      </c>
      <c r="I379">
        <v>74</v>
      </c>
      <c r="J379">
        <v>113</v>
      </c>
      <c r="K379">
        <v>85</v>
      </c>
      <c r="L379">
        <v>9</v>
      </c>
      <c r="M379">
        <v>2</v>
      </c>
      <c r="N379">
        <v>100</v>
      </c>
      <c r="O379" t="s">
        <v>32</v>
      </c>
      <c r="P379" t="s">
        <v>41</v>
      </c>
      <c r="Q379" s="10">
        <v>80</v>
      </c>
      <c r="R379" s="10">
        <v>29</v>
      </c>
      <c r="S379" s="10">
        <v>67</v>
      </c>
      <c r="T379" s="10">
        <v>29</v>
      </c>
      <c r="U379" s="10">
        <v>0</v>
      </c>
      <c r="V379" s="10">
        <v>12</v>
      </c>
      <c r="W379" s="10">
        <v>3</v>
      </c>
    </row>
    <row r="380" spans="1:23" ht="45.75">
      <c r="A380" s="2" t="s">
        <v>665</v>
      </c>
      <c r="B380" s="2" t="s">
        <v>666</v>
      </c>
      <c r="C380">
        <v>2</v>
      </c>
      <c r="D380" s="5">
        <v>44463</v>
      </c>
      <c r="E380">
        <v>6127</v>
      </c>
      <c r="F380">
        <v>13</v>
      </c>
      <c r="G380">
        <v>1061966512</v>
      </c>
      <c r="H380" t="str">
        <f t="shared" si="5"/>
        <v>yes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105</v>
      </c>
      <c r="O380" t="s">
        <v>37</v>
      </c>
      <c r="P380" t="s">
        <v>26</v>
      </c>
      <c r="Q380" s="10">
        <v>58</v>
      </c>
      <c r="R380" s="10">
        <v>42</v>
      </c>
      <c r="S380" s="10">
        <v>68</v>
      </c>
      <c r="T380" s="10">
        <v>1</v>
      </c>
      <c r="U380" s="10">
        <v>0</v>
      </c>
      <c r="V380" s="10">
        <v>14</v>
      </c>
      <c r="W380" s="10">
        <v>4</v>
      </c>
    </row>
    <row r="381" spans="1:23" ht="45.75">
      <c r="A381" s="2" t="s">
        <v>665</v>
      </c>
      <c r="B381" s="2" t="s">
        <v>667</v>
      </c>
      <c r="C381">
        <v>1</v>
      </c>
      <c r="D381" s="5">
        <v>44988</v>
      </c>
      <c r="E381">
        <v>166</v>
      </c>
      <c r="F381">
        <v>0</v>
      </c>
      <c r="G381">
        <v>32526947</v>
      </c>
      <c r="H381" t="str">
        <f t="shared" si="5"/>
        <v>no</v>
      </c>
      <c r="I381">
        <v>2</v>
      </c>
      <c r="J381">
        <v>10</v>
      </c>
      <c r="K381">
        <v>0</v>
      </c>
      <c r="L381">
        <v>0</v>
      </c>
      <c r="M381">
        <v>0</v>
      </c>
      <c r="N381">
        <v>125</v>
      </c>
      <c r="P381" t="s">
        <v>26</v>
      </c>
      <c r="Q381" s="10">
        <v>53</v>
      </c>
      <c r="R381" s="10">
        <v>32</v>
      </c>
      <c r="S381" s="10">
        <v>66</v>
      </c>
      <c r="T381" s="10">
        <v>38</v>
      </c>
      <c r="U381" s="10">
        <v>0</v>
      </c>
      <c r="V381" s="10">
        <v>9</v>
      </c>
      <c r="W381" s="10">
        <v>3</v>
      </c>
    </row>
    <row r="382" spans="1:23">
      <c r="A382" s="2" t="s">
        <v>668</v>
      </c>
      <c r="B382" s="2" t="s">
        <v>669</v>
      </c>
      <c r="C382">
        <v>1</v>
      </c>
      <c r="D382" s="5">
        <v>44953</v>
      </c>
      <c r="E382">
        <v>1838</v>
      </c>
      <c r="F382">
        <v>0</v>
      </c>
      <c r="G382">
        <v>124988687</v>
      </c>
      <c r="H382" t="str">
        <f t="shared" si="5"/>
        <v>no</v>
      </c>
      <c r="I382">
        <v>105</v>
      </c>
      <c r="J382">
        <v>41</v>
      </c>
      <c r="K382">
        <v>114</v>
      </c>
      <c r="L382">
        <v>1</v>
      </c>
      <c r="M382">
        <v>59</v>
      </c>
      <c r="N382">
        <v>170</v>
      </c>
      <c r="O382" t="s">
        <v>53</v>
      </c>
      <c r="P382" t="s">
        <v>41</v>
      </c>
      <c r="Q382" s="10">
        <v>56</v>
      </c>
      <c r="R382" s="10">
        <v>56</v>
      </c>
      <c r="S382" s="10">
        <v>63</v>
      </c>
      <c r="T382" s="10">
        <v>13</v>
      </c>
      <c r="U382" s="10">
        <v>0</v>
      </c>
      <c r="V382" s="10">
        <v>19</v>
      </c>
      <c r="W382" s="10">
        <v>27</v>
      </c>
    </row>
    <row r="383" spans="1:23" ht="45.75">
      <c r="A383" s="2" t="s">
        <v>670</v>
      </c>
      <c r="B383" s="2" t="s">
        <v>671</v>
      </c>
      <c r="C383">
        <v>3</v>
      </c>
      <c r="D383" s="5">
        <v>44953</v>
      </c>
      <c r="E383">
        <v>1890</v>
      </c>
      <c r="F383">
        <v>0</v>
      </c>
      <c r="G383">
        <v>103787664</v>
      </c>
      <c r="H383" t="str">
        <f t="shared" si="5"/>
        <v>no</v>
      </c>
      <c r="I383">
        <v>86</v>
      </c>
      <c r="J383">
        <v>1</v>
      </c>
      <c r="K383">
        <v>49</v>
      </c>
      <c r="L383">
        <v>0</v>
      </c>
      <c r="M383">
        <v>9</v>
      </c>
      <c r="N383">
        <v>115</v>
      </c>
      <c r="P383" t="s">
        <v>26</v>
      </c>
      <c r="Q383" s="10">
        <v>70</v>
      </c>
      <c r="R383" s="10">
        <v>84</v>
      </c>
      <c r="S383" s="10">
        <v>90</v>
      </c>
      <c r="T383" s="10">
        <v>17</v>
      </c>
      <c r="U383" s="10">
        <v>0</v>
      </c>
      <c r="V383" s="10">
        <v>41</v>
      </c>
      <c r="W383" s="10">
        <v>6</v>
      </c>
    </row>
    <row r="384" spans="1:23">
      <c r="A384" s="2" t="s">
        <v>672</v>
      </c>
      <c r="B384" s="2" t="s">
        <v>673</v>
      </c>
      <c r="C384">
        <v>1</v>
      </c>
      <c r="D384" s="5">
        <v>44953</v>
      </c>
      <c r="E384">
        <v>2098</v>
      </c>
      <c r="F384">
        <v>16</v>
      </c>
      <c r="G384">
        <v>134255790</v>
      </c>
      <c r="H384" t="str">
        <f t="shared" si="5"/>
        <v>no</v>
      </c>
      <c r="I384">
        <v>88</v>
      </c>
      <c r="J384">
        <v>24</v>
      </c>
      <c r="K384">
        <v>101</v>
      </c>
      <c r="L384">
        <v>7</v>
      </c>
      <c r="M384">
        <v>451</v>
      </c>
      <c r="N384">
        <v>122</v>
      </c>
      <c r="O384" t="s">
        <v>63</v>
      </c>
      <c r="P384" t="s">
        <v>26</v>
      </c>
      <c r="Q384" s="10">
        <v>64</v>
      </c>
      <c r="R384" s="10">
        <v>25</v>
      </c>
      <c r="S384" s="10">
        <v>89</v>
      </c>
      <c r="T384" s="10">
        <v>0</v>
      </c>
      <c r="U384" s="10">
        <v>0</v>
      </c>
      <c r="V384" s="10">
        <v>15</v>
      </c>
      <c r="W384" s="10">
        <v>9</v>
      </c>
    </row>
    <row r="385" spans="1:23">
      <c r="A385" s="2" t="s">
        <v>674</v>
      </c>
      <c r="B385" s="2" t="s">
        <v>675</v>
      </c>
      <c r="C385">
        <v>1</v>
      </c>
      <c r="D385" s="5">
        <v>44851</v>
      </c>
      <c r="E385">
        <v>761</v>
      </c>
      <c r="F385">
        <v>12</v>
      </c>
      <c r="G385">
        <v>301051721</v>
      </c>
      <c r="H385" t="str">
        <f t="shared" si="5"/>
        <v>yes</v>
      </c>
      <c r="I385">
        <v>23</v>
      </c>
      <c r="J385">
        <v>95</v>
      </c>
      <c r="K385">
        <v>11</v>
      </c>
      <c r="L385">
        <v>0</v>
      </c>
      <c r="M385">
        <v>3</v>
      </c>
      <c r="N385">
        <v>105</v>
      </c>
      <c r="O385" t="s">
        <v>128</v>
      </c>
      <c r="P385" t="s">
        <v>41</v>
      </c>
      <c r="Q385" s="10">
        <v>88</v>
      </c>
      <c r="R385" s="10">
        <v>82</v>
      </c>
      <c r="S385" s="10">
        <v>80</v>
      </c>
      <c r="T385" s="10">
        <v>8</v>
      </c>
      <c r="U385" s="10">
        <v>0</v>
      </c>
      <c r="V385" s="10">
        <v>11</v>
      </c>
      <c r="W385" s="10">
        <v>8</v>
      </c>
    </row>
    <row r="386" spans="1:23">
      <c r="A386" s="2" t="s">
        <v>676</v>
      </c>
      <c r="B386" s="2" t="s">
        <v>677</v>
      </c>
      <c r="C386">
        <v>1</v>
      </c>
      <c r="D386" s="5">
        <v>44895</v>
      </c>
      <c r="E386">
        <v>1225</v>
      </c>
      <c r="F386">
        <v>0</v>
      </c>
      <c r="G386">
        <v>156338624</v>
      </c>
      <c r="H386" t="str">
        <f t="shared" ref="H386:H449" si="6">IF(G386&gt;$Z$2,$Z$4,$Z$5)</f>
        <v>no</v>
      </c>
      <c r="I386">
        <v>27</v>
      </c>
      <c r="J386">
        <v>0</v>
      </c>
      <c r="K386">
        <v>28</v>
      </c>
      <c r="L386">
        <v>13</v>
      </c>
      <c r="M386">
        <v>0</v>
      </c>
      <c r="N386">
        <v>133</v>
      </c>
      <c r="O386" t="s">
        <v>32</v>
      </c>
      <c r="P386" t="s">
        <v>26</v>
      </c>
      <c r="Q386" s="10">
        <v>66</v>
      </c>
      <c r="R386" s="10">
        <v>74</v>
      </c>
      <c r="S386" s="10">
        <v>84</v>
      </c>
      <c r="T386" s="10">
        <v>25</v>
      </c>
      <c r="U386" s="10">
        <v>0</v>
      </c>
      <c r="V386" s="10">
        <v>21</v>
      </c>
      <c r="W386" s="10">
        <v>4</v>
      </c>
    </row>
    <row r="387" spans="1:23" ht="30.75">
      <c r="A387" s="2" t="s">
        <v>678</v>
      </c>
      <c r="B387" s="2" t="s">
        <v>679</v>
      </c>
      <c r="C387">
        <v>2</v>
      </c>
      <c r="D387" s="5">
        <v>44939</v>
      </c>
      <c r="E387">
        <v>415</v>
      </c>
      <c r="F387">
        <v>2</v>
      </c>
      <c r="G387">
        <v>152850295</v>
      </c>
      <c r="H387" t="str">
        <f t="shared" si="6"/>
        <v>no</v>
      </c>
      <c r="I387">
        <v>15</v>
      </c>
      <c r="J387">
        <v>40</v>
      </c>
      <c r="K387">
        <v>21</v>
      </c>
      <c r="L387">
        <v>1</v>
      </c>
      <c r="M387">
        <v>15</v>
      </c>
      <c r="N387">
        <v>100</v>
      </c>
      <c r="P387" t="s">
        <v>26</v>
      </c>
      <c r="Q387" s="10">
        <v>79</v>
      </c>
      <c r="R387" s="10">
        <v>60</v>
      </c>
      <c r="S387" s="10">
        <v>68</v>
      </c>
      <c r="T387" s="10">
        <v>7</v>
      </c>
      <c r="U387" s="10">
        <v>0</v>
      </c>
      <c r="V387" s="10">
        <v>26</v>
      </c>
      <c r="W387" s="10">
        <v>4</v>
      </c>
    </row>
    <row r="388" spans="1:23">
      <c r="A388" s="2" t="s">
        <v>680</v>
      </c>
      <c r="B388" s="2" t="s">
        <v>681</v>
      </c>
      <c r="C388">
        <v>1</v>
      </c>
      <c r="D388" s="5">
        <v>44862</v>
      </c>
      <c r="E388">
        <v>3469</v>
      </c>
      <c r="F388">
        <v>0</v>
      </c>
      <c r="G388">
        <v>309653982</v>
      </c>
      <c r="H388" t="str">
        <f t="shared" si="6"/>
        <v>yes</v>
      </c>
      <c r="I388">
        <v>71</v>
      </c>
      <c r="J388">
        <v>95</v>
      </c>
      <c r="K388">
        <v>31</v>
      </c>
      <c r="L388">
        <v>0</v>
      </c>
      <c r="M388">
        <v>2</v>
      </c>
      <c r="N388">
        <v>120</v>
      </c>
      <c r="O388" t="s">
        <v>196</v>
      </c>
      <c r="P388" t="s">
        <v>41</v>
      </c>
      <c r="Q388" s="10">
        <v>82</v>
      </c>
      <c r="R388" s="10">
        <v>55</v>
      </c>
      <c r="S388" s="10">
        <v>45</v>
      </c>
      <c r="T388" s="10">
        <v>15</v>
      </c>
      <c r="U388" s="10">
        <v>3</v>
      </c>
      <c r="V388" s="10">
        <v>9</v>
      </c>
      <c r="W388" s="10">
        <v>10</v>
      </c>
    </row>
    <row r="389" spans="1:23" ht="121.5">
      <c r="A389" s="2" t="s">
        <v>680</v>
      </c>
      <c r="B389" s="2" t="s">
        <v>682</v>
      </c>
      <c r="C389">
        <v>1</v>
      </c>
      <c r="D389" s="5">
        <v>44862</v>
      </c>
      <c r="E389">
        <v>3311</v>
      </c>
      <c r="F389">
        <v>0</v>
      </c>
      <c r="G389">
        <v>297328960</v>
      </c>
      <c r="H389" t="str">
        <f t="shared" si="6"/>
        <v>yes</v>
      </c>
      <c r="I389">
        <v>129</v>
      </c>
      <c r="J389">
        <v>31</v>
      </c>
      <c r="K389">
        <v>212</v>
      </c>
      <c r="L389">
        <v>1</v>
      </c>
      <c r="M389">
        <v>41</v>
      </c>
      <c r="N389">
        <v>177</v>
      </c>
      <c r="O389" t="s">
        <v>37</v>
      </c>
      <c r="P389" t="s">
        <v>26</v>
      </c>
      <c r="Q389" s="10">
        <v>25</v>
      </c>
      <c r="R389" s="10">
        <v>17</v>
      </c>
      <c r="S389" s="10">
        <v>30</v>
      </c>
      <c r="T389" s="10">
        <v>90</v>
      </c>
      <c r="U389" s="10">
        <v>0</v>
      </c>
      <c r="V389" s="10">
        <v>13</v>
      </c>
      <c r="W389" s="10">
        <v>3</v>
      </c>
    </row>
    <row r="390" spans="1:23" ht="76.5">
      <c r="A390" s="2" t="s">
        <v>680</v>
      </c>
      <c r="B390" s="2" t="s">
        <v>683</v>
      </c>
      <c r="C390">
        <v>1</v>
      </c>
      <c r="D390" s="5">
        <v>44826</v>
      </c>
      <c r="E390">
        <v>2616</v>
      </c>
      <c r="F390">
        <v>0</v>
      </c>
      <c r="G390">
        <v>332506354</v>
      </c>
      <c r="H390" t="str">
        <f t="shared" si="6"/>
        <v>yes</v>
      </c>
      <c r="I390">
        <v>113</v>
      </c>
      <c r="J390">
        <v>17</v>
      </c>
      <c r="K390">
        <v>208</v>
      </c>
      <c r="L390">
        <v>0</v>
      </c>
      <c r="M390">
        <v>192</v>
      </c>
      <c r="N390">
        <v>142</v>
      </c>
      <c r="O390" t="s">
        <v>51</v>
      </c>
      <c r="P390" t="s">
        <v>41</v>
      </c>
      <c r="Q390" s="10">
        <v>64</v>
      </c>
      <c r="R390" s="10">
        <v>31</v>
      </c>
      <c r="S390" s="10">
        <v>72</v>
      </c>
      <c r="T390" s="10">
        <v>15</v>
      </c>
      <c r="U390" s="10">
        <v>0</v>
      </c>
      <c r="V390" s="10">
        <v>9</v>
      </c>
      <c r="W390" s="10">
        <v>5</v>
      </c>
    </row>
    <row r="391" spans="1:23" ht="30.75">
      <c r="A391" s="2" t="s">
        <v>684</v>
      </c>
      <c r="B391" s="2" t="s">
        <v>685</v>
      </c>
      <c r="C391">
        <v>1</v>
      </c>
      <c r="D391" s="5">
        <v>42678</v>
      </c>
      <c r="E391">
        <v>3006</v>
      </c>
      <c r="F391">
        <v>16</v>
      </c>
      <c r="G391">
        <v>480507035</v>
      </c>
      <c r="H391" t="str">
        <f t="shared" si="6"/>
        <v>yes</v>
      </c>
      <c r="I391">
        <v>47</v>
      </c>
      <c r="J391">
        <v>60</v>
      </c>
      <c r="K391">
        <v>87</v>
      </c>
      <c r="L391">
        <v>12</v>
      </c>
      <c r="M391">
        <v>124</v>
      </c>
      <c r="N391">
        <v>144</v>
      </c>
      <c r="O391" t="s">
        <v>98</v>
      </c>
      <c r="P391" t="s">
        <v>41</v>
      </c>
      <c r="Q391" s="10">
        <v>57</v>
      </c>
      <c r="R391" s="10">
        <v>47</v>
      </c>
      <c r="S391" s="10">
        <v>84</v>
      </c>
      <c r="T391" s="10">
        <v>1</v>
      </c>
      <c r="U391" s="10">
        <v>1</v>
      </c>
      <c r="V391" s="10">
        <v>52</v>
      </c>
      <c r="W391" s="10">
        <v>4</v>
      </c>
    </row>
    <row r="392" spans="1:23" ht="30.75">
      <c r="A392" s="2" t="s">
        <v>686</v>
      </c>
      <c r="B392" s="2" t="s">
        <v>687</v>
      </c>
      <c r="C392">
        <v>2</v>
      </c>
      <c r="D392" s="5">
        <v>43567</v>
      </c>
      <c r="E392">
        <v>4260</v>
      </c>
      <c r="F392">
        <v>0</v>
      </c>
      <c r="G392">
        <v>1065580332</v>
      </c>
      <c r="H392" t="str">
        <f t="shared" si="6"/>
        <v>yes</v>
      </c>
      <c r="I392">
        <v>113</v>
      </c>
      <c r="J392">
        <v>92</v>
      </c>
      <c r="K392">
        <v>259</v>
      </c>
      <c r="L392">
        <v>0</v>
      </c>
      <c r="M392">
        <v>1</v>
      </c>
      <c r="N392">
        <v>120</v>
      </c>
      <c r="O392" t="s">
        <v>25</v>
      </c>
      <c r="P392" t="s">
        <v>41</v>
      </c>
      <c r="Q392" s="10">
        <v>65</v>
      </c>
      <c r="R392" s="10">
        <v>80</v>
      </c>
      <c r="S392" s="10">
        <v>86</v>
      </c>
      <c r="T392" s="10">
        <v>9</v>
      </c>
      <c r="U392" s="10">
        <v>0</v>
      </c>
      <c r="V392" s="10">
        <v>19</v>
      </c>
      <c r="W392" s="10">
        <v>10</v>
      </c>
    </row>
    <row r="393" spans="1:23">
      <c r="A393" s="2" t="s">
        <v>688</v>
      </c>
      <c r="B393" s="2" t="s">
        <v>689</v>
      </c>
      <c r="C393">
        <v>1</v>
      </c>
      <c r="D393" s="5">
        <v>42640</v>
      </c>
      <c r="E393">
        <v>482</v>
      </c>
      <c r="F393">
        <v>0</v>
      </c>
      <c r="G393">
        <v>122763672</v>
      </c>
      <c r="H393" t="str">
        <f t="shared" si="6"/>
        <v>no</v>
      </c>
      <c r="I393">
        <v>9</v>
      </c>
      <c r="J393">
        <v>1</v>
      </c>
      <c r="K393">
        <v>12</v>
      </c>
      <c r="L393">
        <v>4</v>
      </c>
      <c r="M393">
        <v>3</v>
      </c>
      <c r="N393">
        <v>135</v>
      </c>
      <c r="O393" t="s">
        <v>51</v>
      </c>
      <c r="P393" t="s">
        <v>26</v>
      </c>
      <c r="Q393" s="10">
        <v>92</v>
      </c>
      <c r="R393" s="10">
        <v>73</v>
      </c>
      <c r="S393" s="10">
        <v>51</v>
      </c>
      <c r="T393" s="10">
        <v>55</v>
      </c>
      <c r="U393" s="10">
        <v>0</v>
      </c>
      <c r="V393" s="10">
        <v>15</v>
      </c>
      <c r="W393" s="10">
        <v>6</v>
      </c>
    </row>
    <row r="394" spans="1:23">
      <c r="A394" s="2" t="s">
        <v>690</v>
      </c>
      <c r="B394" s="2" t="s">
        <v>691</v>
      </c>
      <c r="C394">
        <v>1</v>
      </c>
      <c r="D394" s="5">
        <v>44601</v>
      </c>
      <c r="E394">
        <v>4013</v>
      </c>
      <c r="F394">
        <v>10</v>
      </c>
      <c r="G394">
        <v>445763624</v>
      </c>
      <c r="H394" t="str">
        <f t="shared" si="6"/>
        <v>yes</v>
      </c>
      <c r="I394">
        <v>107</v>
      </c>
      <c r="J394">
        <v>44</v>
      </c>
      <c r="K394">
        <v>750</v>
      </c>
      <c r="L394">
        <v>22</v>
      </c>
      <c r="N394">
        <v>107</v>
      </c>
      <c r="O394" t="s">
        <v>25</v>
      </c>
      <c r="P394" t="s">
        <v>26</v>
      </c>
      <c r="Q394" s="10">
        <v>81</v>
      </c>
      <c r="R394" s="10">
        <v>82</v>
      </c>
      <c r="S394" s="10">
        <v>78</v>
      </c>
      <c r="T394" s="10">
        <v>38</v>
      </c>
      <c r="U394" s="10">
        <v>0</v>
      </c>
      <c r="V394" s="10">
        <v>12</v>
      </c>
      <c r="W394" s="10">
        <v>4</v>
      </c>
    </row>
    <row r="395" spans="1:23" ht="30.75">
      <c r="A395" s="2" t="s">
        <v>692</v>
      </c>
      <c r="B395" s="2" t="s">
        <v>693</v>
      </c>
      <c r="C395">
        <v>6</v>
      </c>
      <c r="D395" s="5">
        <v>44917</v>
      </c>
      <c r="E395">
        <v>138</v>
      </c>
      <c r="F395">
        <v>4</v>
      </c>
      <c r="G395">
        <v>1365184</v>
      </c>
      <c r="H395" t="str">
        <f t="shared" si="6"/>
        <v>no</v>
      </c>
      <c r="I395">
        <v>13</v>
      </c>
      <c r="J395">
        <v>78</v>
      </c>
      <c r="K395">
        <v>2</v>
      </c>
      <c r="L395">
        <v>0</v>
      </c>
      <c r="M395">
        <v>0</v>
      </c>
      <c r="N395">
        <v>105</v>
      </c>
      <c r="O395" t="s">
        <v>72</v>
      </c>
      <c r="P395" t="s">
        <v>26</v>
      </c>
      <c r="Q395" s="10">
        <v>82</v>
      </c>
      <c r="R395" s="10">
        <v>62</v>
      </c>
      <c r="S395" s="10">
        <v>74</v>
      </c>
      <c r="T395" s="10">
        <v>10</v>
      </c>
      <c r="U395" s="10">
        <v>0</v>
      </c>
      <c r="V395" s="10">
        <v>33</v>
      </c>
      <c r="W395" s="10">
        <v>7</v>
      </c>
    </row>
    <row r="396" spans="1:23" ht="91.5">
      <c r="A396" s="2" t="s">
        <v>694</v>
      </c>
      <c r="B396" s="2" t="s">
        <v>695</v>
      </c>
      <c r="C396">
        <v>2</v>
      </c>
      <c r="D396" s="5">
        <v>44890</v>
      </c>
      <c r="E396">
        <v>1368</v>
      </c>
      <c r="F396">
        <v>0</v>
      </c>
      <c r="G396">
        <v>184308753</v>
      </c>
      <c r="H396" t="str">
        <f t="shared" si="6"/>
        <v>no</v>
      </c>
      <c r="I396">
        <v>12</v>
      </c>
      <c r="J396">
        <v>1</v>
      </c>
      <c r="K396">
        <v>11</v>
      </c>
      <c r="L396">
        <v>0</v>
      </c>
      <c r="M396">
        <v>8</v>
      </c>
      <c r="N396">
        <v>108</v>
      </c>
      <c r="O396" t="s">
        <v>53</v>
      </c>
      <c r="P396" t="s">
        <v>41</v>
      </c>
      <c r="Q396" s="10">
        <v>44</v>
      </c>
      <c r="R396" s="10">
        <v>38</v>
      </c>
      <c r="S396" s="10">
        <v>77</v>
      </c>
      <c r="T396" s="10">
        <v>9</v>
      </c>
      <c r="U396" s="10">
        <v>0</v>
      </c>
      <c r="V396" s="10">
        <v>9</v>
      </c>
      <c r="W396" s="10">
        <v>20</v>
      </c>
    </row>
    <row r="397" spans="1:23">
      <c r="A397" s="2" t="s">
        <v>696</v>
      </c>
      <c r="B397" s="2" t="s">
        <v>697</v>
      </c>
      <c r="C397">
        <v>1</v>
      </c>
      <c r="D397" s="5">
        <v>42005</v>
      </c>
      <c r="E397">
        <v>17852</v>
      </c>
      <c r="F397">
        <v>4</v>
      </c>
      <c r="G397">
        <v>789753877</v>
      </c>
      <c r="H397" t="str">
        <f t="shared" si="6"/>
        <v>yes</v>
      </c>
      <c r="I397">
        <v>69</v>
      </c>
      <c r="J397">
        <v>76</v>
      </c>
      <c r="K397">
        <v>335</v>
      </c>
      <c r="L397">
        <v>0</v>
      </c>
      <c r="N397">
        <v>147</v>
      </c>
      <c r="P397" t="s">
        <v>41</v>
      </c>
      <c r="Q397" s="10">
        <v>51</v>
      </c>
      <c r="R397" s="10">
        <v>62</v>
      </c>
      <c r="S397" s="10">
        <v>79</v>
      </c>
      <c r="T397" s="10">
        <v>22</v>
      </c>
      <c r="U397" s="10">
        <v>13</v>
      </c>
      <c r="V397" s="10">
        <v>14</v>
      </c>
      <c r="W397" s="10">
        <v>3</v>
      </c>
    </row>
    <row r="398" spans="1:23" ht="91.5">
      <c r="A398" s="2" t="s">
        <v>696</v>
      </c>
      <c r="B398" s="2" t="s">
        <v>698</v>
      </c>
      <c r="C398">
        <v>3</v>
      </c>
      <c r="D398" s="5">
        <v>44885</v>
      </c>
      <c r="E398">
        <v>889</v>
      </c>
      <c r="F398">
        <v>20</v>
      </c>
      <c r="G398">
        <v>323358833</v>
      </c>
      <c r="H398" t="str">
        <f t="shared" si="6"/>
        <v>yes</v>
      </c>
      <c r="I398">
        <v>11</v>
      </c>
      <c r="J398">
        <v>78</v>
      </c>
      <c r="K398">
        <v>35</v>
      </c>
      <c r="L398">
        <v>0</v>
      </c>
      <c r="M398">
        <v>21</v>
      </c>
      <c r="N398">
        <v>115</v>
      </c>
      <c r="P398" t="s">
        <v>26</v>
      </c>
      <c r="Q398" s="10">
        <v>71</v>
      </c>
      <c r="R398" s="10">
        <v>34</v>
      </c>
      <c r="S398" s="10">
        <v>88</v>
      </c>
      <c r="T398" s="10">
        <v>16</v>
      </c>
      <c r="U398" s="10">
        <v>0</v>
      </c>
      <c r="V398" s="10">
        <v>44</v>
      </c>
      <c r="W398" s="10">
        <v>4</v>
      </c>
    </row>
    <row r="399" spans="1:23">
      <c r="A399" s="2" t="s">
        <v>696</v>
      </c>
      <c r="B399" s="2" t="s">
        <v>699</v>
      </c>
      <c r="C399">
        <v>2</v>
      </c>
      <c r="D399" s="5">
        <v>44672</v>
      </c>
      <c r="E399">
        <v>4796</v>
      </c>
      <c r="F399">
        <v>9</v>
      </c>
      <c r="G399">
        <v>606361689</v>
      </c>
      <c r="H399" t="str">
        <f t="shared" si="6"/>
        <v>yes</v>
      </c>
      <c r="I399">
        <v>124</v>
      </c>
      <c r="J399">
        <v>66</v>
      </c>
      <c r="K399">
        <v>212</v>
      </c>
      <c r="L399">
        <v>13</v>
      </c>
      <c r="M399">
        <v>1</v>
      </c>
      <c r="N399">
        <v>174</v>
      </c>
      <c r="O399" t="s">
        <v>32</v>
      </c>
      <c r="P399" t="s">
        <v>26</v>
      </c>
      <c r="Q399" s="10">
        <v>70</v>
      </c>
      <c r="R399" s="10">
        <v>57</v>
      </c>
      <c r="S399" s="10">
        <v>64</v>
      </c>
      <c r="T399" s="10">
        <v>23</v>
      </c>
      <c r="U399" s="10">
        <v>0</v>
      </c>
      <c r="V399" s="10">
        <v>8</v>
      </c>
      <c r="W399" s="10">
        <v>32</v>
      </c>
    </row>
    <row r="400" spans="1:23" ht="137.25">
      <c r="A400" s="2" t="s">
        <v>700</v>
      </c>
      <c r="B400" s="2" t="s">
        <v>701</v>
      </c>
      <c r="C400">
        <v>3</v>
      </c>
      <c r="D400" s="5">
        <v>44938</v>
      </c>
      <c r="E400">
        <v>658</v>
      </c>
      <c r="F400">
        <v>6</v>
      </c>
      <c r="G400">
        <v>120972253</v>
      </c>
      <c r="H400" t="str">
        <f t="shared" si="6"/>
        <v>no</v>
      </c>
      <c r="I400">
        <v>33</v>
      </c>
      <c r="J400">
        <v>7</v>
      </c>
      <c r="K400">
        <v>53</v>
      </c>
      <c r="L400">
        <v>2</v>
      </c>
      <c r="M400">
        <v>0</v>
      </c>
      <c r="N400">
        <v>90</v>
      </c>
      <c r="O400" t="s">
        <v>128</v>
      </c>
      <c r="P400" t="s">
        <v>41</v>
      </c>
      <c r="Q400" s="10">
        <v>68</v>
      </c>
      <c r="R400" s="10">
        <v>83</v>
      </c>
      <c r="S400" s="10">
        <v>71</v>
      </c>
      <c r="T400" s="10">
        <v>3</v>
      </c>
      <c r="U400" s="10">
        <v>0</v>
      </c>
      <c r="V400" s="10">
        <v>31</v>
      </c>
      <c r="W400" s="10">
        <v>8</v>
      </c>
    </row>
    <row r="401" spans="1:23">
      <c r="A401" s="2" t="s">
        <v>702</v>
      </c>
      <c r="B401" s="2" t="s">
        <v>703</v>
      </c>
      <c r="C401">
        <v>1</v>
      </c>
      <c r="D401" s="5">
        <v>44763</v>
      </c>
      <c r="E401">
        <v>3009</v>
      </c>
      <c r="F401">
        <v>2</v>
      </c>
      <c r="G401">
        <v>338564981</v>
      </c>
      <c r="H401" t="str">
        <f t="shared" si="6"/>
        <v>yes</v>
      </c>
      <c r="I401">
        <v>68</v>
      </c>
      <c r="J401">
        <v>89</v>
      </c>
      <c r="K401">
        <v>65</v>
      </c>
      <c r="L401">
        <v>0</v>
      </c>
      <c r="M401">
        <v>25</v>
      </c>
      <c r="N401">
        <v>141</v>
      </c>
      <c r="O401" t="s">
        <v>98</v>
      </c>
      <c r="P401" t="s">
        <v>41</v>
      </c>
      <c r="Q401" s="10">
        <v>41</v>
      </c>
      <c r="R401" s="10">
        <v>9</v>
      </c>
      <c r="S401" s="10">
        <v>25</v>
      </c>
      <c r="T401" s="10">
        <v>84</v>
      </c>
      <c r="U401" s="10">
        <v>1</v>
      </c>
      <c r="V401" s="10">
        <v>14</v>
      </c>
      <c r="W401" s="10">
        <v>4</v>
      </c>
    </row>
    <row r="402" spans="1:23" ht="30.75">
      <c r="A402" s="2" t="s">
        <v>704</v>
      </c>
      <c r="B402" s="2" t="s">
        <v>705</v>
      </c>
      <c r="C402">
        <v>1</v>
      </c>
      <c r="D402" s="5">
        <v>41640</v>
      </c>
      <c r="E402">
        <v>17492</v>
      </c>
      <c r="F402">
        <v>3</v>
      </c>
      <c r="G402">
        <v>1606986953</v>
      </c>
      <c r="H402" t="str">
        <f t="shared" si="6"/>
        <v>yes</v>
      </c>
      <c r="I402">
        <v>136</v>
      </c>
      <c r="J402">
        <v>24</v>
      </c>
      <c r="K402" s="1">
        <v>1959</v>
      </c>
      <c r="L402">
        <v>0</v>
      </c>
      <c r="M402">
        <v>30</v>
      </c>
      <c r="N402">
        <v>82</v>
      </c>
      <c r="O402" t="s">
        <v>32</v>
      </c>
      <c r="P402" t="s">
        <v>26</v>
      </c>
      <c r="Q402" s="10">
        <v>68</v>
      </c>
      <c r="R402" s="10">
        <v>50</v>
      </c>
      <c r="S402" s="10">
        <v>49</v>
      </c>
      <c r="T402" s="10">
        <v>56</v>
      </c>
      <c r="U402" s="10">
        <v>0</v>
      </c>
      <c r="V402" s="10">
        <v>8</v>
      </c>
      <c r="W402" s="10">
        <v>4</v>
      </c>
    </row>
    <row r="403" spans="1:23">
      <c r="A403" s="2" t="s">
        <v>706</v>
      </c>
      <c r="B403" s="2" t="s">
        <v>707</v>
      </c>
      <c r="C403">
        <v>1</v>
      </c>
      <c r="D403" s="5">
        <v>43910</v>
      </c>
      <c r="E403">
        <v>6170</v>
      </c>
      <c r="F403">
        <v>7</v>
      </c>
      <c r="G403">
        <v>1301799902</v>
      </c>
      <c r="H403" t="str">
        <f t="shared" si="6"/>
        <v>yes</v>
      </c>
      <c r="I403">
        <v>82</v>
      </c>
      <c r="J403">
        <v>1</v>
      </c>
      <c r="K403">
        <v>231</v>
      </c>
      <c r="L403">
        <v>0</v>
      </c>
      <c r="M403">
        <v>2</v>
      </c>
      <c r="N403">
        <v>92</v>
      </c>
      <c r="O403" t="s">
        <v>32</v>
      </c>
      <c r="P403" t="s">
        <v>26</v>
      </c>
      <c r="Q403" s="10">
        <v>47</v>
      </c>
      <c r="R403" s="10">
        <v>25</v>
      </c>
      <c r="S403" s="10">
        <v>43</v>
      </c>
      <c r="T403" s="10">
        <v>62</v>
      </c>
      <c r="U403" s="10">
        <v>0</v>
      </c>
      <c r="V403" s="10">
        <v>32</v>
      </c>
      <c r="W403" s="10">
        <v>3</v>
      </c>
    </row>
    <row r="404" spans="1:23" ht="45.75">
      <c r="A404" s="2" t="s">
        <v>706</v>
      </c>
      <c r="B404" s="2" t="s">
        <v>708</v>
      </c>
      <c r="C404">
        <v>6</v>
      </c>
      <c r="D404" s="5">
        <v>44907</v>
      </c>
      <c r="E404">
        <v>130</v>
      </c>
      <c r="F404">
        <v>4</v>
      </c>
      <c r="G404">
        <v>140187018</v>
      </c>
      <c r="H404" t="str">
        <f t="shared" si="6"/>
        <v>no</v>
      </c>
      <c r="I404">
        <v>21</v>
      </c>
      <c r="J404">
        <v>79</v>
      </c>
      <c r="K404">
        <v>2</v>
      </c>
      <c r="L404">
        <v>0</v>
      </c>
      <c r="M404">
        <v>0</v>
      </c>
      <c r="N404">
        <v>116</v>
      </c>
      <c r="O404" t="s">
        <v>63</v>
      </c>
      <c r="P404" t="s">
        <v>41</v>
      </c>
      <c r="Q404" s="10">
        <v>77</v>
      </c>
      <c r="R404" s="10">
        <v>65</v>
      </c>
      <c r="S404" s="10">
        <v>80</v>
      </c>
      <c r="T404" s="10">
        <v>6</v>
      </c>
      <c r="U404" s="10">
        <v>0</v>
      </c>
      <c r="V404" s="10">
        <v>15</v>
      </c>
      <c r="W404" s="10">
        <v>4</v>
      </c>
    </row>
    <row r="405" spans="1:23" ht="30.75">
      <c r="A405" s="2" t="s">
        <v>709</v>
      </c>
      <c r="B405" s="2" t="s">
        <v>710</v>
      </c>
      <c r="C405">
        <v>2</v>
      </c>
      <c r="D405" s="5">
        <v>42888</v>
      </c>
      <c r="E405">
        <v>27705</v>
      </c>
      <c r="F405">
        <v>10</v>
      </c>
      <c r="G405">
        <v>1897517891</v>
      </c>
      <c r="H405" t="str">
        <f t="shared" si="6"/>
        <v>yes</v>
      </c>
      <c r="I405">
        <v>537</v>
      </c>
      <c r="J405">
        <v>122</v>
      </c>
      <c r="K405" s="1">
        <v>2726</v>
      </c>
      <c r="L405">
        <v>6</v>
      </c>
      <c r="N405">
        <v>124</v>
      </c>
      <c r="O405" t="s">
        <v>37</v>
      </c>
      <c r="P405" t="s">
        <v>41</v>
      </c>
      <c r="Q405" s="10">
        <v>79</v>
      </c>
      <c r="R405" s="10">
        <v>59</v>
      </c>
      <c r="S405" s="10">
        <v>86</v>
      </c>
      <c r="T405" s="10">
        <v>4</v>
      </c>
      <c r="U405" s="10">
        <v>0</v>
      </c>
      <c r="V405" s="10">
        <v>8</v>
      </c>
      <c r="W405" s="10">
        <v>11</v>
      </c>
    </row>
    <row r="406" spans="1:23" ht="30.75">
      <c r="A406" s="2" t="s">
        <v>711</v>
      </c>
      <c r="B406" s="2" t="s">
        <v>712</v>
      </c>
      <c r="C406">
        <v>1</v>
      </c>
      <c r="D406" s="5">
        <v>44953</v>
      </c>
      <c r="E406">
        <v>359</v>
      </c>
      <c r="F406">
        <v>0</v>
      </c>
      <c r="G406">
        <v>107642809</v>
      </c>
      <c r="H406" t="str">
        <f t="shared" si="6"/>
        <v>no</v>
      </c>
      <c r="I406">
        <v>12</v>
      </c>
      <c r="J406">
        <v>56</v>
      </c>
      <c r="K406">
        <v>13</v>
      </c>
      <c r="L406">
        <v>0</v>
      </c>
      <c r="M406">
        <v>13</v>
      </c>
      <c r="N406">
        <v>125</v>
      </c>
      <c r="O406" t="s">
        <v>128</v>
      </c>
      <c r="P406" t="s">
        <v>41</v>
      </c>
      <c r="Q406" s="10">
        <v>71</v>
      </c>
      <c r="R406" s="10">
        <v>83</v>
      </c>
      <c r="S406" s="10">
        <v>89</v>
      </c>
      <c r="T406" s="10">
        <v>1</v>
      </c>
      <c r="U406" s="10">
        <v>0</v>
      </c>
      <c r="V406" s="10">
        <v>17</v>
      </c>
      <c r="W406" s="10">
        <v>9</v>
      </c>
    </row>
    <row r="407" spans="1:23">
      <c r="A407" s="2" t="s">
        <v>711</v>
      </c>
      <c r="B407" s="2" t="s">
        <v>713</v>
      </c>
      <c r="C407">
        <v>1</v>
      </c>
      <c r="D407" s="5">
        <v>44792</v>
      </c>
      <c r="E407">
        <v>1963</v>
      </c>
      <c r="F407">
        <v>16</v>
      </c>
      <c r="G407">
        <v>551305895</v>
      </c>
      <c r="H407" t="str">
        <f t="shared" si="6"/>
        <v>yes</v>
      </c>
      <c r="I407">
        <v>57</v>
      </c>
      <c r="J407">
        <v>119</v>
      </c>
      <c r="K407">
        <v>77</v>
      </c>
      <c r="L407">
        <v>1</v>
      </c>
      <c r="M407">
        <v>13</v>
      </c>
      <c r="N407">
        <v>90</v>
      </c>
      <c r="P407" t="s">
        <v>26</v>
      </c>
      <c r="Q407" s="10">
        <v>80</v>
      </c>
      <c r="R407" s="10">
        <v>71</v>
      </c>
      <c r="S407" s="10">
        <v>69</v>
      </c>
      <c r="T407" s="10">
        <v>2</v>
      </c>
      <c r="U407" s="10">
        <v>0</v>
      </c>
      <c r="V407" s="10">
        <v>27</v>
      </c>
      <c r="W407" s="10">
        <v>10</v>
      </c>
    </row>
    <row r="408" spans="1:23" ht="45.75">
      <c r="A408" s="2" t="s">
        <v>714</v>
      </c>
      <c r="B408" s="2" t="s">
        <v>715</v>
      </c>
      <c r="C408">
        <v>3</v>
      </c>
      <c r="D408" s="5">
        <v>44678</v>
      </c>
      <c r="E408">
        <v>5491</v>
      </c>
      <c r="F408">
        <v>14</v>
      </c>
      <c r="G408">
        <v>556585270</v>
      </c>
      <c r="H408" t="str">
        <f t="shared" si="6"/>
        <v>yes</v>
      </c>
      <c r="I408">
        <v>128</v>
      </c>
      <c r="J408">
        <v>84</v>
      </c>
      <c r="K408">
        <v>75</v>
      </c>
      <c r="L408">
        <v>0</v>
      </c>
      <c r="M408">
        <v>35</v>
      </c>
      <c r="N408">
        <v>83</v>
      </c>
      <c r="O408" t="s">
        <v>29</v>
      </c>
      <c r="P408" t="s">
        <v>26</v>
      </c>
      <c r="Q408" s="10">
        <v>46</v>
      </c>
      <c r="R408" s="10">
        <v>34</v>
      </c>
      <c r="S408" s="10">
        <v>64</v>
      </c>
      <c r="T408" s="10">
        <v>31</v>
      </c>
      <c r="U408" s="10">
        <v>0</v>
      </c>
      <c r="V408" s="10">
        <v>7</v>
      </c>
      <c r="W408" s="10">
        <v>34</v>
      </c>
    </row>
    <row r="409" spans="1:23" ht="30.75">
      <c r="A409" s="2" t="s">
        <v>716</v>
      </c>
      <c r="B409" s="2" t="s">
        <v>717</v>
      </c>
      <c r="C409">
        <v>1</v>
      </c>
      <c r="D409" s="5">
        <v>43769</v>
      </c>
      <c r="E409">
        <v>27119</v>
      </c>
      <c r="F409">
        <v>0</v>
      </c>
      <c r="G409">
        <v>2303033973</v>
      </c>
      <c r="H409" t="str">
        <f t="shared" si="6"/>
        <v>yes</v>
      </c>
      <c r="I409">
        <v>532</v>
      </c>
      <c r="J409">
        <v>77</v>
      </c>
      <c r="K409" s="1">
        <v>1535</v>
      </c>
      <c r="L409">
        <v>3</v>
      </c>
      <c r="M409">
        <v>8</v>
      </c>
      <c r="N409">
        <v>124</v>
      </c>
      <c r="O409" t="s">
        <v>25</v>
      </c>
      <c r="P409" t="s">
        <v>41</v>
      </c>
      <c r="Q409" s="10">
        <v>79</v>
      </c>
      <c r="R409" s="10">
        <v>68</v>
      </c>
      <c r="S409" s="10">
        <v>79</v>
      </c>
      <c r="T409" s="10">
        <v>1</v>
      </c>
      <c r="U409" s="10">
        <v>0</v>
      </c>
      <c r="V409" s="10">
        <v>10</v>
      </c>
      <c r="W409" s="10">
        <v>8</v>
      </c>
    </row>
    <row r="410" spans="1:23" ht="30.75">
      <c r="A410" s="2" t="s">
        <v>716</v>
      </c>
      <c r="B410" s="2" t="s">
        <v>718</v>
      </c>
      <c r="C410">
        <v>1</v>
      </c>
      <c r="D410" s="5">
        <v>41859</v>
      </c>
      <c r="E410">
        <v>1776</v>
      </c>
      <c r="F410">
        <v>14</v>
      </c>
      <c r="G410">
        <v>646886885</v>
      </c>
      <c r="H410" t="str">
        <f t="shared" si="6"/>
        <v>yes</v>
      </c>
      <c r="I410">
        <v>1</v>
      </c>
      <c r="J410">
        <v>9</v>
      </c>
      <c r="K410">
        <v>3</v>
      </c>
      <c r="L410">
        <v>0</v>
      </c>
      <c r="M410">
        <v>0</v>
      </c>
      <c r="N410">
        <v>140</v>
      </c>
      <c r="O410" t="s">
        <v>63</v>
      </c>
      <c r="P410" t="s">
        <v>26</v>
      </c>
      <c r="Q410" s="10">
        <v>58</v>
      </c>
      <c r="R410" s="10">
        <v>4</v>
      </c>
      <c r="S410" s="10">
        <v>60</v>
      </c>
      <c r="T410" s="10">
        <v>7</v>
      </c>
      <c r="U410" s="10">
        <v>41</v>
      </c>
      <c r="V410" s="10">
        <v>8</v>
      </c>
      <c r="W410" s="10">
        <v>3</v>
      </c>
    </row>
    <row r="411" spans="1:23" ht="45.75">
      <c r="A411" s="2" t="s">
        <v>719</v>
      </c>
      <c r="B411" s="2" t="s">
        <v>720</v>
      </c>
      <c r="C411">
        <v>2</v>
      </c>
      <c r="D411" s="5">
        <v>44820</v>
      </c>
      <c r="E411">
        <v>1473</v>
      </c>
      <c r="F411">
        <v>4</v>
      </c>
      <c r="G411">
        <v>222612678</v>
      </c>
      <c r="H411" t="str">
        <f t="shared" si="6"/>
        <v>yes</v>
      </c>
      <c r="I411">
        <v>27</v>
      </c>
      <c r="J411">
        <v>64</v>
      </c>
      <c r="K411">
        <v>66</v>
      </c>
      <c r="L411">
        <v>1</v>
      </c>
      <c r="M411">
        <v>4</v>
      </c>
      <c r="N411">
        <v>154</v>
      </c>
      <c r="P411" t="s">
        <v>26</v>
      </c>
      <c r="Q411" s="10">
        <v>64</v>
      </c>
      <c r="R411" s="10">
        <v>61</v>
      </c>
      <c r="S411" s="10">
        <v>91</v>
      </c>
      <c r="T411" s="10">
        <v>15</v>
      </c>
      <c r="U411" s="10">
        <v>0</v>
      </c>
      <c r="V411" s="10">
        <v>72</v>
      </c>
      <c r="W411" s="10">
        <v>4</v>
      </c>
    </row>
    <row r="412" spans="1:23" ht="45.75">
      <c r="A412" s="2" t="s">
        <v>719</v>
      </c>
      <c r="B412" s="2" t="s">
        <v>721</v>
      </c>
      <c r="C412">
        <v>2</v>
      </c>
      <c r="D412" s="5">
        <v>44400</v>
      </c>
      <c r="E412">
        <v>13315</v>
      </c>
      <c r="F412">
        <v>0</v>
      </c>
      <c r="G412">
        <v>1814349763</v>
      </c>
      <c r="H412" t="str">
        <f t="shared" si="6"/>
        <v>yes</v>
      </c>
      <c r="I412">
        <v>300</v>
      </c>
      <c r="J412">
        <v>47</v>
      </c>
      <c r="K412">
        <v>690</v>
      </c>
      <c r="L412">
        <v>0</v>
      </c>
      <c r="N412">
        <v>150</v>
      </c>
      <c r="O412" t="s">
        <v>196</v>
      </c>
      <c r="P412" t="s">
        <v>41</v>
      </c>
      <c r="Q412" s="10">
        <v>74</v>
      </c>
      <c r="R412" s="10">
        <v>89</v>
      </c>
      <c r="S412" s="10">
        <v>70</v>
      </c>
      <c r="T412" s="10">
        <v>2</v>
      </c>
      <c r="U412" s="10">
        <v>0</v>
      </c>
      <c r="V412" s="10">
        <v>5</v>
      </c>
      <c r="W412" s="10">
        <v>6</v>
      </c>
    </row>
    <row r="413" spans="1:23" ht="30.75">
      <c r="A413" s="2" t="s">
        <v>719</v>
      </c>
      <c r="B413" s="2" t="s">
        <v>722</v>
      </c>
      <c r="C413">
        <v>1</v>
      </c>
      <c r="D413" s="5">
        <v>43840</v>
      </c>
      <c r="E413">
        <v>4057</v>
      </c>
      <c r="F413">
        <v>8</v>
      </c>
      <c r="G413">
        <v>872137015</v>
      </c>
      <c r="H413" t="str">
        <f t="shared" si="6"/>
        <v>yes</v>
      </c>
      <c r="I413">
        <v>78</v>
      </c>
      <c r="J413">
        <v>21</v>
      </c>
      <c r="K413">
        <v>240</v>
      </c>
      <c r="L413">
        <v>1</v>
      </c>
      <c r="M413">
        <v>52</v>
      </c>
      <c r="N413">
        <v>186</v>
      </c>
      <c r="O413" t="s">
        <v>98</v>
      </c>
      <c r="P413" t="s">
        <v>41</v>
      </c>
      <c r="Q413" s="10">
        <v>41</v>
      </c>
      <c r="R413" s="10">
        <v>9</v>
      </c>
      <c r="S413" s="10">
        <v>61</v>
      </c>
      <c r="T413" s="10">
        <v>2</v>
      </c>
      <c r="U413" s="10">
        <v>0</v>
      </c>
      <c r="V413" s="10">
        <v>12</v>
      </c>
      <c r="W413" s="10">
        <v>5</v>
      </c>
    </row>
    <row r="414" spans="1:23" ht="45.75">
      <c r="A414" s="2" t="s">
        <v>723</v>
      </c>
      <c r="B414" s="2" t="s">
        <v>724</v>
      </c>
      <c r="C414">
        <v>1</v>
      </c>
      <c r="D414" s="5">
        <v>42116</v>
      </c>
      <c r="E414">
        <v>3045</v>
      </c>
      <c r="F414">
        <v>6</v>
      </c>
      <c r="G414">
        <v>571386359</v>
      </c>
      <c r="H414" t="str">
        <f t="shared" si="6"/>
        <v>yes</v>
      </c>
      <c r="I414">
        <v>43</v>
      </c>
      <c r="J414">
        <v>53</v>
      </c>
      <c r="K414">
        <v>134</v>
      </c>
      <c r="L414">
        <v>1</v>
      </c>
      <c r="M414">
        <v>32</v>
      </c>
      <c r="N414">
        <v>166</v>
      </c>
      <c r="O414" t="s">
        <v>63</v>
      </c>
      <c r="P414" t="s">
        <v>41</v>
      </c>
      <c r="Q414" s="10">
        <v>40</v>
      </c>
      <c r="R414" s="10">
        <v>23</v>
      </c>
      <c r="S414" s="10">
        <v>48</v>
      </c>
      <c r="T414" s="10">
        <v>5</v>
      </c>
      <c r="U414" s="10">
        <v>0</v>
      </c>
      <c r="V414" s="10">
        <v>12</v>
      </c>
      <c r="W414" s="10">
        <v>3</v>
      </c>
    </row>
    <row r="415" spans="1:23" ht="30.75">
      <c r="A415" s="2" t="s">
        <v>725</v>
      </c>
      <c r="B415" s="2" t="s">
        <v>726</v>
      </c>
      <c r="C415">
        <v>2</v>
      </c>
      <c r="D415" s="5">
        <v>44826</v>
      </c>
      <c r="E415">
        <v>3006</v>
      </c>
      <c r="F415">
        <v>12</v>
      </c>
      <c r="G415">
        <v>304079786</v>
      </c>
      <c r="H415" t="str">
        <f t="shared" si="6"/>
        <v>yes</v>
      </c>
      <c r="I415">
        <v>54</v>
      </c>
      <c r="J415">
        <v>32</v>
      </c>
      <c r="K415">
        <v>66</v>
      </c>
      <c r="L415">
        <v>2</v>
      </c>
      <c r="M415">
        <v>0</v>
      </c>
      <c r="N415">
        <v>107</v>
      </c>
      <c r="P415" t="s">
        <v>26</v>
      </c>
      <c r="Q415" s="10">
        <v>87</v>
      </c>
      <c r="R415" s="10">
        <v>20</v>
      </c>
      <c r="S415" s="10">
        <v>83</v>
      </c>
      <c r="T415" s="10">
        <v>0</v>
      </c>
      <c r="U415" s="10">
        <v>4</v>
      </c>
      <c r="V415" s="10">
        <v>31</v>
      </c>
      <c r="W415" s="10">
        <v>9</v>
      </c>
    </row>
    <row r="416" spans="1:23" ht="30.75">
      <c r="A416" s="2" t="s">
        <v>727</v>
      </c>
      <c r="B416" s="2" t="s">
        <v>728</v>
      </c>
      <c r="C416">
        <v>3</v>
      </c>
      <c r="D416" s="5">
        <v>44813</v>
      </c>
      <c r="E416">
        <v>852</v>
      </c>
      <c r="F416">
        <v>0</v>
      </c>
      <c r="G416">
        <v>174006928</v>
      </c>
      <c r="H416" t="str">
        <f t="shared" si="6"/>
        <v>no</v>
      </c>
      <c r="I416">
        <v>14</v>
      </c>
      <c r="J416">
        <v>1</v>
      </c>
      <c r="K416">
        <v>50</v>
      </c>
      <c r="L416">
        <v>0</v>
      </c>
      <c r="M416">
        <v>0</v>
      </c>
      <c r="N416">
        <v>87</v>
      </c>
      <c r="O416" t="s">
        <v>72</v>
      </c>
      <c r="P416" t="s">
        <v>26</v>
      </c>
      <c r="Q416" s="10">
        <v>87</v>
      </c>
      <c r="R416" s="10">
        <v>52</v>
      </c>
      <c r="S416" s="10">
        <v>52</v>
      </c>
      <c r="T416" s="10">
        <v>31</v>
      </c>
      <c r="U416" s="10">
        <v>0</v>
      </c>
      <c r="V416" s="10">
        <v>28</v>
      </c>
      <c r="W416" s="10">
        <v>24</v>
      </c>
    </row>
    <row r="417" spans="1:23" ht="45.75">
      <c r="A417" s="2" t="s">
        <v>729</v>
      </c>
      <c r="B417" s="2" t="s">
        <v>730</v>
      </c>
      <c r="C417">
        <v>1</v>
      </c>
      <c r="D417" s="5">
        <v>44778</v>
      </c>
      <c r="E417">
        <v>2163</v>
      </c>
      <c r="F417">
        <v>15</v>
      </c>
      <c r="G417">
        <v>284785823</v>
      </c>
      <c r="H417" t="str">
        <f t="shared" si="6"/>
        <v>yes</v>
      </c>
      <c r="I417">
        <v>72</v>
      </c>
      <c r="J417">
        <v>97</v>
      </c>
      <c r="K417">
        <v>58</v>
      </c>
      <c r="L417">
        <v>0</v>
      </c>
      <c r="M417">
        <v>154</v>
      </c>
      <c r="N417">
        <v>82</v>
      </c>
      <c r="O417" t="s">
        <v>63</v>
      </c>
      <c r="P417" t="s">
        <v>26</v>
      </c>
      <c r="Q417" s="10">
        <v>40</v>
      </c>
      <c r="R417" s="10">
        <v>39</v>
      </c>
      <c r="S417" s="10">
        <v>64</v>
      </c>
      <c r="T417" s="10">
        <v>21</v>
      </c>
      <c r="U417" s="10">
        <v>0</v>
      </c>
      <c r="V417" s="10">
        <v>7</v>
      </c>
      <c r="W417" s="10">
        <v>7</v>
      </c>
    </row>
    <row r="418" spans="1:23">
      <c r="A418" s="2" t="s">
        <v>731</v>
      </c>
      <c r="B418" s="2" t="s">
        <v>732</v>
      </c>
      <c r="C418">
        <v>1</v>
      </c>
      <c r="D418" s="5">
        <v>44904</v>
      </c>
      <c r="E418">
        <v>1484</v>
      </c>
      <c r="F418">
        <v>0</v>
      </c>
      <c r="G418">
        <v>163284000</v>
      </c>
      <c r="H418" t="str">
        <f t="shared" si="6"/>
        <v>no</v>
      </c>
      <c r="I418">
        <v>22</v>
      </c>
      <c r="J418">
        <v>51</v>
      </c>
      <c r="K418">
        <v>12</v>
      </c>
      <c r="L418">
        <v>0</v>
      </c>
      <c r="M418">
        <v>0</v>
      </c>
      <c r="N418">
        <v>114</v>
      </c>
      <c r="O418" t="s">
        <v>37</v>
      </c>
      <c r="P418" t="s">
        <v>41</v>
      </c>
      <c r="Q418" s="10">
        <v>46</v>
      </c>
      <c r="R418" s="10">
        <v>60</v>
      </c>
      <c r="S418" s="10">
        <v>28</v>
      </c>
      <c r="T418" s="10">
        <v>91</v>
      </c>
      <c r="U418" s="10">
        <v>0</v>
      </c>
      <c r="V418" s="10">
        <v>21</v>
      </c>
      <c r="W418" s="10">
        <v>4</v>
      </c>
    </row>
    <row r="419" spans="1:23">
      <c r="A419" s="2" t="s">
        <v>731</v>
      </c>
      <c r="B419" s="2" t="s">
        <v>123</v>
      </c>
      <c r="C419">
        <v>1</v>
      </c>
      <c r="D419" s="5">
        <v>44869</v>
      </c>
      <c r="E419">
        <v>1703</v>
      </c>
      <c r="F419">
        <v>0</v>
      </c>
      <c r="G419">
        <v>246390068</v>
      </c>
      <c r="H419" t="str">
        <f t="shared" si="6"/>
        <v>yes</v>
      </c>
      <c r="I419">
        <v>38</v>
      </c>
      <c r="J419">
        <v>45</v>
      </c>
      <c r="K419">
        <v>36</v>
      </c>
      <c r="L419">
        <v>16</v>
      </c>
      <c r="M419">
        <v>0</v>
      </c>
      <c r="N419">
        <v>148</v>
      </c>
      <c r="O419" t="s">
        <v>63</v>
      </c>
      <c r="P419" t="s">
        <v>26</v>
      </c>
      <c r="Q419" s="10">
        <v>47</v>
      </c>
      <c r="R419" s="10">
        <v>15</v>
      </c>
      <c r="S419" s="10">
        <v>52</v>
      </c>
      <c r="T419" s="10">
        <v>38</v>
      </c>
      <c r="U419" s="10">
        <v>13</v>
      </c>
      <c r="V419" s="10">
        <v>29</v>
      </c>
      <c r="W419" s="10">
        <v>5</v>
      </c>
    </row>
    <row r="420" spans="1:23">
      <c r="A420" s="2" t="s">
        <v>733</v>
      </c>
      <c r="B420" s="2" t="s">
        <v>734</v>
      </c>
      <c r="C420">
        <v>1</v>
      </c>
      <c r="D420" s="5">
        <v>44762</v>
      </c>
      <c r="E420">
        <v>4169</v>
      </c>
      <c r="F420">
        <v>44</v>
      </c>
      <c r="G420">
        <v>482257456</v>
      </c>
      <c r="H420" t="str">
        <f t="shared" si="6"/>
        <v>yes</v>
      </c>
      <c r="I420">
        <v>57</v>
      </c>
      <c r="J420">
        <v>44</v>
      </c>
      <c r="K420">
        <v>183</v>
      </c>
      <c r="L420">
        <v>1</v>
      </c>
      <c r="M420">
        <v>11</v>
      </c>
      <c r="N420">
        <v>140</v>
      </c>
      <c r="O420" t="s">
        <v>53</v>
      </c>
      <c r="P420" t="s">
        <v>26</v>
      </c>
      <c r="Q420" s="10">
        <v>91</v>
      </c>
      <c r="R420" s="10">
        <v>97</v>
      </c>
      <c r="S420" s="10">
        <v>57</v>
      </c>
      <c r="T420" s="10">
        <v>38</v>
      </c>
      <c r="U420" s="10">
        <v>0</v>
      </c>
      <c r="V420" s="10">
        <v>40</v>
      </c>
      <c r="W420" s="10">
        <v>29</v>
      </c>
    </row>
    <row r="421" spans="1:23">
      <c r="A421" s="2" t="s">
        <v>735</v>
      </c>
      <c r="B421" s="2" t="s">
        <v>736</v>
      </c>
      <c r="C421">
        <v>1</v>
      </c>
      <c r="D421" s="5">
        <v>44837</v>
      </c>
      <c r="E421">
        <v>1054</v>
      </c>
      <c r="F421">
        <v>0</v>
      </c>
      <c r="G421">
        <v>168684524</v>
      </c>
      <c r="H421" t="str">
        <f t="shared" si="6"/>
        <v>no</v>
      </c>
      <c r="I421">
        <v>9</v>
      </c>
      <c r="J421">
        <v>0</v>
      </c>
      <c r="K421">
        <v>15</v>
      </c>
      <c r="L421">
        <v>0</v>
      </c>
      <c r="M421">
        <v>1</v>
      </c>
      <c r="N421">
        <v>101</v>
      </c>
      <c r="O421" t="s">
        <v>72</v>
      </c>
      <c r="P421" t="s">
        <v>26</v>
      </c>
      <c r="Q421" s="10">
        <v>90</v>
      </c>
      <c r="R421" s="10">
        <v>76</v>
      </c>
      <c r="S421" s="10">
        <v>81</v>
      </c>
      <c r="T421" s="10">
        <v>15</v>
      </c>
      <c r="U421" s="10">
        <v>24</v>
      </c>
      <c r="V421" s="10">
        <v>33</v>
      </c>
      <c r="W421" s="10">
        <v>6</v>
      </c>
    </row>
    <row r="422" spans="1:23" ht="30.75">
      <c r="A422" s="2" t="s">
        <v>737</v>
      </c>
      <c r="B422" s="2" t="s">
        <v>738</v>
      </c>
      <c r="C422">
        <v>3</v>
      </c>
      <c r="D422" s="5">
        <v>44578</v>
      </c>
      <c r="E422">
        <v>2849</v>
      </c>
      <c r="F422">
        <v>0</v>
      </c>
      <c r="G422">
        <v>78489819</v>
      </c>
      <c r="H422" t="str">
        <f t="shared" si="6"/>
        <v>no</v>
      </c>
      <c r="I422">
        <v>39</v>
      </c>
      <c r="J422">
        <v>45</v>
      </c>
      <c r="K422">
        <v>27</v>
      </c>
      <c r="L422">
        <v>0</v>
      </c>
      <c r="M422">
        <v>1</v>
      </c>
      <c r="N422">
        <v>140</v>
      </c>
      <c r="O422" t="s">
        <v>29</v>
      </c>
      <c r="P422" t="s">
        <v>41</v>
      </c>
      <c r="Q422" s="10">
        <v>81</v>
      </c>
      <c r="R422" s="10">
        <v>6</v>
      </c>
      <c r="S422" s="10">
        <v>84</v>
      </c>
      <c r="T422" s="10">
        <v>5</v>
      </c>
      <c r="U422" s="10">
        <v>23</v>
      </c>
      <c r="V422" s="10">
        <v>6</v>
      </c>
      <c r="W422" s="10">
        <v>6</v>
      </c>
    </row>
    <row r="423" spans="1:23" ht="76.5">
      <c r="A423" s="2" t="s">
        <v>739</v>
      </c>
      <c r="B423" s="2" t="s">
        <v>740</v>
      </c>
      <c r="C423">
        <v>3</v>
      </c>
      <c r="D423" s="5">
        <v>44897</v>
      </c>
      <c r="E423">
        <v>1602</v>
      </c>
      <c r="F423">
        <v>0</v>
      </c>
      <c r="G423">
        <v>195516622</v>
      </c>
      <c r="H423" t="str">
        <f t="shared" si="6"/>
        <v>no</v>
      </c>
      <c r="I423">
        <v>12</v>
      </c>
      <c r="J423">
        <v>22</v>
      </c>
      <c r="K423">
        <v>12</v>
      </c>
      <c r="L423">
        <v>0</v>
      </c>
      <c r="M423">
        <v>2</v>
      </c>
      <c r="N423">
        <v>88</v>
      </c>
      <c r="O423" t="s">
        <v>72</v>
      </c>
      <c r="P423" t="s">
        <v>41</v>
      </c>
      <c r="Q423" s="10">
        <v>49</v>
      </c>
      <c r="R423" s="10">
        <v>24</v>
      </c>
      <c r="S423" s="10">
        <v>66</v>
      </c>
      <c r="T423" s="10">
        <v>19</v>
      </c>
      <c r="U423" s="10">
        <v>0</v>
      </c>
      <c r="V423" s="10">
        <v>18</v>
      </c>
      <c r="W423" s="10">
        <v>29</v>
      </c>
    </row>
    <row r="424" spans="1:23">
      <c r="A424" s="2" t="s">
        <v>741</v>
      </c>
      <c r="B424" s="2" t="s">
        <v>742</v>
      </c>
      <c r="C424">
        <v>1</v>
      </c>
      <c r="D424" s="5">
        <v>44351</v>
      </c>
      <c r="E424">
        <v>9644</v>
      </c>
      <c r="F424">
        <v>28</v>
      </c>
      <c r="G424">
        <v>1260594497</v>
      </c>
      <c r="H424" t="str">
        <f t="shared" si="6"/>
        <v>yes</v>
      </c>
      <c r="I424">
        <v>120</v>
      </c>
      <c r="J424">
        <v>86</v>
      </c>
      <c r="K424">
        <v>164</v>
      </c>
      <c r="L424">
        <v>4</v>
      </c>
      <c r="M424">
        <v>0</v>
      </c>
      <c r="N424">
        <v>180</v>
      </c>
      <c r="O424" t="s">
        <v>29</v>
      </c>
      <c r="P424" t="s">
        <v>26</v>
      </c>
      <c r="Q424" s="10">
        <v>64</v>
      </c>
      <c r="R424" s="10">
        <v>44</v>
      </c>
      <c r="S424" s="10">
        <v>65</v>
      </c>
      <c r="T424" s="10">
        <v>28</v>
      </c>
      <c r="U424" s="10">
        <v>0</v>
      </c>
      <c r="V424" s="10">
        <v>14</v>
      </c>
      <c r="W424" s="10">
        <v>12</v>
      </c>
    </row>
    <row r="425" spans="1:23" ht="30.75">
      <c r="A425" s="2" t="s">
        <v>743</v>
      </c>
      <c r="B425" s="2" t="s">
        <v>744</v>
      </c>
      <c r="C425">
        <v>1</v>
      </c>
      <c r="D425" s="5">
        <v>44785</v>
      </c>
      <c r="E425">
        <v>4827</v>
      </c>
      <c r="F425">
        <v>0</v>
      </c>
      <c r="G425">
        <v>428685680</v>
      </c>
      <c r="H425" t="str">
        <f t="shared" si="6"/>
        <v>yes</v>
      </c>
      <c r="I425">
        <v>104</v>
      </c>
      <c r="J425">
        <v>17</v>
      </c>
      <c r="K425">
        <v>76</v>
      </c>
      <c r="L425">
        <v>9</v>
      </c>
      <c r="M425">
        <v>2</v>
      </c>
      <c r="N425">
        <v>133</v>
      </c>
      <c r="O425" t="s">
        <v>51</v>
      </c>
      <c r="P425" t="s">
        <v>26</v>
      </c>
      <c r="Q425" s="10">
        <v>95</v>
      </c>
      <c r="R425" s="10">
        <v>91</v>
      </c>
      <c r="S425" s="10">
        <v>89</v>
      </c>
      <c r="T425" s="10">
        <v>6</v>
      </c>
      <c r="U425" s="10">
        <v>0</v>
      </c>
      <c r="V425" s="10">
        <v>31</v>
      </c>
      <c r="W425" s="10">
        <v>24</v>
      </c>
    </row>
    <row r="426" spans="1:23" ht="60.75">
      <c r="A426" s="2" t="s">
        <v>745</v>
      </c>
      <c r="B426" s="2" t="s">
        <v>746</v>
      </c>
      <c r="C426">
        <v>1</v>
      </c>
      <c r="D426" s="5">
        <v>31306</v>
      </c>
      <c r="E426">
        <v>21811</v>
      </c>
      <c r="F426">
        <v>0</v>
      </c>
      <c r="G426">
        <v>1024858327</v>
      </c>
      <c r="H426" t="str">
        <f t="shared" si="6"/>
        <v>yes</v>
      </c>
      <c r="I426">
        <v>117</v>
      </c>
      <c r="J426">
        <v>1</v>
      </c>
      <c r="K426">
        <v>676</v>
      </c>
      <c r="L426">
        <v>3</v>
      </c>
      <c r="M426">
        <v>0</v>
      </c>
      <c r="N426">
        <v>108</v>
      </c>
      <c r="O426" t="s">
        <v>128</v>
      </c>
      <c r="P426" t="s">
        <v>41</v>
      </c>
      <c r="Q426" s="10">
        <v>63</v>
      </c>
      <c r="R426" s="10">
        <v>20</v>
      </c>
      <c r="S426" s="10">
        <v>55</v>
      </c>
      <c r="T426" s="10">
        <v>72</v>
      </c>
      <c r="U426" s="10">
        <v>0</v>
      </c>
      <c r="V426" s="10">
        <v>6</v>
      </c>
      <c r="W426" s="10">
        <v>6</v>
      </c>
    </row>
    <row r="427" spans="1:23">
      <c r="A427" s="2" t="s">
        <v>745</v>
      </c>
      <c r="B427" s="2" t="s">
        <v>747</v>
      </c>
      <c r="C427">
        <v>1</v>
      </c>
      <c r="D427" s="5">
        <v>26669</v>
      </c>
      <c r="E427">
        <v>168</v>
      </c>
      <c r="F427">
        <v>0</v>
      </c>
      <c r="G427">
        <v>838586769</v>
      </c>
      <c r="H427" t="str">
        <f t="shared" si="6"/>
        <v>yes</v>
      </c>
      <c r="I427">
        <v>0</v>
      </c>
      <c r="J427">
        <v>0</v>
      </c>
      <c r="K427">
        <v>5</v>
      </c>
      <c r="L427">
        <v>0</v>
      </c>
      <c r="M427">
        <v>0</v>
      </c>
      <c r="N427">
        <v>80</v>
      </c>
      <c r="O427" t="s">
        <v>32</v>
      </c>
      <c r="P427" t="s">
        <v>41</v>
      </c>
      <c r="Q427" s="10">
        <v>39</v>
      </c>
      <c r="R427" s="10">
        <v>24</v>
      </c>
      <c r="S427" s="10">
        <v>43</v>
      </c>
      <c r="T427" s="10">
        <v>39</v>
      </c>
      <c r="U427" s="10">
        <v>0</v>
      </c>
      <c r="V427" s="10">
        <v>23</v>
      </c>
      <c r="W427" s="10">
        <v>3</v>
      </c>
    </row>
    <row r="428" spans="1:23">
      <c r="A428" s="2" t="s">
        <v>745</v>
      </c>
      <c r="B428" s="2" t="s">
        <v>748</v>
      </c>
      <c r="C428">
        <v>1</v>
      </c>
      <c r="D428" s="5">
        <v>44784</v>
      </c>
      <c r="E428">
        <v>688</v>
      </c>
      <c r="F428">
        <v>0</v>
      </c>
      <c r="G428">
        <v>199386237</v>
      </c>
      <c r="H428" t="str">
        <f t="shared" si="6"/>
        <v>no</v>
      </c>
      <c r="I428">
        <v>14</v>
      </c>
      <c r="J428">
        <v>1</v>
      </c>
      <c r="K428">
        <v>17</v>
      </c>
      <c r="L428">
        <v>0</v>
      </c>
      <c r="M428">
        <v>2</v>
      </c>
      <c r="N428">
        <v>75</v>
      </c>
      <c r="O428" t="s">
        <v>25</v>
      </c>
      <c r="P428" t="s">
        <v>41</v>
      </c>
      <c r="Q428" s="10">
        <v>80</v>
      </c>
      <c r="R428" s="10">
        <v>46</v>
      </c>
      <c r="S428" s="10">
        <v>62</v>
      </c>
      <c r="T428" s="10">
        <v>3</v>
      </c>
      <c r="U428" s="10">
        <v>6</v>
      </c>
      <c r="V428" s="10">
        <v>11</v>
      </c>
      <c r="W428" s="10">
        <v>46</v>
      </c>
    </row>
    <row r="429" spans="1:23" ht="45.75">
      <c r="A429" s="2" t="s">
        <v>749</v>
      </c>
      <c r="B429" s="2" t="s">
        <v>750</v>
      </c>
      <c r="C429">
        <v>2</v>
      </c>
      <c r="D429" s="5">
        <v>44407</v>
      </c>
      <c r="E429">
        <v>10565</v>
      </c>
      <c r="F429">
        <v>44</v>
      </c>
      <c r="G429">
        <v>972509632</v>
      </c>
      <c r="H429" t="str">
        <f t="shared" si="6"/>
        <v>yes</v>
      </c>
      <c r="I429">
        <v>238</v>
      </c>
      <c r="J429">
        <v>122</v>
      </c>
      <c r="K429">
        <v>557</v>
      </c>
      <c r="L429">
        <v>17</v>
      </c>
      <c r="M429">
        <v>58</v>
      </c>
      <c r="N429">
        <v>121</v>
      </c>
      <c r="O429" t="s">
        <v>53</v>
      </c>
      <c r="P429" t="s">
        <v>41</v>
      </c>
      <c r="Q429" s="10">
        <v>67</v>
      </c>
      <c r="R429" s="10">
        <v>26</v>
      </c>
      <c r="S429" s="10">
        <v>64</v>
      </c>
      <c r="T429" s="10">
        <v>52</v>
      </c>
      <c r="U429" s="10">
        <v>0</v>
      </c>
      <c r="V429" s="10">
        <v>17</v>
      </c>
      <c r="W429" s="10">
        <v>10</v>
      </c>
    </row>
    <row r="430" spans="1:23" ht="30.75">
      <c r="A430" s="2" t="s">
        <v>751</v>
      </c>
      <c r="B430" s="2" t="s">
        <v>752</v>
      </c>
      <c r="C430">
        <v>2</v>
      </c>
      <c r="D430" s="5">
        <v>44832</v>
      </c>
      <c r="E430">
        <v>1612</v>
      </c>
      <c r="F430">
        <v>0</v>
      </c>
      <c r="G430">
        <v>213438580</v>
      </c>
      <c r="H430" t="str">
        <f t="shared" si="6"/>
        <v>yes</v>
      </c>
      <c r="I430">
        <v>34</v>
      </c>
      <c r="J430">
        <v>54</v>
      </c>
      <c r="K430">
        <v>34</v>
      </c>
      <c r="L430">
        <v>0</v>
      </c>
      <c r="M430">
        <v>2</v>
      </c>
      <c r="N430">
        <v>140</v>
      </c>
      <c r="O430" t="s">
        <v>51</v>
      </c>
      <c r="P430" t="s">
        <v>41</v>
      </c>
      <c r="Q430" s="10">
        <v>58</v>
      </c>
      <c r="R430" s="10">
        <v>17</v>
      </c>
      <c r="S430" s="10">
        <v>62</v>
      </c>
      <c r="T430" s="10">
        <v>18</v>
      </c>
      <c r="U430" s="10">
        <v>0</v>
      </c>
      <c r="V430" s="10">
        <v>20</v>
      </c>
      <c r="W430" s="10">
        <v>8</v>
      </c>
    </row>
    <row r="431" spans="1:23" ht="30.75">
      <c r="A431" s="2" t="s">
        <v>753</v>
      </c>
      <c r="B431" s="2" t="s">
        <v>754</v>
      </c>
      <c r="C431">
        <v>1</v>
      </c>
      <c r="D431" s="5">
        <v>44077</v>
      </c>
      <c r="E431">
        <v>12755</v>
      </c>
      <c r="F431">
        <v>8</v>
      </c>
      <c r="G431">
        <v>1555511105</v>
      </c>
      <c r="H431" t="str">
        <f t="shared" si="6"/>
        <v>yes</v>
      </c>
      <c r="I431">
        <v>344</v>
      </c>
      <c r="J431">
        <v>97</v>
      </c>
      <c r="K431">
        <v>945</v>
      </c>
      <c r="L431">
        <v>15</v>
      </c>
      <c r="N431">
        <v>126</v>
      </c>
      <c r="O431" t="s">
        <v>25</v>
      </c>
      <c r="P431" t="s">
        <v>41</v>
      </c>
      <c r="Q431" s="10">
        <v>81</v>
      </c>
      <c r="R431" s="10">
        <v>59</v>
      </c>
      <c r="S431" s="10">
        <v>90</v>
      </c>
      <c r="T431" s="10">
        <v>5</v>
      </c>
      <c r="U431" s="10">
        <v>0</v>
      </c>
      <c r="V431" s="10">
        <v>36</v>
      </c>
      <c r="W431" s="10">
        <v>3</v>
      </c>
    </row>
    <row r="432" spans="1:23">
      <c r="A432" s="2" t="s">
        <v>755</v>
      </c>
      <c r="B432" s="2" t="s">
        <v>756</v>
      </c>
      <c r="C432">
        <v>1</v>
      </c>
      <c r="D432" s="5">
        <v>44846</v>
      </c>
      <c r="E432">
        <v>574</v>
      </c>
      <c r="F432">
        <v>4</v>
      </c>
      <c r="G432">
        <v>210038833</v>
      </c>
      <c r="H432" t="str">
        <f t="shared" si="6"/>
        <v>yes</v>
      </c>
      <c r="I432">
        <v>38</v>
      </c>
      <c r="J432">
        <v>101</v>
      </c>
      <c r="K432">
        <v>26</v>
      </c>
      <c r="L432">
        <v>0</v>
      </c>
      <c r="M432">
        <v>0</v>
      </c>
      <c r="N432">
        <v>102</v>
      </c>
      <c r="O432" t="s">
        <v>29</v>
      </c>
      <c r="P432" t="s">
        <v>26</v>
      </c>
      <c r="Q432" s="10">
        <v>58</v>
      </c>
      <c r="R432" s="10">
        <v>29</v>
      </c>
      <c r="S432" s="10">
        <v>94</v>
      </c>
      <c r="T432" s="10">
        <v>0</v>
      </c>
      <c r="U432" s="10">
        <v>0</v>
      </c>
      <c r="V432" s="10">
        <v>9</v>
      </c>
      <c r="W432" s="10">
        <v>11</v>
      </c>
    </row>
    <row r="433" spans="1:23" ht="60.75">
      <c r="A433" s="2" t="s">
        <v>755</v>
      </c>
      <c r="B433" s="2" t="s">
        <v>757</v>
      </c>
      <c r="C433">
        <v>1</v>
      </c>
      <c r="D433" s="5">
        <v>44659</v>
      </c>
      <c r="E433">
        <v>2499</v>
      </c>
      <c r="F433">
        <v>0</v>
      </c>
      <c r="G433">
        <v>227918678</v>
      </c>
      <c r="H433" t="str">
        <f t="shared" si="6"/>
        <v>yes</v>
      </c>
      <c r="I433">
        <v>70</v>
      </c>
      <c r="J433">
        <v>0</v>
      </c>
      <c r="K433">
        <v>49</v>
      </c>
      <c r="L433">
        <v>0</v>
      </c>
      <c r="M433">
        <v>0</v>
      </c>
      <c r="N433">
        <v>82</v>
      </c>
      <c r="O433" t="s">
        <v>37</v>
      </c>
      <c r="P433" t="s">
        <v>26</v>
      </c>
      <c r="Q433" s="10">
        <v>70</v>
      </c>
      <c r="R433" s="10">
        <v>31</v>
      </c>
      <c r="S433" s="10">
        <v>34</v>
      </c>
      <c r="T433" s="10">
        <v>60</v>
      </c>
      <c r="U433" s="10">
        <v>1</v>
      </c>
      <c r="V433" s="10">
        <v>11</v>
      </c>
      <c r="W433" s="10">
        <v>4</v>
      </c>
    </row>
    <row r="434" spans="1:23">
      <c r="A434" s="2" t="s">
        <v>755</v>
      </c>
      <c r="B434" s="2" t="s">
        <v>758</v>
      </c>
      <c r="C434">
        <v>1</v>
      </c>
      <c r="D434" s="5">
        <v>44189</v>
      </c>
      <c r="E434">
        <v>10426</v>
      </c>
      <c r="F434">
        <v>2</v>
      </c>
      <c r="G434">
        <v>826623384</v>
      </c>
      <c r="H434" t="str">
        <f t="shared" si="6"/>
        <v>yes</v>
      </c>
      <c r="I434">
        <v>133</v>
      </c>
      <c r="J434">
        <v>109</v>
      </c>
      <c r="K434">
        <v>182</v>
      </c>
      <c r="L434">
        <v>1</v>
      </c>
      <c r="M434">
        <v>10</v>
      </c>
      <c r="N434">
        <v>121</v>
      </c>
      <c r="O434" t="s">
        <v>29</v>
      </c>
      <c r="P434" t="s">
        <v>41</v>
      </c>
      <c r="Q434" s="10">
        <v>46</v>
      </c>
      <c r="R434" s="10">
        <v>53</v>
      </c>
      <c r="S434" s="10">
        <v>78</v>
      </c>
      <c r="T434" s="10">
        <v>23</v>
      </c>
      <c r="U434" s="10">
        <v>0</v>
      </c>
      <c r="V434" s="10">
        <v>72</v>
      </c>
      <c r="W434" s="10">
        <v>6</v>
      </c>
    </row>
    <row r="435" spans="1:23" ht="30.75">
      <c r="A435" s="2" t="s">
        <v>755</v>
      </c>
      <c r="B435" s="2" t="s">
        <v>759</v>
      </c>
      <c r="C435">
        <v>2</v>
      </c>
      <c r="D435" s="5">
        <v>43917</v>
      </c>
      <c r="E435">
        <v>15894</v>
      </c>
      <c r="F435">
        <v>8</v>
      </c>
      <c r="G435">
        <v>1802514301</v>
      </c>
      <c r="H435" t="str">
        <f t="shared" si="6"/>
        <v>yes</v>
      </c>
      <c r="I435">
        <v>198</v>
      </c>
      <c r="J435">
        <v>13</v>
      </c>
      <c r="K435">
        <v>544</v>
      </c>
      <c r="L435">
        <v>0</v>
      </c>
      <c r="M435">
        <v>60</v>
      </c>
      <c r="N435">
        <v>103</v>
      </c>
      <c r="O435" t="s">
        <v>53</v>
      </c>
      <c r="P435" t="s">
        <v>41</v>
      </c>
      <c r="Q435" s="10">
        <v>70</v>
      </c>
      <c r="R435" s="10">
        <v>92</v>
      </c>
      <c r="S435" s="10">
        <v>83</v>
      </c>
      <c r="T435" s="10">
        <v>1</v>
      </c>
      <c r="U435" s="10">
        <v>0</v>
      </c>
      <c r="V435" s="10">
        <v>7</v>
      </c>
      <c r="W435" s="10">
        <v>6</v>
      </c>
    </row>
    <row r="436" spans="1:23">
      <c r="A436" s="2" t="s">
        <v>760</v>
      </c>
      <c r="B436" s="2" t="s">
        <v>761</v>
      </c>
      <c r="C436">
        <v>1</v>
      </c>
      <c r="D436" s="5">
        <v>44372</v>
      </c>
      <c r="E436">
        <v>9424</v>
      </c>
      <c r="F436">
        <v>0</v>
      </c>
      <c r="G436">
        <v>1329090101</v>
      </c>
      <c r="H436" t="str">
        <f t="shared" si="6"/>
        <v>yes</v>
      </c>
      <c r="I436">
        <v>202</v>
      </c>
      <c r="J436">
        <v>50</v>
      </c>
      <c r="K436">
        <v>463</v>
      </c>
      <c r="L436">
        <v>4</v>
      </c>
      <c r="N436">
        <v>108</v>
      </c>
      <c r="O436" t="s">
        <v>32</v>
      </c>
      <c r="P436" t="s">
        <v>41</v>
      </c>
      <c r="Q436" s="10">
        <v>82</v>
      </c>
      <c r="R436" s="10">
        <v>88</v>
      </c>
      <c r="S436" s="10">
        <v>76</v>
      </c>
      <c r="T436" s="10">
        <v>9</v>
      </c>
      <c r="U436" s="10">
        <v>0</v>
      </c>
      <c r="V436" s="10">
        <v>12</v>
      </c>
      <c r="W436" s="10">
        <v>9</v>
      </c>
    </row>
    <row r="437" spans="1:23" ht="45.75">
      <c r="A437" s="2" t="s">
        <v>762</v>
      </c>
      <c r="B437" s="2" t="s">
        <v>763</v>
      </c>
      <c r="C437">
        <v>1</v>
      </c>
      <c r="D437" s="5">
        <v>44818</v>
      </c>
      <c r="E437">
        <v>713</v>
      </c>
      <c r="F437">
        <v>7</v>
      </c>
      <c r="G437">
        <v>181831132</v>
      </c>
      <c r="H437" t="str">
        <f t="shared" si="6"/>
        <v>no</v>
      </c>
      <c r="I437">
        <v>2</v>
      </c>
      <c r="J437">
        <v>4</v>
      </c>
      <c r="K437">
        <v>6</v>
      </c>
      <c r="L437">
        <v>0</v>
      </c>
      <c r="M437">
        <v>0</v>
      </c>
      <c r="N437">
        <v>85</v>
      </c>
      <c r="O437" t="s">
        <v>32</v>
      </c>
      <c r="P437" t="s">
        <v>41</v>
      </c>
      <c r="Q437" s="10">
        <v>65</v>
      </c>
      <c r="R437" s="10">
        <v>36</v>
      </c>
      <c r="S437" s="10">
        <v>47</v>
      </c>
      <c r="T437" s="10">
        <v>31</v>
      </c>
      <c r="U437" s="10">
        <v>0</v>
      </c>
      <c r="V437" s="10">
        <v>12</v>
      </c>
      <c r="W437" s="10">
        <v>10</v>
      </c>
    </row>
    <row r="438" spans="1:23">
      <c r="A438" s="2" t="s">
        <v>764</v>
      </c>
      <c r="B438" s="2" t="s">
        <v>765</v>
      </c>
      <c r="C438">
        <v>2</v>
      </c>
      <c r="D438" s="5">
        <v>44634</v>
      </c>
      <c r="E438">
        <v>7758</v>
      </c>
      <c r="F438">
        <v>28</v>
      </c>
      <c r="G438">
        <v>462791599</v>
      </c>
      <c r="H438" t="str">
        <f t="shared" si="6"/>
        <v>yes</v>
      </c>
      <c r="I438">
        <v>173</v>
      </c>
      <c r="J438">
        <v>79</v>
      </c>
      <c r="K438">
        <v>175</v>
      </c>
      <c r="L438">
        <v>0</v>
      </c>
      <c r="M438">
        <v>168</v>
      </c>
      <c r="N438">
        <v>125</v>
      </c>
      <c r="O438" t="s">
        <v>29</v>
      </c>
      <c r="P438" t="s">
        <v>41</v>
      </c>
      <c r="Q438" s="10">
        <v>84</v>
      </c>
      <c r="R438" s="10">
        <v>70</v>
      </c>
      <c r="S438" s="10">
        <v>69</v>
      </c>
      <c r="T438" s="10">
        <v>1</v>
      </c>
      <c r="U438" s="10">
        <v>0</v>
      </c>
      <c r="V438" s="10">
        <v>5</v>
      </c>
      <c r="W438" s="10">
        <v>5</v>
      </c>
    </row>
    <row r="439" spans="1:23" ht="30.75">
      <c r="A439" s="2" t="s">
        <v>766</v>
      </c>
      <c r="B439" s="2" t="s">
        <v>767</v>
      </c>
      <c r="C439">
        <v>1</v>
      </c>
      <c r="D439" s="5">
        <v>44855</v>
      </c>
      <c r="E439">
        <v>2537</v>
      </c>
      <c r="F439">
        <v>2</v>
      </c>
      <c r="G439">
        <v>348647203</v>
      </c>
      <c r="H439" t="str">
        <f t="shared" si="6"/>
        <v>yes</v>
      </c>
      <c r="I439">
        <v>8</v>
      </c>
      <c r="J439">
        <v>18</v>
      </c>
      <c r="K439">
        <v>20</v>
      </c>
      <c r="L439">
        <v>0</v>
      </c>
      <c r="M439">
        <v>1</v>
      </c>
      <c r="N439">
        <v>120</v>
      </c>
      <c r="O439" t="s">
        <v>51</v>
      </c>
      <c r="P439" t="s">
        <v>26</v>
      </c>
      <c r="Q439" s="10">
        <v>69</v>
      </c>
      <c r="R439" s="10">
        <v>40</v>
      </c>
      <c r="S439" s="10">
        <v>39</v>
      </c>
      <c r="T439" s="10">
        <v>41</v>
      </c>
      <c r="U439" s="10">
        <v>0</v>
      </c>
      <c r="V439" s="10">
        <v>13</v>
      </c>
      <c r="W439" s="10">
        <v>6</v>
      </c>
    </row>
    <row r="440" spans="1:23" ht="30.75">
      <c r="A440" s="2" t="s">
        <v>768</v>
      </c>
      <c r="B440" s="2" t="s">
        <v>769</v>
      </c>
      <c r="C440">
        <v>3</v>
      </c>
      <c r="D440" s="5">
        <v>44759</v>
      </c>
      <c r="E440">
        <v>292</v>
      </c>
      <c r="F440">
        <v>6</v>
      </c>
      <c r="G440">
        <v>366599607</v>
      </c>
      <c r="H440" t="str">
        <f t="shared" si="6"/>
        <v>yes</v>
      </c>
      <c r="I440">
        <v>26</v>
      </c>
      <c r="J440">
        <v>98</v>
      </c>
      <c r="K440">
        <v>4</v>
      </c>
      <c r="L440">
        <v>0</v>
      </c>
      <c r="M440">
        <v>0</v>
      </c>
      <c r="N440">
        <v>94</v>
      </c>
      <c r="P440" t="s">
        <v>26</v>
      </c>
      <c r="Q440" s="10">
        <v>58</v>
      </c>
      <c r="R440" s="10">
        <v>44</v>
      </c>
      <c r="S440" s="10">
        <v>57</v>
      </c>
      <c r="T440" s="10">
        <v>57</v>
      </c>
      <c r="U440" s="10">
        <v>0</v>
      </c>
      <c r="V440" s="10">
        <v>10</v>
      </c>
      <c r="W440" s="10">
        <v>3</v>
      </c>
    </row>
    <row r="441" spans="1:23" ht="30.75">
      <c r="A441" s="2" t="s">
        <v>770</v>
      </c>
      <c r="B441" s="2" t="s">
        <v>771</v>
      </c>
      <c r="C441">
        <v>3</v>
      </c>
      <c r="D441" s="5">
        <v>10959</v>
      </c>
      <c r="E441">
        <v>323</v>
      </c>
      <c r="F441">
        <v>0</v>
      </c>
      <c r="G441">
        <v>90598517</v>
      </c>
      <c r="H441" t="str">
        <f t="shared" si="6"/>
        <v>no</v>
      </c>
      <c r="I441">
        <v>4</v>
      </c>
      <c r="J441">
        <v>0</v>
      </c>
      <c r="K441">
        <v>14</v>
      </c>
      <c r="L441">
        <v>0</v>
      </c>
      <c r="M441">
        <v>0</v>
      </c>
      <c r="N441">
        <v>130</v>
      </c>
      <c r="O441" t="s">
        <v>53</v>
      </c>
      <c r="P441" t="s">
        <v>41</v>
      </c>
      <c r="Q441" s="10">
        <v>65</v>
      </c>
      <c r="R441" s="10">
        <v>49</v>
      </c>
      <c r="S441" s="10">
        <v>80</v>
      </c>
      <c r="T441" s="10">
        <v>22</v>
      </c>
      <c r="U441" s="10">
        <v>4</v>
      </c>
      <c r="V441" s="10">
        <v>7</v>
      </c>
      <c r="W441" s="10">
        <v>5</v>
      </c>
    </row>
    <row r="442" spans="1:23">
      <c r="A442" s="2" t="s">
        <v>772</v>
      </c>
      <c r="B442" s="2" t="s">
        <v>773</v>
      </c>
      <c r="C442">
        <v>2</v>
      </c>
      <c r="D442" s="5">
        <v>40909</v>
      </c>
      <c r="E442">
        <v>14143</v>
      </c>
      <c r="F442">
        <v>4</v>
      </c>
      <c r="G442">
        <v>1479264469</v>
      </c>
      <c r="H442" t="str">
        <f t="shared" si="6"/>
        <v>yes</v>
      </c>
      <c r="I442">
        <v>56</v>
      </c>
      <c r="J442">
        <v>38</v>
      </c>
      <c r="K442" s="1">
        <v>1891</v>
      </c>
      <c r="L442">
        <v>1</v>
      </c>
      <c r="N442">
        <v>110</v>
      </c>
      <c r="O442" t="s">
        <v>98</v>
      </c>
      <c r="P442" t="s">
        <v>26</v>
      </c>
      <c r="Q442" s="10">
        <v>74</v>
      </c>
      <c r="R442" s="10">
        <v>51</v>
      </c>
      <c r="S442" s="10">
        <v>74</v>
      </c>
      <c r="T442" s="10">
        <v>2</v>
      </c>
      <c r="U442" s="10">
        <v>0</v>
      </c>
      <c r="V442" s="10">
        <v>29</v>
      </c>
      <c r="W442" s="10">
        <v>4</v>
      </c>
    </row>
    <row r="443" spans="1:23" ht="45.75">
      <c r="A443" s="2" t="s">
        <v>774</v>
      </c>
      <c r="B443" s="2" t="s">
        <v>775</v>
      </c>
      <c r="C443">
        <v>1</v>
      </c>
      <c r="D443" s="5">
        <v>34635</v>
      </c>
      <c r="E443">
        <v>25653</v>
      </c>
      <c r="F443">
        <v>0</v>
      </c>
      <c r="G443">
        <v>1449779435</v>
      </c>
      <c r="H443" t="str">
        <f t="shared" si="6"/>
        <v>yes</v>
      </c>
      <c r="I443">
        <v>387</v>
      </c>
      <c r="J443">
        <v>132</v>
      </c>
      <c r="K443" s="1">
        <v>2094</v>
      </c>
      <c r="L443">
        <v>0</v>
      </c>
      <c r="N443">
        <v>150</v>
      </c>
      <c r="O443" t="s">
        <v>72</v>
      </c>
      <c r="P443" t="s">
        <v>26</v>
      </c>
      <c r="Q443" s="10">
        <v>34</v>
      </c>
      <c r="R443" s="10">
        <v>33</v>
      </c>
      <c r="S443" s="10">
        <v>63</v>
      </c>
      <c r="T443" s="10">
        <v>16</v>
      </c>
      <c r="U443" s="10">
        <v>0</v>
      </c>
      <c r="V443" s="10">
        <v>7</v>
      </c>
      <c r="W443" s="10">
        <v>4</v>
      </c>
    </row>
    <row r="444" spans="1:23">
      <c r="A444" s="2" t="s">
        <v>776</v>
      </c>
      <c r="B444" s="2" t="s">
        <v>777</v>
      </c>
      <c r="C444">
        <v>1</v>
      </c>
      <c r="D444" s="5">
        <v>30682</v>
      </c>
      <c r="E444">
        <v>22153</v>
      </c>
      <c r="F444">
        <v>0</v>
      </c>
      <c r="G444">
        <v>1159176109</v>
      </c>
      <c r="H444" t="str">
        <f t="shared" si="6"/>
        <v>yes</v>
      </c>
      <c r="I444">
        <v>274</v>
      </c>
      <c r="J444">
        <v>111</v>
      </c>
      <c r="K444" s="1">
        <v>1302</v>
      </c>
      <c r="L444">
        <v>0</v>
      </c>
      <c r="N444">
        <v>107</v>
      </c>
      <c r="O444" t="s">
        <v>25</v>
      </c>
      <c r="P444" t="s">
        <v>41</v>
      </c>
      <c r="Q444" s="10">
        <v>74</v>
      </c>
      <c r="R444" s="10">
        <v>88</v>
      </c>
      <c r="S444" s="10">
        <v>65</v>
      </c>
      <c r="T444" s="10">
        <v>28</v>
      </c>
      <c r="U444" s="10">
        <v>0</v>
      </c>
      <c r="V444" s="10">
        <v>46</v>
      </c>
      <c r="W444" s="10">
        <v>3</v>
      </c>
    </row>
    <row r="445" spans="1:23" ht="45.75">
      <c r="A445" s="2" t="s">
        <v>778</v>
      </c>
      <c r="B445" s="2" t="s">
        <v>779</v>
      </c>
      <c r="C445">
        <v>1</v>
      </c>
      <c r="D445" s="5">
        <v>21186</v>
      </c>
      <c r="E445">
        <v>14994</v>
      </c>
      <c r="F445">
        <v>0</v>
      </c>
      <c r="G445">
        <v>769213520</v>
      </c>
      <c r="H445" t="str">
        <f t="shared" si="6"/>
        <v>yes</v>
      </c>
      <c r="I445">
        <v>191</v>
      </c>
      <c r="J445">
        <v>168</v>
      </c>
      <c r="K445">
        <v>206</v>
      </c>
      <c r="L445">
        <v>0</v>
      </c>
      <c r="N445">
        <v>140</v>
      </c>
      <c r="O445" t="s">
        <v>63</v>
      </c>
      <c r="P445" t="s">
        <v>26</v>
      </c>
      <c r="Q445" s="10">
        <v>70</v>
      </c>
      <c r="R445" s="10">
        <v>85</v>
      </c>
      <c r="S445" s="10">
        <v>41</v>
      </c>
      <c r="T445" s="10">
        <v>71</v>
      </c>
      <c r="U445" s="10">
        <v>0</v>
      </c>
      <c r="V445" s="10">
        <v>45</v>
      </c>
      <c r="W445" s="10">
        <v>5</v>
      </c>
    </row>
    <row r="446" spans="1:23" ht="30.75">
      <c r="A446" s="2" t="s">
        <v>780</v>
      </c>
      <c r="B446" s="2" t="s">
        <v>781</v>
      </c>
      <c r="C446">
        <v>1</v>
      </c>
      <c r="D446" s="5">
        <v>20821</v>
      </c>
      <c r="E446">
        <v>10326</v>
      </c>
      <c r="F446">
        <v>0</v>
      </c>
      <c r="G446">
        <v>741301563</v>
      </c>
      <c r="H446" t="str">
        <f t="shared" si="6"/>
        <v>yes</v>
      </c>
      <c r="I446">
        <v>165</v>
      </c>
      <c r="J446">
        <v>99</v>
      </c>
      <c r="K446">
        <v>104</v>
      </c>
      <c r="L446">
        <v>0</v>
      </c>
      <c r="N446">
        <v>119</v>
      </c>
      <c r="O446" t="s">
        <v>51</v>
      </c>
      <c r="P446" t="s">
        <v>26</v>
      </c>
      <c r="Q446" s="10">
        <v>74</v>
      </c>
      <c r="R446" s="10">
        <v>78</v>
      </c>
      <c r="S446" s="10">
        <v>37</v>
      </c>
      <c r="T446" s="10">
        <v>84</v>
      </c>
      <c r="U446" s="10">
        <v>0</v>
      </c>
      <c r="V446" s="10">
        <v>6</v>
      </c>
      <c r="W446" s="10">
        <v>3</v>
      </c>
    </row>
    <row r="447" spans="1:23" ht="45.75">
      <c r="A447" s="2" t="s">
        <v>780</v>
      </c>
      <c r="B447" s="2" t="s">
        <v>782</v>
      </c>
      <c r="C447">
        <v>1</v>
      </c>
      <c r="D447" s="5">
        <v>40830</v>
      </c>
      <c r="E447">
        <v>12353</v>
      </c>
      <c r="F447">
        <v>0</v>
      </c>
      <c r="G447">
        <v>807561936</v>
      </c>
      <c r="H447" t="str">
        <f t="shared" si="6"/>
        <v>yes</v>
      </c>
      <c r="I447">
        <v>35</v>
      </c>
      <c r="J447">
        <v>0</v>
      </c>
      <c r="K447">
        <v>549</v>
      </c>
      <c r="L447">
        <v>0</v>
      </c>
      <c r="M447">
        <v>0</v>
      </c>
      <c r="N447">
        <v>93</v>
      </c>
      <c r="O447" t="s">
        <v>98</v>
      </c>
      <c r="P447" t="s">
        <v>26</v>
      </c>
      <c r="Q447" s="10">
        <v>35</v>
      </c>
      <c r="R447" s="10">
        <v>38</v>
      </c>
      <c r="S447" s="10">
        <v>23</v>
      </c>
      <c r="T447" s="10">
        <v>91</v>
      </c>
      <c r="U447" s="10">
        <v>0</v>
      </c>
      <c r="V447" s="10">
        <v>29</v>
      </c>
      <c r="W447" s="10">
        <v>3</v>
      </c>
    </row>
    <row r="448" spans="1:23">
      <c r="A448" s="2" t="s">
        <v>780</v>
      </c>
      <c r="B448" s="2" t="s">
        <v>783</v>
      </c>
      <c r="C448">
        <v>1</v>
      </c>
      <c r="D448" s="5">
        <v>41621</v>
      </c>
      <c r="E448">
        <v>9408</v>
      </c>
      <c r="F448">
        <v>0</v>
      </c>
      <c r="G448">
        <v>834129063</v>
      </c>
      <c r="H448" t="str">
        <f t="shared" si="6"/>
        <v>yes</v>
      </c>
      <c r="I448">
        <v>231</v>
      </c>
      <c r="J448">
        <v>106</v>
      </c>
      <c r="K448">
        <v>439</v>
      </c>
      <c r="L448">
        <v>0</v>
      </c>
      <c r="N448">
        <v>133</v>
      </c>
      <c r="O448" t="s">
        <v>72</v>
      </c>
      <c r="P448" t="s">
        <v>26</v>
      </c>
      <c r="Q448" s="10">
        <v>46</v>
      </c>
      <c r="R448" s="10">
        <v>53</v>
      </c>
      <c r="S448" s="10">
        <v>63</v>
      </c>
      <c r="T448" s="10">
        <v>5</v>
      </c>
      <c r="U448" s="10">
        <v>0</v>
      </c>
      <c r="V448" s="10">
        <v>30</v>
      </c>
      <c r="W448" s="10">
        <v>18</v>
      </c>
    </row>
    <row r="449" spans="1:23" ht="60.75">
      <c r="A449" s="2" t="s">
        <v>780</v>
      </c>
      <c r="B449" s="2" t="s">
        <v>784</v>
      </c>
      <c r="C449">
        <v>1</v>
      </c>
      <c r="D449" s="5">
        <v>23298</v>
      </c>
      <c r="E449">
        <v>8879</v>
      </c>
      <c r="F449">
        <v>0</v>
      </c>
      <c r="G449">
        <v>663832097</v>
      </c>
      <c r="H449" t="str">
        <f t="shared" si="6"/>
        <v>yes</v>
      </c>
      <c r="I449">
        <v>182</v>
      </c>
      <c r="J449">
        <v>107</v>
      </c>
      <c r="K449">
        <v>160</v>
      </c>
      <c r="L449">
        <v>0</v>
      </c>
      <c r="M449">
        <v>1</v>
      </c>
      <c r="N449">
        <v>202</v>
      </c>
      <c r="O449" t="s">
        <v>72</v>
      </c>
      <c r="P449" t="s">
        <v>26</v>
      </c>
      <c r="Q449" s="10">
        <v>24</v>
      </c>
      <c r="R449" s="10">
        <v>76</v>
      </c>
      <c r="S449" s="10">
        <v>60</v>
      </c>
      <c r="T449" s="10">
        <v>77</v>
      </c>
      <c r="U449" s="10">
        <v>0</v>
      </c>
      <c r="V449" s="10">
        <v>12</v>
      </c>
      <c r="W449" s="10">
        <v>4</v>
      </c>
    </row>
    <row r="450" spans="1:23" ht="45.75">
      <c r="A450" s="2" t="s">
        <v>780</v>
      </c>
      <c r="B450" s="2" t="s">
        <v>785</v>
      </c>
      <c r="C450">
        <v>1</v>
      </c>
      <c r="D450" s="5">
        <v>21870</v>
      </c>
      <c r="E450">
        <v>6512</v>
      </c>
      <c r="F450">
        <v>0</v>
      </c>
      <c r="G450">
        <v>446390129</v>
      </c>
      <c r="H450" t="str">
        <f t="shared" ref="H450:H513" si="7">IF(G450&gt;$Z$2,$Z$4,$Z$5)</f>
        <v>yes</v>
      </c>
      <c r="I450">
        <v>88</v>
      </c>
      <c r="J450">
        <v>1</v>
      </c>
      <c r="K450">
        <v>277</v>
      </c>
      <c r="L450">
        <v>0</v>
      </c>
      <c r="M450">
        <v>0</v>
      </c>
      <c r="N450">
        <v>134</v>
      </c>
      <c r="O450" t="s">
        <v>29</v>
      </c>
      <c r="P450" t="s">
        <v>26</v>
      </c>
      <c r="Q450" s="10">
        <v>45</v>
      </c>
      <c r="R450" s="10">
        <v>72</v>
      </c>
      <c r="S450" s="10">
        <v>24</v>
      </c>
      <c r="T450" s="10">
        <v>91</v>
      </c>
      <c r="U450" s="10">
        <v>0</v>
      </c>
      <c r="V450" s="10">
        <v>18</v>
      </c>
      <c r="W450" s="10">
        <v>4</v>
      </c>
    </row>
    <row r="451" spans="1:23">
      <c r="A451" s="2" t="s">
        <v>780</v>
      </c>
      <c r="B451" s="2" t="s">
        <v>786</v>
      </c>
      <c r="C451">
        <v>1</v>
      </c>
      <c r="D451" s="5">
        <v>42736</v>
      </c>
      <c r="E451">
        <v>5140</v>
      </c>
      <c r="F451">
        <v>0</v>
      </c>
      <c r="G451">
        <v>690104769</v>
      </c>
      <c r="H451" t="str">
        <f t="shared" si="7"/>
        <v>yes</v>
      </c>
      <c r="I451">
        <v>85</v>
      </c>
      <c r="J451">
        <v>110</v>
      </c>
      <c r="K451">
        <v>500</v>
      </c>
      <c r="L451">
        <v>0</v>
      </c>
      <c r="N451">
        <v>105</v>
      </c>
      <c r="O451" t="s">
        <v>29</v>
      </c>
      <c r="P451" t="s">
        <v>26</v>
      </c>
      <c r="Q451" s="10">
        <v>72</v>
      </c>
      <c r="R451" s="10">
        <v>33</v>
      </c>
      <c r="S451" s="10">
        <v>51</v>
      </c>
      <c r="T451" s="10">
        <v>48</v>
      </c>
      <c r="U451" s="10">
        <v>0</v>
      </c>
      <c r="V451" s="10">
        <v>9</v>
      </c>
      <c r="W451" s="10">
        <v>3</v>
      </c>
    </row>
    <row r="452" spans="1:23" ht="30.75">
      <c r="A452" s="2" t="s">
        <v>780</v>
      </c>
      <c r="B452" s="2" t="s">
        <v>787</v>
      </c>
      <c r="C452">
        <v>1</v>
      </c>
      <c r="D452" s="5">
        <v>41572</v>
      </c>
      <c r="E452">
        <v>6596</v>
      </c>
      <c r="F452">
        <v>0</v>
      </c>
      <c r="G452">
        <v>485285717</v>
      </c>
      <c r="H452" t="str">
        <f t="shared" si="7"/>
        <v>yes</v>
      </c>
      <c r="I452">
        <v>144</v>
      </c>
      <c r="J452">
        <v>99</v>
      </c>
      <c r="K452">
        <v>251</v>
      </c>
      <c r="L452">
        <v>0</v>
      </c>
      <c r="M452">
        <v>0</v>
      </c>
      <c r="N452">
        <v>160</v>
      </c>
      <c r="O452" t="s">
        <v>63</v>
      </c>
      <c r="P452" t="s">
        <v>26</v>
      </c>
      <c r="Q452" s="10">
        <v>51</v>
      </c>
      <c r="R452" s="10">
        <v>69</v>
      </c>
      <c r="S452" s="10">
        <v>81</v>
      </c>
      <c r="T452" s="10">
        <v>0</v>
      </c>
      <c r="U452" s="10">
        <v>0</v>
      </c>
      <c r="V452" s="10">
        <v>21</v>
      </c>
      <c r="W452" s="10">
        <v>5</v>
      </c>
    </row>
    <row r="453" spans="1:23">
      <c r="A453" s="2" t="s">
        <v>780</v>
      </c>
      <c r="B453" s="2" t="s">
        <v>788</v>
      </c>
      <c r="C453">
        <v>1</v>
      </c>
      <c r="D453" s="5">
        <v>25873</v>
      </c>
      <c r="E453">
        <v>3788</v>
      </c>
      <c r="F453">
        <v>0</v>
      </c>
      <c r="G453">
        <v>520034544</v>
      </c>
      <c r="H453" t="str">
        <f t="shared" si="7"/>
        <v>yes</v>
      </c>
      <c r="I453">
        <v>21</v>
      </c>
      <c r="J453">
        <v>3</v>
      </c>
      <c r="K453">
        <v>10</v>
      </c>
      <c r="L453">
        <v>0</v>
      </c>
      <c r="M453">
        <v>0</v>
      </c>
      <c r="N453">
        <v>148</v>
      </c>
      <c r="O453" t="s">
        <v>51</v>
      </c>
      <c r="P453" t="s">
        <v>26</v>
      </c>
      <c r="Q453" s="10">
        <v>50</v>
      </c>
      <c r="R453" s="10">
        <v>96</v>
      </c>
      <c r="S453" s="10">
        <v>82</v>
      </c>
      <c r="T453" s="10">
        <v>47</v>
      </c>
      <c r="U453" s="10">
        <v>0</v>
      </c>
      <c r="V453" s="10">
        <v>34</v>
      </c>
      <c r="W453" s="10">
        <v>4</v>
      </c>
    </row>
    <row r="454" spans="1:23" ht="30.75">
      <c r="A454" s="2" t="s">
        <v>780</v>
      </c>
      <c r="B454" s="2" t="s">
        <v>789</v>
      </c>
      <c r="C454">
        <v>1</v>
      </c>
      <c r="D454" s="5">
        <v>40830</v>
      </c>
      <c r="E454">
        <v>7655</v>
      </c>
      <c r="F454">
        <v>0</v>
      </c>
      <c r="G454">
        <v>476244795</v>
      </c>
      <c r="H454" t="str">
        <f t="shared" si="7"/>
        <v>yes</v>
      </c>
      <c r="I454">
        <v>5</v>
      </c>
      <c r="J454">
        <v>0</v>
      </c>
      <c r="K454">
        <v>291</v>
      </c>
      <c r="L454">
        <v>0</v>
      </c>
      <c r="M454">
        <v>0</v>
      </c>
      <c r="N454">
        <v>151</v>
      </c>
      <c r="O454" t="s">
        <v>72</v>
      </c>
      <c r="P454" t="s">
        <v>26</v>
      </c>
      <c r="Q454" s="10">
        <v>65</v>
      </c>
      <c r="R454" s="10">
        <v>70</v>
      </c>
      <c r="S454" s="10">
        <v>47</v>
      </c>
      <c r="T454" s="10">
        <v>87</v>
      </c>
      <c r="U454" s="10">
        <v>0</v>
      </c>
      <c r="V454" s="10">
        <v>9</v>
      </c>
      <c r="W454" s="10">
        <v>4</v>
      </c>
    </row>
    <row r="455" spans="1:23">
      <c r="A455" s="2" t="s">
        <v>780</v>
      </c>
      <c r="B455" s="2" t="s">
        <v>790</v>
      </c>
      <c r="C455">
        <v>1</v>
      </c>
      <c r="D455" s="5">
        <v>40544</v>
      </c>
      <c r="E455">
        <v>9577</v>
      </c>
      <c r="F455">
        <v>0</v>
      </c>
      <c r="G455">
        <v>629173063</v>
      </c>
      <c r="H455" t="str">
        <f t="shared" si="7"/>
        <v>yes</v>
      </c>
      <c r="I455">
        <v>195</v>
      </c>
      <c r="J455">
        <v>111</v>
      </c>
      <c r="K455">
        <v>310</v>
      </c>
      <c r="L455">
        <v>0</v>
      </c>
      <c r="M455">
        <v>0</v>
      </c>
      <c r="N455">
        <v>162</v>
      </c>
      <c r="O455" t="s">
        <v>53</v>
      </c>
      <c r="P455" t="s">
        <v>41</v>
      </c>
      <c r="Q455" s="10">
        <v>67</v>
      </c>
      <c r="R455" s="10">
        <v>88</v>
      </c>
      <c r="S455" s="10">
        <v>54</v>
      </c>
      <c r="T455" s="10">
        <v>51</v>
      </c>
      <c r="U455" s="10">
        <v>0</v>
      </c>
      <c r="V455" s="10">
        <v>9</v>
      </c>
      <c r="W455" s="10">
        <v>4</v>
      </c>
    </row>
    <row r="456" spans="1:23">
      <c r="A456" s="2" t="s">
        <v>780</v>
      </c>
      <c r="B456" s="2" t="s">
        <v>791</v>
      </c>
      <c r="C456">
        <v>1</v>
      </c>
      <c r="D456" s="5">
        <v>23337</v>
      </c>
      <c r="E456">
        <v>10114</v>
      </c>
      <c r="F456">
        <v>0</v>
      </c>
      <c r="G456">
        <v>404664135</v>
      </c>
      <c r="H456" t="str">
        <f t="shared" si="7"/>
        <v>yes</v>
      </c>
      <c r="I456">
        <v>114</v>
      </c>
      <c r="J456">
        <v>74</v>
      </c>
      <c r="K456">
        <v>262</v>
      </c>
      <c r="L456">
        <v>0</v>
      </c>
      <c r="M456">
        <v>0</v>
      </c>
      <c r="N456">
        <v>92</v>
      </c>
      <c r="O456" t="s">
        <v>51</v>
      </c>
      <c r="P456" t="s">
        <v>26</v>
      </c>
      <c r="Q456" s="10">
        <v>53</v>
      </c>
      <c r="R456" s="10">
        <v>84</v>
      </c>
      <c r="S456" s="10">
        <v>77</v>
      </c>
      <c r="T456" s="10">
        <v>40</v>
      </c>
      <c r="U456" s="10">
        <v>0</v>
      </c>
      <c r="V456" s="10">
        <v>32</v>
      </c>
      <c r="W456" s="10">
        <v>3</v>
      </c>
    </row>
    <row r="457" spans="1:23" ht="30.75">
      <c r="A457" s="2" t="s">
        <v>780</v>
      </c>
      <c r="B457" s="2" t="s">
        <v>792</v>
      </c>
      <c r="C457">
        <v>1</v>
      </c>
      <c r="D457" s="5">
        <v>44904</v>
      </c>
      <c r="E457">
        <v>1007</v>
      </c>
      <c r="F457">
        <v>0</v>
      </c>
      <c r="G457">
        <v>98709329</v>
      </c>
      <c r="H457" t="str">
        <f t="shared" si="7"/>
        <v>no</v>
      </c>
      <c r="I457">
        <v>5</v>
      </c>
      <c r="J457">
        <v>31</v>
      </c>
      <c r="K457">
        <v>1</v>
      </c>
      <c r="L457">
        <v>0</v>
      </c>
      <c r="M457">
        <v>0</v>
      </c>
      <c r="N457">
        <v>152</v>
      </c>
      <c r="O457" t="s">
        <v>29</v>
      </c>
      <c r="P457" t="s">
        <v>26</v>
      </c>
      <c r="Q457" s="10">
        <v>65</v>
      </c>
      <c r="R457" s="10">
        <v>35</v>
      </c>
      <c r="S457" s="10">
        <v>65</v>
      </c>
      <c r="T457" s="10">
        <v>44</v>
      </c>
      <c r="U457" s="10">
        <v>18</v>
      </c>
      <c r="V457" s="10">
        <v>21</v>
      </c>
      <c r="W457" s="10">
        <v>7</v>
      </c>
    </row>
    <row r="458" spans="1:23" ht="30.75">
      <c r="A458" s="2" t="s">
        <v>793</v>
      </c>
      <c r="B458" s="2" t="s">
        <v>794</v>
      </c>
      <c r="C458">
        <v>1</v>
      </c>
      <c r="D458" s="5">
        <v>44904</v>
      </c>
      <c r="E458">
        <v>1127</v>
      </c>
      <c r="F458">
        <v>0</v>
      </c>
      <c r="G458">
        <v>110849052</v>
      </c>
      <c r="H458" t="str">
        <f t="shared" si="7"/>
        <v>no</v>
      </c>
      <c r="I458">
        <v>16</v>
      </c>
      <c r="J458">
        <v>63</v>
      </c>
      <c r="K458">
        <v>8</v>
      </c>
      <c r="L458">
        <v>0</v>
      </c>
      <c r="M458">
        <v>0</v>
      </c>
      <c r="N458">
        <v>65</v>
      </c>
      <c r="O458" t="s">
        <v>37</v>
      </c>
      <c r="P458" t="s">
        <v>41</v>
      </c>
      <c r="Q458" s="10">
        <v>71</v>
      </c>
      <c r="R458" s="10">
        <v>55</v>
      </c>
      <c r="S458" s="10">
        <v>26</v>
      </c>
      <c r="T458" s="10">
        <v>85</v>
      </c>
      <c r="U458" s="10">
        <v>0</v>
      </c>
      <c r="V458" s="10">
        <v>13</v>
      </c>
      <c r="W458" s="10">
        <v>8</v>
      </c>
    </row>
    <row r="459" spans="1:23" ht="30.75">
      <c r="A459" s="2" t="s">
        <v>795</v>
      </c>
      <c r="B459" s="2" t="s">
        <v>796</v>
      </c>
      <c r="C459">
        <v>4</v>
      </c>
      <c r="D459" s="5">
        <v>26268</v>
      </c>
      <c r="E459">
        <v>10829</v>
      </c>
      <c r="F459">
        <v>0</v>
      </c>
      <c r="G459">
        <v>460492795</v>
      </c>
      <c r="H459" t="str">
        <f t="shared" si="7"/>
        <v>yes</v>
      </c>
      <c r="I459">
        <v>130</v>
      </c>
      <c r="J459">
        <v>1</v>
      </c>
      <c r="K459">
        <v>390</v>
      </c>
      <c r="L459">
        <v>0</v>
      </c>
      <c r="M459">
        <v>0</v>
      </c>
      <c r="N459">
        <v>147</v>
      </c>
      <c r="O459" t="s">
        <v>51</v>
      </c>
      <c r="P459" t="s">
        <v>26</v>
      </c>
      <c r="Q459" s="10">
        <v>33</v>
      </c>
      <c r="R459" s="10">
        <v>39</v>
      </c>
      <c r="S459" s="10">
        <v>61</v>
      </c>
      <c r="T459" s="10">
        <v>32</v>
      </c>
      <c r="U459" s="10">
        <v>0</v>
      </c>
      <c r="V459" s="10">
        <v>77</v>
      </c>
      <c r="W459" s="10">
        <v>3</v>
      </c>
    </row>
    <row r="460" spans="1:23" ht="30.75">
      <c r="A460" s="2" t="s">
        <v>797</v>
      </c>
      <c r="B460" s="2" t="s">
        <v>798</v>
      </c>
      <c r="C460">
        <v>2</v>
      </c>
      <c r="D460" s="5">
        <v>44903</v>
      </c>
      <c r="E460">
        <v>1042</v>
      </c>
      <c r="F460">
        <v>0</v>
      </c>
      <c r="G460">
        <v>94005786</v>
      </c>
      <c r="H460" t="str">
        <f t="shared" si="7"/>
        <v>no</v>
      </c>
      <c r="I460">
        <v>7</v>
      </c>
      <c r="J460">
        <v>29</v>
      </c>
      <c r="K460">
        <v>3</v>
      </c>
      <c r="L460">
        <v>0</v>
      </c>
      <c r="M460">
        <v>0</v>
      </c>
      <c r="N460">
        <v>150</v>
      </c>
      <c r="O460" t="s">
        <v>128</v>
      </c>
      <c r="P460" t="s">
        <v>41</v>
      </c>
      <c r="Q460" s="10">
        <v>73</v>
      </c>
      <c r="R460" s="10">
        <v>71</v>
      </c>
      <c r="S460" s="10">
        <v>69</v>
      </c>
      <c r="T460" s="10">
        <v>53</v>
      </c>
      <c r="U460" s="10">
        <v>0</v>
      </c>
      <c r="V460" s="10">
        <v>32</v>
      </c>
      <c r="W460" s="10">
        <v>9</v>
      </c>
    </row>
    <row r="461" spans="1:23" ht="45.75">
      <c r="A461" s="2" t="s">
        <v>799</v>
      </c>
      <c r="B461" s="2" t="s">
        <v>800</v>
      </c>
      <c r="C461">
        <v>1</v>
      </c>
      <c r="D461" s="5">
        <v>18994</v>
      </c>
      <c r="E461">
        <v>7930</v>
      </c>
      <c r="F461">
        <v>0</v>
      </c>
      <c r="G461">
        <v>395591396</v>
      </c>
      <c r="H461" t="str">
        <f t="shared" si="7"/>
        <v>yes</v>
      </c>
      <c r="I461">
        <v>108</v>
      </c>
      <c r="J461">
        <v>120</v>
      </c>
      <c r="K461">
        <v>73</v>
      </c>
      <c r="L461">
        <v>0</v>
      </c>
      <c r="M461">
        <v>0</v>
      </c>
      <c r="N461">
        <v>140</v>
      </c>
      <c r="P461" t="s">
        <v>26</v>
      </c>
      <c r="Q461" s="10">
        <v>67</v>
      </c>
      <c r="R461" s="10">
        <v>81</v>
      </c>
      <c r="S461" s="10">
        <v>36</v>
      </c>
      <c r="T461" s="10">
        <v>64</v>
      </c>
      <c r="U461" s="10">
        <v>0</v>
      </c>
      <c r="V461" s="10">
        <v>15</v>
      </c>
      <c r="W461" s="10">
        <v>3</v>
      </c>
    </row>
    <row r="462" spans="1:23" ht="91.5">
      <c r="A462" s="2" t="s">
        <v>801</v>
      </c>
      <c r="B462" s="2" t="s">
        <v>802</v>
      </c>
      <c r="C462">
        <v>1</v>
      </c>
      <c r="D462" s="5">
        <v>17107</v>
      </c>
      <c r="E462">
        <v>11500</v>
      </c>
      <c r="F462">
        <v>0</v>
      </c>
      <c r="G462">
        <v>389771964</v>
      </c>
      <c r="H462" t="str">
        <f t="shared" si="7"/>
        <v>yes</v>
      </c>
      <c r="I462">
        <v>140</v>
      </c>
      <c r="J462">
        <v>72</v>
      </c>
      <c r="K462">
        <v>251</v>
      </c>
      <c r="L462">
        <v>0</v>
      </c>
      <c r="M462">
        <v>0</v>
      </c>
      <c r="N462">
        <v>139</v>
      </c>
      <c r="O462" t="s">
        <v>29</v>
      </c>
      <c r="P462" t="s">
        <v>26</v>
      </c>
      <c r="Q462" s="10">
        <v>36</v>
      </c>
      <c r="R462" s="10">
        <v>22</v>
      </c>
      <c r="S462" s="10">
        <v>15</v>
      </c>
      <c r="T462" s="10">
        <v>84</v>
      </c>
      <c r="U462" s="10">
        <v>0</v>
      </c>
      <c r="V462" s="10">
        <v>11</v>
      </c>
      <c r="W462" s="10">
        <v>4</v>
      </c>
    </row>
    <row r="463" spans="1:23" ht="91.5">
      <c r="A463" s="2" t="s">
        <v>803</v>
      </c>
      <c r="B463" s="2" t="s">
        <v>804</v>
      </c>
      <c r="C463">
        <v>1</v>
      </c>
      <c r="D463" s="5">
        <v>29175</v>
      </c>
      <c r="E463">
        <v>1685</v>
      </c>
      <c r="F463">
        <v>0</v>
      </c>
      <c r="G463">
        <v>403939487</v>
      </c>
      <c r="H463" t="str">
        <f t="shared" si="7"/>
        <v>yes</v>
      </c>
      <c r="I463">
        <v>1</v>
      </c>
      <c r="J463">
        <v>0</v>
      </c>
      <c r="K463">
        <v>29</v>
      </c>
      <c r="L463">
        <v>0</v>
      </c>
      <c r="M463">
        <v>0</v>
      </c>
      <c r="N463">
        <v>95</v>
      </c>
      <c r="O463" t="s">
        <v>25</v>
      </c>
      <c r="P463" t="s">
        <v>26</v>
      </c>
      <c r="Q463" s="10">
        <v>75</v>
      </c>
      <c r="R463" s="10">
        <v>74</v>
      </c>
      <c r="S463" s="10">
        <v>58</v>
      </c>
      <c r="T463" s="10">
        <v>36</v>
      </c>
      <c r="U463" s="10">
        <v>0</v>
      </c>
      <c r="V463" s="10">
        <v>9</v>
      </c>
      <c r="W463" s="10">
        <v>3</v>
      </c>
    </row>
    <row r="464" spans="1:23" ht="45.75">
      <c r="A464" s="2" t="s">
        <v>805</v>
      </c>
      <c r="B464" s="2" t="s">
        <v>806</v>
      </c>
      <c r="C464">
        <v>1</v>
      </c>
      <c r="D464" s="5">
        <v>31011</v>
      </c>
      <c r="E464">
        <v>14169</v>
      </c>
      <c r="F464">
        <v>0</v>
      </c>
      <c r="G464">
        <v>481697415</v>
      </c>
      <c r="H464" t="str">
        <f t="shared" si="7"/>
        <v>yes</v>
      </c>
      <c r="I464">
        <v>209</v>
      </c>
      <c r="J464">
        <v>30</v>
      </c>
      <c r="K464">
        <v>449</v>
      </c>
      <c r="L464">
        <v>0</v>
      </c>
      <c r="M464">
        <v>0</v>
      </c>
      <c r="N464">
        <v>115</v>
      </c>
      <c r="P464" t="s">
        <v>26</v>
      </c>
      <c r="Q464" s="10">
        <v>60</v>
      </c>
      <c r="R464" s="10">
        <v>23</v>
      </c>
      <c r="S464" s="10">
        <v>57</v>
      </c>
      <c r="T464" s="10">
        <v>0</v>
      </c>
      <c r="U464" s="10">
        <v>2</v>
      </c>
      <c r="V464" s="10">
        <v>27</v>
      </c>
      <c r="W464" s="10">
        <v>3</v>
      </c>
    </row>
    <row r="465" spans="1:23" ht="60.75">
      <c r="A465" s="2" t="s">
        <v>807</v>
      </c>
      <c r="B465" s="2" t="s">
        <v>808</v>
      </c>
      <c r="C465">
        <v>2</v>
      </c>
      <c r="D465" s="5">
        <v>44904</v>
      </c>
      <c r="E465">
        <v>1634</v>
      </c>
      <c r="F465">
        <v>0</v>
      </c>
      <c r="G465">
        <v>110073250</v>
      </c>
      <c r="H465" t="str">
        <f t="shared" si="7"/>
        <v>no</v>
      </c>
      <c r="I465">
        <v>16</v>
      </c>
      <c r="J465">
        <v>20</v>
      </c>
      <c r="K465">
        <v>4</v>
      </c>
      <c r="L465">
        <v>0</v>
      </c>
      <c r="M465">
        <v>0</v>
      </c>
      <c r="N465">
        <v>125</v>
      </c>
      <c r="O465" t="s">
        <v>53</v>
      </c>
      <c r="P465" t="s">
        <v>26</v>
      </c>
      <c r="Q465" s="10">
        <v>62</v>
      </c>
      <c r="R465" s="10">
        <v>59</v>
      </c>
      <c r="S465" s="10">
        <v>43</v>
      </c>
      <c r="T465" s="10">
        <v>84</v>
      </c>
      <c r="U465" s="10">
        <v>3</v>
      </c>
      <c r="V465" s="10">
        <v>11</v>
      </c>
      <c r="W465" s="10">
        <v>5</v>
      </c>
    </row>
    <row r="466" spans="1:23" ht="30.75">
      <c r="A466" s="2" t="s">
        <v>809</v>
      </c>
      <c r="B466" s="2" t="s">
        <v>810</v>
      </c>
      <c r="C466">
        <v>1</v>
      </c>
      <c r="D466" s="5">
        <v>44904</v>
      </c>
      <c r="E466">
        <v>906</v>
      </c>
      <c r="F466">
        <v>0</v>
      </c>
      <c r="G466">
        <v>88092256</v>
      </c>
      <c r="H466" t="str">
        <f t="shared" si="7"/>
        <v>no</v>
      </c>
      <c r="I466">
        <v>6</v>
      </c>
      <c r="J466">
        <v>21</v>
      </c>
      <c r="K466">
        <v>3</v>
      </c>
      <c r="L466">
        <v>0</v>
      </c>
      <c r="M466">
        <v>0</v>
      </c>
      <c r="N466">
        <v>76</v>
      </c>
      <c r="P466" t="s">
        <v>26</v>
      </c>
      <c r="Q466" s="10">
        <v>60</v>
      </c>
      <c r="R466" s="10">
        <v>19</v>
      </c>
      <c r="S466" s="10">
        <v>20</v>
      </c>
      <c r="T466" s="10">
        <v>78</v>
      </c>
      <c r="U466" s="10">
        <v>0</v>
      </c>
      <c r="V466" s="10">
        <v>11</v>
      </c>
      <c r="W466" s="10">
        <v>5</v>
      </c>
    </row>
    <row r="467" spans="1:23" ht="45.75">
      <c r="A467" s="2" t="s">
        <v>811</v>
      </c>
      <c r="B467" s="2" t="s">
        <v>812</v>
      </c>
      <c r="C467">
        <v>1</v>
      </c>
      <c r="D467" s="5">
        <v>30682</v>
      </c>
      <c r="E467">
        <v>1087</v>
      </c>
      <c r="F467">
        <v>0</v>
      </c>
      <c r="G467">
        <v>351636786</v>
      </c>
      <c r="H467" t="str">
        <f t="shared" si="7"/>
        <v>yes</v>
      </c>
      <c r="I467">
        <v>90</v>
      </c>
      <c r="J467">
        <v>35</v>
      </c>
      <c r="K467">
        <v>5</v>
      </c>
      <c r="L467">
        <v>0</v>
      </c>
      <c r="M467">
        <v>0</v>
      </c>
      <c r="N467">
        <v>101</v>
      </c>
      <c r="O467" t="s">
        <v>29</v>
      </c>
      <c r="P467" t="s">
        <v>41</v>
      </c>
      <c r="Q467" s="10">
        <v>72</v>
      </c>
      <c r="R467" s="10">
        <v>91</v>
      </c>
      <c r="S467" s="10">
        <v>87</v>
      </c>
      <c r="T467" s="10">
        <v>14</v>
      </c>
      <c r="U467" s="10">
        <v>0</v>
      </c>
      <c r="V467" s="10">
        <v>13</v>
      </c>
      <c r="W467" s="10">
        <v>3</v>
      </c>
    </row>
    <row r="468" spans="1:23" ht="45.75">
      <c r="A468" s="2" t="s">
        <v>813</v>
      </c>
      <c r="B468" s="2" t="s">
        <v>785</v>
      </c>
      <c r="C468">
        <v>2</v>
      </c>
      <c r="D468" s="5">
        <v>18264</v>
      </c>
      <c r="E468">
        <v>10585</v>
      </c>
      <c r="F468">
        <v>0</v>
      </c>
      <c r="G468">
        <v>473248298</v>
      </c>
      <c r="H468" t="str">
        <f t="shared" si="7"/>
        <v>yes</v>
      </c>
      <c r="I468">
        <v>126</v>
      </c>
      <c r="J468">
        <v>108</v>
      </c>
      <c r="K468">
        <v>406</v>
      </c>
      <c r="L468">
        <v>0</v>
      </c>
      <c r="M468">
        <v>0</v>
      </c>
      <c r="N468">
        <v>143</v>
      </c>
      <c r="O468" t="s">
        <v>51</v>
      </c>
      <c r="P468" t="s">
        <v>26</v>
      </c>
      <c r="Q468" s="10">
        <v>60</v>
      </c>
      <c r="R468" s="10">
        <v>86</v>
      </c>
      <c r="S468" s="10">
        <v>32</v>
      </c>
      <c r="T468" s="10">
        <v>88</v>
      </c>
      <c r="U468" s="10">
        <v>0</v>
      </c>
      <c r="V468" s="10">
        <v>34</v>
      </c>
      <c r="W468" s="10">
        <v>6</v>
      </c>
    </row>
    <row r="469" spans="1:23">
      <c r="A469" s="2" t="s">
        <v>814</v>
      </c>
      <c r="B469" s="2" t="s">
        <v>815</v>
      </c>
      <c r="C469">
        <v>1</v>
      </c>
      <c r="D469" s="5">
        <v>44904</v>
      </c>
      <c r="E469">
        <v>827</v>
      </c>
      <c r="F469">
        <v>0</v>
      </c>
      <c r="G469">
        <v>73981293</v>
      </c>
      <c r="H469" t="str">
        <f t="shared" si="7"/>
        <v>no</v>
      </c>
      <c r="I469">
        <v>6</v>
      </c>
      <c r="J469">
        <v>18</v>
      </c>
      <c r="K469">
        <v>1</v>
      </c>
      <c r="L469">
        <v>0</v>
      </c>
      <c r="M469">
        <v>0</v>
      </c>
      <c r="N469">
        <v>119</v>
      </c>
      <c r="O469" t="s">
        <v>72</v>
      </c>
      <c r="P469" t="s">
        <v>41</v>
      </c>
      <c r="Q469" s="10">
        <v>51</v>
      </c>
      <c r="R469" s="10">
        <v>51</v>
      </c>
      <c r="S469" s="10">
        <v>66</v>
      </c>
      <c r="T469" s="10">
        <v>67</v>
      </c>
      <c r="U469" s="10">
        <v>0</v>
      </c>
      <c r="V469" s="10">
        <v>9</v>
      </c>
      <c r="W469" s="10">
        <v>23</v>
      </c>
    </row>
    <row r="470" spans="1:23" ht="45.75">
      <c r="A470" s="2" t="s">
        <v>816</v>
      </c>
      <c r="B470" s="2" t="s">
        <v>817</v>
      </c>
      <c r="C470">
        <v>2</v>
      </c>
      <c r="D470" s="5">
        <v>44903</v>
      </c>
      <c r="E470">
        <v>1420</v>
      </c>
      <c r="F470">
        <v>4</v>
      </c>
      <c r="G470">
        <v>155653938</v>
      </c>
      <c r="H470" t="str">
        <f t="shared" si="7"/>
        <v>no</v>
      </c>
      <c r="I470">
        <v>13</v>
      </c>
      <c r="J470">
        <v>87</v>
      </c>
      <c r="K470">
        <v>17</v>
      </c>
      <c r="L470">
        <v>0</v>
      </c>
      <c r="M470">
        <v>46</v>
      </c>
      <c r="N470">
        <v>78</v>
      </c>
      <c r="O470" t="s">
        <v>37</v>
      </c>
      <c r="P470" t="s">
        <v>26</v>
      </c>
      <c r="Q470" s="10">
        <v>67</v>
      </c>
      <c r="R470" s="10">
        <v>22</v>
      </c>
      <c r="S470" s="10">
        <v>59</v>
      </c>
      <c r="T470" s="10">
        <v>76</v>
      </c>
      <c r="U470" s="10">
        <v>1</v>
      </c>
      <c r="V470" s="10">
        <v>15</v>
      </c>
      <c r="W470" s="10">
        <v>16</v>
      </c>
    </row>
    <row r="471" spans="1:23" ht="30.75">
      <c r="A471" s="2" t="s">
        <v>818</v>
      </c>
      <c r="B471" s="2" t="s">
        <v>819</v>
      </c>
      <c r="C471">
        <v>3</v>
      </c>
      <c r="D471" s="5">
        <v>15342</v>
      </c>
      <c r="E471">
        <v>11940</v>
      </c>
      <c r="F471">
        <v>0</v>
      </c>
      <c r="G471">
        <v>395591396</v>
      </c>
      <c r="H471" t="str">
        <f t="shared" si="7"/>
        <v>yes</v>
      </c>
      <c r="I471">
        <v>73</v>
      </c>
      <c r="J471">
        <v>79</v>
      </c>
      <c r="K471">
        <v>123</v>
      </c>
      <c r="L471">
        <v>0</v>
      </c>
      <c r="M471">
        <v>0</v>
      </c>
      <c r="N471">
        <v>96</v>
      </c>
      <c r="O471" t="s">
        <v>37</v>
      </c>
      <c r="P471" t="s">
        <v>26</v>
      </c>
      <c r="Q471" s="10">
        <v>23</v>
      </c>
      <c r="R471" s="10">
        <v>19</v>
      </c>
      <c r="S471" s="10">
        <v>25</v>
      </c>
      <c r="T471" s="10">
        <v>91</v>
      </c>
      <c r="U471" s="10">
        <v>0</v>
      </c>
      <c r="V471" s="10">
        <v>40</v>
      </c>
      <c r="W471" s="10">
        <v>3</v>
      </c>
    </row>
    <row r="472" spans="1:23" ht="60.75">
      <c r="A472" s="2" t="s">
        <v>820</v>
      </c>
      <c r="B472" s="2" t="s">
        <v>821</v>
      </c>
      <c r="C472">
        <v>1</v>
      </c>
      <c r="D472" s="5">
        <v>31413</v>
      </c>
      <c r="E472">
        <v>888</v>
      </c>
      <c r="F472">
        <v>0</v>
      </c>
      <c r="G472">
        <v>429504768</v>
      </c>
      <c r="H472" t="str">
        <f t="shared" si="7"/>
        <v>yes</v>
      </c>
      <c r="I472">
        <v>50</v>
      </c>
      <c r="J472">
        <v>0</v>
      </c>
      <c r="K472">
        <v>6</v>
      </c>
      <c r="L472">
        <v>0</v>
      </c>
      <c r="M472">
        <v>0</v>
      </c>
      <c r="N472">
        <v>180</v>
      </c>
      <c r="O472" t="s">
        <v>37</v>
      </c>
      <c r="P472" t="s">
        <v>26</v>
      </c>
      <c r="Q472" s="10">
        <v>51</v>
      </c>
      <c r="R472" s="10">
        <v>87</v>
      </c>
      <c r="S472" s="10">
        <v>58</v>
      </c>
      <c r="T472" s="10">
        <v>36</v>
      </c>
      <c r="U472" s="10">
        <v>0</v>
      </c>
      <c r="V472" s="10">
        <v>18</v>
      </c>
      <c r="W472" s="10">
        <v>4</v>
      </c>
    </row>
    <row r="473" spans="1:23" ht="45.75">
      <c r="A473" s="2" t="s">
        <v>822</v>
      </c>
      <c r="B473" s="2" t="s">
        <v>823</v>
      </c>
      <c r="C473">
        <v>1</v>
      </c>
      <c r="D473" s="5">
        <v>23337</v>
      </c>
      <c r="E473">
        <v>9122</v>
      </c>
      <c r="F473">
        <v>0</v>
      </c>
      <c r="G473">
        <v>242767149</v>
      </c>
      <c r="H473" t="str">
        <f t="shared" si="7"/>
        <v>yes</v>
      </c>
      <c r="I473">
        <v>121</v>
      </c>
      <c r="J473">
        <v>58</v>
      </c>
      <c r="K473">
        <v>212</v>
      </c>
      <c r="L473">
        <v>0</v>
      </c>
      <c r="M473">
        <v>0</v>
      </c>
      <c r="N473">
        <v>126</v>
      </c>
      <c r="O473" t="s">
        <v>196</v>
      </c>
      <c r="P473" t="s">
        <v>26</v>
      </c>
      <c r="Q473" s="10">
        <v>34</v>
      </c>
      <c r="R473" s="10">
        <v>35</v>
      </c>
      <c r="S473" s="10">
        <v>76</v>
      </c>
      <c r="T473" s="10">
        <v>39</v>
      </c>
      <c r="U473" s="10">
        <v>0</v>
      </c>
      <c r="V473" s="10">
        <v>8</v>
      </c>
      <c r="W473" s="10">
        <v>5</v>
      </c>
    </row>
    <row r="474" spans="1:23">
      <c r="A474" s="2" t="s">
        <v>824</v>
      </c>
      <c r="B474" s="2" t="s">
        <v>825</v>
      </c>
      <c r="C474">
        <v>1</v>
      </c>
      <c r="D474" s="5">
        <v>44904</v>
      </c>
      <c r="E474">
        <v>892</v>
      </c>
      <c r="F474">
        <v>0</v>
      </c>
      <c r="G474">
        <v>65362788</v>
      </c>
      <c r="H474" t="str">
        <f t="shared" si="7"/>
        <v>no</v>
      </c>
      <c r="I474">
        <v>3</v>
      </c>
      <c r="J474">
        <v>17</v>
      </c>
      <c r="K474">
        <v>2</v>
      </c>
      <c r="L474">
        <v>0</v>
      </c>
      <c r="M474">
        <v>0</v>
      </c>
      <c r="N474">
        <v>150</v>
      </c>
      <c r="O474" t="s">
        <v>32</v>
      </c>
      <c r="P474" t="s">
        <v>26</v>
      </c>
      <c r="Q474" s="10">
        <v>43</v>
      </c>
      <c r="R474" s="10">
        <v>42</v>
      </c>
      <c r="S474" s="10">
        <v>44</v>
      </c>
      <c r="T474" s="10">
        <v>57</v>
      </c>
      <c r="U474" s="10">
        <v>0</v>
      </c>
      <c r="V474" s="10">
        <v>15</v>
      </c>
      <c r="W474" s="10">
        <v>6</v>
      </c>
    </row>
    <row r="475" spans="1:23" ht="45.75">
      <c r="A475" s="2" t="s">
        <v>826</v>
      </c>
      <c r="B475" s="2" t="s">
        <v>827</v>
      </c>
      <c r="C475">
        <v>1</v>
      </c>
      <c r="D475" s="5">
        <v>44904</v>
      </c>
      <c r="E475">
        <v>989</v>
      </c>
      <c r="F475">
        <v>0</v>
      </c>
      <c r="G475">
        <v>67540165</v>
      </c>
      <c r="H475" t="str">
        <f t="shared" si="7"/>
        <v>no</v>
      </c>
      <c r="I475">
        <v>5</v>
      </c>
      <c r="J475">
        <v>9</v>
      </c>
      <c r="K475">
        <v>1</v>
      </c>
      <c r="L475">
        <v>0</v>
      </c>
      <c r="M475">
        <v>0</v>
      </c>
      <c r="N475">
        <v>90</v>
      </c>
      <c r="O475" t="s">
        <v>51</v>
      </c>
      <c r="P475" t="s">
        <v>26</v>
      </c>
      <c r="Q475" s="10">
        <v>53</v>
      </c>
      <c r="R475" s="10">
        <v>47</v>
      </c>
      <c r="S475" s="10">
        <v>74</v>
      </c>
      <c r="T475" s="10">
        <v>9</v>
      </c>
      <c r="U475" s="10">
        <v>0</v>
      </c>
      <c r="V475" s="10">
        <v>34</v>
      </c>
      <c r="W475" s="10">
        <v>4</v>
      </c>
    </row>
    <row r="476" spans="1:23">
      <c r="A476" s="2" t="s">
        <v>828</v>
      </c>
      <c r="B476" s="2" t="s">
        <v>829</v>
      </c>
      <c r="C476">
        <v>1</v>
      </c>
      <c r="D476" s="5">
        <v>44904</v>
      </c>
      <c r="E476">
        <v>819</v>
      </c>
      <c r="F476">
        <v>0</v>
      </c>
      <c r="G476">
        <v>62019074</v>
      </c>
      <c r="H476" t="str">
        <f t="shared" si="7"/>
        <v>no</v>
      </c>
      <c r="I476">
        <v>14</v>
      </c>
      <c r="J476">
        <v>22</v>
      </c>
      <c r="K476">
        <v>0</v>
      </c>
      <c r="L476">
        <v>0</v>
      </c>
      <c r="M476">
        <v>0</v>
      </c>
      <c r="N476">
        <v>160</v>
      </c>
      <c r="O476" t="s">
        <v>32</v>
      </c>
      <c r="P476" t="s">
        <v>26</v>
      </c>
      <c r="Q476" s="10">
        <v>72</v>
      </c>
      <c r="R476" s="10">
        <v>78</v>
      </c>
      <c r="S476" s="10">
        <v>68</v>
      </c>
      <c r="T476" s="10">
        <v>28</v>
      </c>
      <c r="U476" s="10">
        <v>0</v>
      </c>
      <c r="V476" s="10">
        <v>11</v>
      </c>
      <c r="W476" s="10">
        <v>12</v>
      </c>
    </row>
    <row r="477" spans="1:23" ht="45.75">
      <c r="A477" s="2" t="s">
        <v>830</v>
      </c>
      <c r="B477" s="2" t="s">
        <v>831</v>
      </c>
      <c r="C477">
        <v>2</v>
      </c>
      <c r="D477" s="5">
        <v>43049</v>
      </c>
      <c r="E477">
        <v>2209</v>
      </c>
      <c r="F477">
        <v>0</v>
      </c>
      <c r="G477">
        <v>135723538</v>
      </c>
      <c r="H477" t="str">
        <f t="shared" si="7"/>
        <v>no</v>
      </c>
      <c r="I477">
        <v>72</v>
      </c>
      <c r="J477">
        <v>90</v>
      </c>
      <c r="K477">
        <v>141</v>
      </c>
      <c r="L477">
        <v>0</v>
      </c>
      <c r="M477">
        <v>0</v>
      </c>
      <c r="N477">
        <v>114</v>
      </c>
      <c r="P477" t="s">
        <v>26</v>
      </c>
      <c r="Q477" s="10">
        <v>59</v>
      </c>
      <c r="R477" s="10">
        <v>60</v>
      </c>
      <c r="S477" s="10">
        <v>94</v>
      </c>
      <c r="T477" s="10">
        <v>24</v>
      </c>
      <c r="U477" s="10">
        <v>0</v>
      </c>
      <c r="V477" s="10">
        <v>10</v>
      </c>
      <c r="W477" s="10">
        <v>4</v>
      </c>
    </row>
    <row r="478" spans="1:23" ht="91.5">
      <c r="A478" s="2" t="s">
        <v>832</v>
      </c>
      <c r="B478" s="2" t="s">
        <v>833</v>
      </c>
      <c r="C478">
        <v>3</v>
      </c>
      <c r="D478" s="5">
        <v>21186</v>
      </c>
      <c r="E478">
        <v>6290</v>
      </c>
      <c r="F478">
        <v>0</v>
      </c>
      <c r="G478">
        <v>295998468</v>
      </c>
      <c r="H478" t="str">
        <f t="shared" si="7"/>
        <v>yes</v>
      </c>
      <c r="I478">
        <v>89</v>
      </c>
      <c r="J478">
        <v>39</v>
      </c>
      <c r="K478">
        <v>158</v>
      </c>
      <c r="L478">
        <v>0</v>
      </c>
      <c r="M478">
        <v>0</v>
      </c>
      <c r="N478">
        <v>113</v>
      </c>
      <c r="O478" t="s">
        <v>72</v>
      </c>
      <c r="P478" t="s">
        <v>26</v>
      </c>
      <c r="Q478" s="10">
        <v>73</v>
      </c>
      <c r="R478" s="10">
        <v>72</v>
      </c>
      <c r="S478" s="10">
        <v>32</v>
      </c>
      <c r="T478" s="10">
        <v>77</v>
      </c>
      <c r="U478" s="10">
        <v>0</v>
      </c>
      <c r="V478" s="10">
        <v>15</v>
      </c>
      <c r="W478" s="10">
        <v>5</v>
      </c>
    </row>
    <row r="479" spans="1:23" ht="30.75">
      <c r="A479" s="2" t="s">
        <v>832</v>
      </c>
      <c r="B479" s="2" t="s">
        <v>834</v>
      </c>
      <c r="C479">
        <v>1</v>
      </c>
      <c r="D479" s="5">
        <v>36837</v>
      </c>
      <c r="E479">
        <v>6952</v>
      </c>
      <c r="F479">
        <v>0</v>
      </c>
      <c r="G479">
        <v>261116938</v>
      </c>
      <c r="H479" t="str">
        <f t="shared" si="7"/>
        <v>yes</v>
      </c>
      <c r="I479">
        <v>115</v>
      </c>
      <c r="J479">
        <v>53</v>
      </c>
      <c r="K479">
        <v>286</v>
      </c>
      <c r="L479">
        <v>0</v>
      </c>
      <c r="M479">
        <v>0</v>
      </c>
      <c r="N479">
        <v>147</v>
      </c>
      <c r="P479" t="s">
        <v>26</v>
      </c>
      <c r="Q479" s="10">
        <v>67</v>
      </c>
      <c r="R479" s="10">
        <v>69</v>
      </c>
      <c r="S479" s="10">
        <v>72</v>
      </c>
      <c r="T479" s="10">
        <v>17</v>
      </c>
      <c r="U479" s="10">
        <v>0</v>
      </c>
      <c r="V479" s="10">
        <v>19</v>
      </c>
      <c r="W479" s="10">
        <v>3</v>
      </c>
    </row>
    <row r="480" spans="1:23">
      <c r="A480" s="2" t="s">
        <v>832</v>
      </c>
      <c r="B480" s="2" t="s">
        <v>835</v>
      </c>
      <c r="C480">
        <v>2</v>
      </c>
      <c r="D480" s="5">
        <v>44869</v>
      </c>
      <c r="E480">
        <v>313</v>
      </c>
      <c r="F480">
        <v>2</v>
      </c>
      <c r="G480">
        <v>136689549</v>
      </c>
      <c r="H480" t="str">
        <f t="shared" si="7"/>
        <v>no</v>
      </c>
      <c r="I480">
        <v>10</v>
      </c>
      <c r="J480">
        <v>6</v>
      </c>
      <c r="K480">
        <v>7</v>
      </c>
      <c r="L480">
        <v>1</v>
      </c>
      <c r="M480">
        <v>9</v>
      </c>
      <c r="N480">
        <v>100</v>
      </c>
      <c r="O480" t="s">
        <v>25</v>
      </c>
      <c r="P480" t="s">
        <v>41</v>
      </c>
      <c r="Q480" s="10">
        <v>70</v>
      </c>
      <c r="R480" s="10">
        <v>92</v>
      </c>
      <c r="S480" s="10">
        <v>59</v>
      </c>
      <c r="T480" s="10">
        <v>3</v>
      </c>
      <c r="U480" s="10">
        <v>0</v>
      </c>
      <c r="V480" s="10">
        <v>10</v>
      </c>
      <c r="W480" s="10">
        <v>3</v>
      </c>
    </row>
    <row r="481" spans="1:23" ht="30.75">
      <c r="A481" s="2" t="s">
        <v>832</v>
      </c>
      <c r="B481" s="2" t="s">
        <v>836</v>
      </c>
      <c r="C481">
        <v>1</v>
      </c>
      <c r="D481" s="5">
        <v>44897</v>
      </c>
      <c r="E481">
        <v>353</v>
      </c>
      <c r="F481">
        <v>2</v>
      </c>
      <c r="G481">
        <v>135611421</v>
      </c>
      <c r="H481" t="str">
        <f t="shared" si="7"/>
        <v>no</v>
      </c>
      <c r="I481">
        <v>2</v>
      </c>
      <c r="J481">
        <v>74</v>
      </c>
      <c r="K481">
        <v>14</v>
      </c>
      <c r="L481">
        <v>0</v>
      </c>
      <c r="M481">
        <v>2</v>
      </c>
      <c r="N481">
        <v>155</v>
      </c>
      <c r="O481" t="s">
        <v>63</v>
      </c>
      <c r="P481" t="s">
        <v>26</v>
      </c>
      <c r="Q481" s="10">
        <v>49</v>
      </c>
      <c r="R481" s="10">
        <v>42</v>
      </c>
      <c r="S481" s="10">
        <v>77</v>
      </c>
      <c r="T481" s="10">
        <v>3</v>
      </c>
      <c r="U481" s="10">
        <v>0</v>
      </c>
      <c r="V481" s="10">
        <v>12</v>
      </c>
      <c r="W481" s="10">
        <v>9</v>
      </c>
    </row>
    <row r="482" spans="1:23">
      <c r="A482" s="2" t="s">
        <v>832</v>
      </c>
      <c r="B482" s="2" t="s">
        <v>837</v>
      </c>
      <c r="C482">
        <v>1</v>
      </c>
      <c r="D482" s="5">
        <v>44533</v>
      </c>
      <c r="E482">
        <v>4094</v>
      </c>
      <c r="F482">
        <v>0</v>
      </c>
      <c r="G482">
        <v>356709897</v>
      </c>
      <c r="H482" t="str">
        <f t="shared" si="7"/>
        <v>yes</v>
      </c>
      <c r="I482">
        <v>66</v>
      </c>
      <c r="J482">
        <v>96</v>
      </c>
      <c r="K482">
        <v>43</v>
      </c>
      <c r="L482">
        <v>0</v>
      </c>
      <c r="M482">
        <v>0</v>
      </c>
      <c r="N482">
        <v>107</v>
      </c>
      <c r="O482" t="s">
        <v>72</v>
      </c>
      <c r="P482" t="s">
        <v>41</v>
      </c>
      <c r="Q482" s="10">
        <v>54</v>
      </c>
      <c r="R482" s="10">
        <v>41</v>
      </c>
      <c r="S482" s="10">
        <v>39</v>
      </c>
      <c r="T482" s="10">
        <v>51</v>
      </c>
      <c r="U482" s="10">
        <v>0</v>
      </c>
      <c r="V482" s="10">
        <v>11</v>
      </c>
      <c r="W482" s="10">
        <v>16</v>
      </c>
    </row>
    <row r="483" spans="1:23" ht="45.75">
      <c r="A483" s="2" t="s">
        <v>832</v>
      </c>
      <c r="B483" s="2" t="s">
        <v>838</v>
      </c>
      <c r="C483">
        <v>2</v>
      </c>
      <c r="D483" s="5">
        <v>44897</v>
      </c>
      <c r="E483">
        <v>880</v>
      </c>
      <c r="F483">
        <v>0</v>
      </c>
      <c r="G483">
        <v>110649992</v>
      </c>
      <c r="H483" t="str">
        <f t="shared" si="7"/>
        <v>no</v>
      </c>
      <c r="I483">
        <v>3</v>
      </c>
      <c r="J483">
        <v>7</v>
      </c>
      <c r="K483">
        <v>10</v>
      </c>
      <c r="L483">
        <v>0</v>
      </c>
      <c r="M483">
        <v>0</v>
      </c>
      <c r="N483">
        <v>112</v>
      </c>
      <c r="O483" t="s">
        <v>63</v>
      </c>
      <c r="P483" t="s">
        <v>26</v>
      </c>
      <c r="Q483" s="10">
        <v>80</v>
      </c>
      <c r="R483" s="10">
        <v>15</v>
      </c>
      <c r="S483" s="10">
        <v>54</v>
      </c>
      <c r="T483" s="10">
        <v>9</v>
      </c>
      <c r="U483" s="10">
        <v>0</v>
      </c>
      <c r="V483" s="10">
        <v>38</v>
      </c>
      <c r="W483" s="10">
        <v>5</v>
      </c>
    </row>
    <row r="484" spans="1:23" ht="30.75">
      <c r="A484" s="2" t="s">
        <v>832</v>
      </c>
      <c r="B484" s="2" t="s">
        <v>609</v>
      </c>
      <c r="C484">
        <v>1</v>
      </c>
      <c r="D484" s="5">
        <v>44865</v>
      </c>
      <c r="E484">
        <v>573</v>
      </c>
      <c r="F484">
        <v>0</v>
      </c>
      <c r="G484">
        <v>301869854</v>
      </c>
      <c r="H484" t="str">
        <f t="shared" si="7"/>
        <v>yes</v>
      </c>
      <c r="I484">
        <v>1</v>
      </c>
      <c r="J484">
        <v>0</v>
      </c>
      <c r="K484">
        <v>18</v>
      </c>
      <c r="L484">
        <v>0</v>
      </c>
      <c r="M484">
        <v>24</v>
      </c>
      <c r="N484">
        <v>166</v>
      </c>
      <c r="O484" t="s">
        <v>29</v>
      </c>
      <c r="P484" t="s">
        <v>26</v>
      </c>
      <c r="Q484" s="10">
        <v>70</v>
      </c>
      <c r="R484" s="10">
        <v>57</v>
      </c>
      <c r="S484" s="10">
        <v>57</v>
      </c>
      <c r="T484" s="10">
        <v>9</v>
      </c>
      <c r="U484" s="10">
        <v>20</v>
      </c>
      <c r="V484" s="10">
        <v>11</v>
      </c>
      <c r="W484" s="10">
        <v>7</v>
      </c>
    </row>
    <row r="485" spans="1:23" ht="45.75">
      <c r="A485" s="2" t="s">
        <v>839</v>
      </c>
      <c r="B485" s="2" t="s">
        <v>840</v>
      </c>
      <c r="C485">
        <v>1</v>
      </c>
      <c r="D485" s="5">
        <v>21551</v>
      </c>
      <c r="E485">
        <v>3299</v>
      </c>
      <c r="F485">
        <v>0</v>
      </c>
      <c r="G485">
        <v>127027715</v>
      </c>
      <c r="H485" t="str">
        <f t="shared" si="7"/>
        <v>no</v>
      </c>
      <c r="I485">
        <v>65</v>
      </c>
      <c r="J485">
        <v>39</v>
      </c>
      <c r="K485">
        <v>41</v>
      </c>
      <c r="L485">
        <v>0</v>
      </c>
      <c r="M485">
        <v>0</v>
      </c>
      <c r="N485">
        <v>107</v>
      </c>
      <c r="O485" t="s">
        <v>53</v>
      </c>
      <c r="P485" t="s">
        <v>41</v>
      </c>
      <c r="Q485" s="10">
        <v>69</v>
      </c>
      <c r="R485" s="10">
        <v>96</v>
      </c>
      <c r="S485" s="10">
        <v>36</v>
      </c>
      <c r="T485" s="10">
        <v>81</v>
      </c>
      <c r="U485" s="10">
        <v>0</v>
      </c>
      <c r="V485" s="10">
        <v>8</v>
      </c>
      <c r="W485" s="10">
        <v>4</v>
      </c>
    </row>
    <row r="486" spans="1:23" ht="30.75">
      <c r="A486" s="2" t="s">
        <v>841</v>
      </c>
      <c r="B486" s="2" t="s">
        <v>842</v>
      </c>
      <c r="C486">
        <v>1</v>
      </c>
      <c r="D486" s="5">
        <v>44904</v>
      </c>
      <c r="E486">
        <v>811</v>
      </c>
      <c r="F486">
        <v>0</v>
      </c>
      <c r="G486">
        <v>57144458</v>
      </c>
      <c r="H486" t="str">
        <f t="shared" si="7"/>
        <v>no</v>
      </c>
      <c r="I486">
        <v>6</v>
      </c>
      <c r="J486">
        <v>11</v>
      </c>
      <c r="K486">
        <v>3</v>
      </c>
      <c r="L486">
        <v>0</v>
      </c>
      <c r="M486">
        <v>0</v>
      </c>
      <c r="N486">
        <v>81</v>
      </c>
      <c r="O486" t="s">
        <v>63</v>
      </c>
      <c r="P486" t="s">
        <v>26</v>
      </c>
      <c r="Q486" s="10">
        <v>47</v>
      </c>
      <c r="R486" s="10">
        <v>33</v>
      </c>
      <c r="S486" s="10">
        <v>68</v>
      </c>
      <c r="T486" s="10">
        <v>24</v>
      </c>
      <c r="U486" s="10">
        <v>0</v>
      </c>
      <c r="V486" s="10">
        <v>22</v>
      </c>
      <c r="W486" s="10">
        <v>38</v>
      </c>
    </row>
    <row r="487" spans="1:23">
      <c r="A487" s="2" t="s">
        <v>841</v>
      </c>
      <c r="B487" s="2" t="s">
        <v>843</v>
      </c>
      <c r="C487">
        <v>1</v>
      </c>
      <c r="D487" s="5">
        <v>44904</v>
      </c>
      <c r="E487">
        <v>899</v>
      </c>
      <c r="F487">
        <v>0</v>
      </c>
      <c r="G487">
        <v>56870689</v>
      </c>
      <c r="H487" t="str">
        <f t="shared" si="7"/>
        <v>no</v>
      </c>
      <c r="I487">
        <v>2</v>
      </c>
      <c r="J487">
        <v>14</v>
      </c>
      <c r="K487">
        <v>2</v>
      </c>
      <c r="L487">
        <v>0</v>
      </c>
      <c r="M487">
        <v>0</v>
      </c>
      <c r="N487">
        <v>150</v>
      </c>
      <c r="O487" t="s">
        <v>29</v>
      </c>
      <c r="P487" t="s">
        <v>26</v>
      </c>
      <c r="Q487" s="10">
        <v>79</v>
      </c>
      <c r="R487" s="10">
        <v>77</v>
      </c>
      <c r="S487" s="10">
        <v>46</v>
      </c>
      <c r="T487" s="10">
        <v>5</v>
      </c>
      <c r="U487" s="10">
        <v>0</v>
      </c>
      <c r="V487" s="10">
        <v>11</v>
      </c>
      <c r="W487" s="10">
        <v>7</v>
      </c>
    </row>
    <row r="488" spans="1:23" ht="45.75">
      <c r="A488" s="2" t="s">
        <v>844</v>
      </c>
      <c r="B488" s="2" t="s">
        <v>845</v>
      </c>
      <c r="C488">
        <v>2</v>
      </c>
      <c r="D488" s="5">
        <v>44855</v>
      </c>
      <c r="E488">
        <v>2415</v>
      </c>
      <c r="F488">
        <v>0</v>
      </c>
      <c r="G488">
        <v>323437194</v>
      </c>
      <c r="H488" t="str">
        <f t="shared" si="7"/>
        <v>yes</v>
      </c>
      <c r="I488">
        <v>33</v>
      </c>
      <c r="J488">
        <v>57</v>
      </c>
      <c r="K488">
        <v>30</v>
      </c>
      <c r="L488">
        <v>0</v>
      </c>
      <c r="M488">
        <v>11</v>
      </c>
      <c r="N488">
        <v>110</v>
      </c>
      <c r="O488" t="s">
        <v>37</v>
      </c>
      <c r="P488" t="s">
        <v>26</v>
      </c>
      <c r="Q488" s="10">
        <v>66</v>
      </c>
      <c r="R488" s="10">
        <v>19</v>
      </c>
      <c r="S488" s="10">
        <v>32</v>
      </c>
      <c r="T488" s="10">
        <v>69</v>
      </c>
      <c r="U488" s="10">
        <v>0</v>
      </c>
      <c r="V488" s="10">
        <v>12</v>
      </c>
      <c r="W488" s="10">
        <v>4</v>
      </c>
    </row>
    <row r="489" spans="1:23">
      <c r="A489" s="2" t="s">
        <v>846</v>
      </c>
      <c r="B489" s="2" t="s">
        <v>847</v>
      </c>
      <c r="C489">
        <v>1</v>
      </c>
      <c r="D489" s="5">
        <v>44855</v>
      </c>
      <c r="E489">
        <v>2304</v>
      </c>
      <c r="F489">
        <v>0</v>
      </c>
      <c r="G489">
        <v>317726339</v>
      </c>
      <c r="H489" t="str">
        <f t="shared" si="7"/>
        <v>yes</v>
      </c>
      <c r="I489">
        <v>12</v>
      </c>
      <c r="J489">
        <v>16</v>
      </c>
      <c r="K489">
        <v>14</v>
      </c>
      <c r="L489">
        <v>0</v>
      </c>
      <c r="M489">
        <v>0</v>
      </c>
      <c r="N489">
        <v>108</v>
      </c>
      <c r="O489" t="s">
        <v>72</v>
      </c>
      <c r="P489" t="s">
        <v>26</v>
      </c>
      <c r="Q489" s="10">
        <v>64</v>
      </c>
      <c r="R489" s="10">
        <v>4</v>
      </c>
      <c r="S489" s="10">
        <v>40</v>
      </c>
      <c r="T489" s="10">
        <v>6</v>
      </c>
      <c r="U489" s="10">
        <v>0</v>
      </c>
      <c r="V489" s="10">
        <v>10</v>
      </c>
      <c r="W489" s="10">
        <v>6</v>
      </c>
    </row>
    <row r="490" spans="1:23" ht="30.75">
      <c r="A490" s="2" t="s">
        <v>846</v>
      </c>
      <c r="B490" s="2" t="s">
        <v>848</v>
      </c>
      <c r="C490">
        <v>4</v>
      </c>
      <c r="D490" s="5">
        <v>44832</v>
      </c>
      <c r="E490">
        <v>1003</v>
      </c>
      <c r="F490">
        <v>0</v>
      </c>
      <c r="G490">
        <v>116144341</v>
      </c>
      <c r="H490" t="str">
        <f t="shared" si="7"/>
        <v>no</v>
      </c>
      <c r="I490">
        <v>21</v>
      </c>
      <c r="J490">
        <v>0</v>
      </c>
      <c r="K490">
        <v>44</v>
      </c>
      <c r="L490">
        <v>0</v>
      </c>
      <c r="M490">
        <v>0</v>
      </c>
      <c r="N490">
        <v>130</v>
      </c>
      <c r="O490" t="s">
        <v>98</v>
      </c>
      <c r="P490" t="s">
        <v>41</v>
      </c>
      <c r="Q490" s="10">
        <v>89</v>
      </c>
      <c r="R490" s="10">
        <v>48</v>
      </c>
      <c r="S490" s="10">
        <v>74</v>
      </c>
      <c r="T490" s="10">
        <v>30</v>
      </c>
      <c r="U490" s="10">
        <v>0</v>
      </c>
      <c r="V490" s="10">
        <v>7</v>
      </c>
      <c r="W490" s="10">
        <v>36</v>
      </c>
    </row>
    <row r="491" spans="1:23">
      <c r="A491" s="2" t="s">
        <v>846</v>
      </c>
      <c r="B491" s="2" t="s">
        <v>849</v>
      </c>
      <c r="C491">
        <v>1</v>
      </c>
      <c r="D491" s="5">
        <v>44855</v>
      </c>
      <c r="E491">
        <v>2699</v>
      </c>
      <c r="F491">
        <v>0</v>
      </c>
      <c r="G491">
        <v>328207708</v>
      </c>
      <c r="H491" t="str">
        <f t="shared" si="7"/>
        <v>yes</v>
      </c>
      <c r="I491">
        <v>39</v>
      </c>
      <c r="J491">
        <v>35</v>
      </c>
      <c r="K491">
        <v>22</v>
      </c>
      <c r="L491">
        <v>2</v>
      </c>
      <c r="M491">
        <v>0</v>
      </c>
      <c r="N491">
        <v>164</v>
      </c>
      <c r="O491" t="s">
        <v>72</v>
      </c>
      <c r="P491" t="s">
        <v>26</v>
      </c>
      <c r="Q491" s="10">
        <v>70</v>
      </c>
      <c r="R491" s="10">
        <v>39</v>
      </c>
      <c r="S491" s="10">
        <v>56</v>
      </c>
      <c r="T491" s="10">
        <v>6</v>
      </c>
      <c r="U491" s="10">
        <v>0</v>
      </c>
      <c r="V491" s="10">
        <v>9</v>
      </c>
      <c r="W491" s="10">
        <v>7</v>
      </c>
    </row>
    <row r="492" spans="1:23" ht="30.75">
      <c r="A492" s="2" t="s">
        <v>850</v>
      </c>
      <c r="B492" s="2" t="s">
        <v>851</v>
      </c>
      <c r="C492">
        <v>2</v>
      </c>
      <c r="D492" s="5">
        <v>44687</v>
      </c>
      <c r="E492">
        <v>2482</v>
      </c>
      <c r="F492">
        <v>20</v>
      </c>
      <c r="G492">
        <v>608228647</v>
      </c>
      <c r="H492" t="str">
        <f t="shared" si="7"/>
        <v>yes</v>
      </c>
      <c r="I492">
        <v>27</v>
      </c>
      <c r="J492">
        <v>77</v>
      </c>
      <c r="K492">
        <v>22</v>
      </c>
      <c r="L492">
        <v>2</v>
      </c>
      <c r="M492">
        <v>0</v>
      </c>
      <c r="N492">
        <v>114</v>
      </c>
      <c r="O492" t="s">
        <v>25</v>
      </c>
      <c r="P492" t="s">
        <v>41</v>
      </c>
      <c r="Q492" s="10">
        <v>80</v>
      </c>
      <c r="R492" s="10">
        <v>42</v>
      </c>
      <c r="S492" s="10">
        <v>68</v>
      </c>
      <c r="T492" s="10">
        <v>2</v>
      </c>
      <c r="U492" s="10">
        <v>0</v>
      </c>
      <c r="V492" s="10">
        <v>66</v>
      </c>
      <c r="W492" s="10">
        <v>4</v>
      </c>
    </row>
    <row r="493" spans="1:23" ht="76.5">
      <c r="A493" s="2" t="s">
        <v>852</v>
      </c>
      <c r="B493" s="2" t="s">
        <v>853</v>
      </c>
      <c r="C493">
        <v>2</v>
      </c>
      <c r="D493" s="5">
        <v>38615</v>
      </c>
      <c r="E493">
        <v>2577</v>
      </c>
      <c r="F493">
        <v>0</v>
      </c>
      <c r="G493">
        <v>180577478</v>
      </c>
      <c r="H493" t="str">
        <f t="shared" si="7"/>
        <v>no</v>
      </c>
      <c r="I493">
        <v>108</v>
      </c>
      <c r="J493">
        <v>56</v>
      </c>
      <c r="K493">
        <v>30</v>
      </c>
      <c r="L493">
        <v>0</v>
      </c>
      <c r="M493">
        <v>0</v>
      </c>
      <c r="N493">
        <v>93</v>
      </c>
      <c r="O493" t="s">
        <v>32</v>
      </c>
      <c r="P493" t="s">
        <v>26</v>
      </c>
      <c r="Q493" s="10">
        <v>63</v>
      </c>
      <c r="R493" s="10">
        <v>93</v>
      </c>
      <c r="S493" s="10">
        <v>88</v>
      </c>
      <c r="T493" s="10">
        <v>1</v>
      </c>
      <c r="U493" s="10">
        <v>0</v>
      </c>
      <c r="V493" s="10">
        <v>12</v>
      </c>
      <c r="W493" s="10">
        <v>4</v>
      </c>
    </row>
    <row r="494" spans="1:23">
      <c r="A494" s="2" t="s">
        <v>854</v>
      </c>
      <c r="B494" s="2" t="s">
        <v>855</v>
      </c>
      <c r="C494">
        <v>2</v>
      </c>
      <c r="D494" s="5">
        <v>44372</v>
      </c>
      <c r="E494">
        <v>6821</v>
      </c>
      <c r="F494">
        <v>34</v>
      </c>
      <c r="G494">
        <v>809306935</v>
      </c>
      <c r="H494" t="str">
        <f t="shared" si="7"/>
        <v>yes</v>
      </c>
      <c r="I494">
        <v>83</v>
      </c>
      <c r="J494">
        <v>58</v>
      </c>
      <c r="K494">
        <v>128</v>
      </c>
      <c r="L494">
        <v>7</v>
      </c>
      <c r="M494">
        <v>0</v>
      </c>
      <c r="N494">
        <v>90</v>
      </c>
      <c r="O494" t="s">
        <v>29</v>
      </c>
      <c r="P494" t="s">
        <v>41</v>
      </c>
      <c r="Q494" s="10">
        <v>87</v>
      </c>
      <c r="R494" s="10">
        <v>51</v>
      </c>
      <c r="S494" s="10">
        <v>69</v>
      </c>
      <c r="T494" s="10">
        <v>36</v>
      </c>
      <c r="U494" s="10">
        <v>0</v>
      </c>
      <c r="V494" s="10">
        <v>9</v>
      </c>
      <c r="W494" s="10">
        <v>8</v>
      </c>
    </row>
    <row r="495" spans="1:23" ht="30.75">
      <c r="A495" s="2" t="s">
        <v>856</v>
      </c>
      <c r="B495" s="2" t="s">
        <v>857</v>
      </c>
      <c r="C495">
        <v>1</v>
      </c>
      <c r="D495" s="5">
        <v>44903</v>
      </c>
      <c r="E495">
        <v>714</v>
      </c>
      <c r="F495">
        <v>0</v>
      </c>
      <c r="G495">
        <v>49262961</v>
      </c>
      <c r="H495" t="str">
        <f t="shared" si="7"/>
        <v>no</v>
      </c>
      <c r="I495">
        <v>0</v>
      </c>
      <c r="J495">
        <v>9</v>
      </c>
      <c r="K495">
        <v>2</v>
      </c>
      <c r="L495">
        <v>0</v>
      </c>
      <c r="M495">
        <v>0</v>
      </c>
      <c r="N495">
        <v>128</v>
      </c>
      <c r="O495" t="s">
        <v>25</v>
      </c>
      <c r="P495" t="s">
        <v>26</v>
      </c>
      <c r="Q495" s="10">
        <v>45</v>
      </c>
      <c r="R495" s="10">
        <v>35</v>
      </c>
      <c r="S495" s="10">
        <v>68</v>
      </c>
      <c r="T495" s="10">
        <v>78</v>
      </c>
      <c r="U495" s="10">
        <v>0</v>
      </c>
      <c r="V495" s="10">
        <v>39</v>
      </c>
      <c r="W495" s="10">
        <v>8</v>
      </c>
    </row>
    <row r="496" spans="1:23" ht="76.5">
      <c r="A496" s="2" t="s">
        <v>858</v>
      </c>
      <c r="B496" s="2" t="s">
        <v>859</v>
      </c>
      <c r="C496">
        <v>2</v>
      </c>
      <c r="D496" s="5">
        <v>44687</v>
      </c>
      <c r="E496">
        <v>3185</v>
      </c>
      <c r="F496">
        <v>4</v>
      </c>
      <c r="G496">
        <v>614555082</v>
      </c>
      <c r="H496" t="str">
        <f t="shared" si="7"/>
        <v>yes</v>
      </c>
      <c r="I496">
        <v>38</v>
      </c>
      <c r="J496">
        <v>64</v>
      </c>
      <c r="K496">
        <v>37</v>
      </c>
      <c r="L496">
        <v>3</v>
      </c>
      <c r="M496">
        <v>36</v>
      </c>
      <c r="N496">
        <v>97</v>
      </c>
      <c r="O496" t="s">
        <v>37</v>
      </c>
      <c r="P496" t="s">
        <v>26</v>
      </c>
      <c r="Q496" s="10">
        <v>83</v>
      </c>
      <c r="R496" s="10">
        <v>47</v>
      </c>
      <c r="S496" s="10">
        <v>80</v>
      </c>
      <c r="T496" s="10">
        <v>2</v>
      </c>
      <c r="U496" s="10">
        <v>0</v>
      </c>
      <c r="V496" s="10">
        <v>24</v>
      </c>
      <c r="W496" s="10">
        <v>9</v>
      </c>
    </row>
    <row r="497" spans="1:23" ht="45.75">
      <c r="A497" s="2" t="s">
        <v>860</v>
      </c>
      <c r="B497" s="2" t="s">
        <v>861</v>
      </c>
      <c r="C497">
        <v>1</v>
      </c>
      <c r="D497" s="5">
        <v>21186</v>
      </c>
      <c r="E497">
        <v>8612</v>
      </c>
      <c r="F497">
        <v>0</v>
      </c>
      <c r="G497">
        <v>245350949</v>
      </c>
      <c r="H497" t="str">
        <f t="shared" si="7"/>
        <v>yes</v>
      </c>
      <c r="I497">
        <v>120</v>
      </c>
      <c r="J497">
        <v>30</v>
      </c>
      <c r="K497">
        <v>52</v>
      </c>
      <c r="L497">
        <v>0</v>
      </c>
      <c r="M497">
        <v>1</v>
      </c>
      <c r="N497">
        <v>152</v>
      </c>
      <c r="O497" t="s">
        <v>72</v>
      </c>
      <c r="P497" t="s">
        <v>41</v>
      </c>
      <c r="Q497" s="10">
        <v>69</v>
      </c>
      <c r="R497" s="10">
        <v>94</v>
      </c>
      <c r="S497" s="10">
        <v>71</v>
      </c>
      <c r="T497" s="10">
        <v>79</v>
      </c>
      <c r="U497" s="10">
        <v>0</v>
      </c>
      <c r="V497" s="10">
        <v>7</v>
      </c>
      <c r="W497" s="10">
        <v>8</v>
      </c>
    </row>
    <row r="498" spans="1:23" ht="45.75">
      <c r="A498" s="2" t="s">
        <v>860</v>
      </c>
      <c r="B498" s="2" t="s">
        <v>862</v>
      </c>
      <c r="C498">
        <v>1</v>
      </c>
      <c r="D498" s="5">
        <v>20821</v>
      </c>
      <c r="E498">
        <v>4326</v>
      </c>
      <c r="F498">
        <v>0</v>
      </c>
      <c r="G498">
        <v>178660459</v>
      </c>
      <c r="H498" t="str">
        <f t="shared" si="7"/>
        <v>no</v>
      </c>
      <c r="I498">
        <v>32</v>
      </c>
      <c r="J498">
        <v>3</v>
      </c>
      <c r="K498">
        <v>65</v>
      </c>
      <c r="L498">
        <v>0</v>
      </c>
      <c r="M498">
        <v>0</v>
      </c>
      <c r="N498">
        <v>175</v>
      </c>
      <c r="O498" t="s">
        <v>63</v>
      </c>
      <c r="P498" t="s">
        <v>26</v>
      </c>
      <c r="Q498" s="10">
        <v>51</v>
      </c>
      <c r="R498" s="10">
        <v>94</v>
      </c>
      <c r="S498" s="10">
        <v>34</v>
      </c>
      <c r="T498" s="10">
        <v>73</v>
      </c>
      <c r="U498" s="10">
        <v>0</v>
      </c>
      <c r="V498" s="10">
        <v>10</v>
      </c>
      <c r="W498" s="10">
        <v>5</v>
      </c>
    </row>
    <row r="499" spans="1:23">
      <c r="A499" s="2" t="s">
        <v>863</v>
      </c>
      <c r="B499" s="2" t="s">
        <v>864</v>
      </c>
      <c r="C499">
        <v>1</v>
      </c>
      <c r="D499" s="5">
        <v>44904</v>
      </c>
      <c r="E499">
        <v>680</v>
      </c>
      <c r="F499">
        <v>0</v>
      </c>
      <c r="G499">
        <v>51641685</v>
      </c>
      <c r="H499" t="str">
        <f t="shared" si="7"/>
        <v>no</v>
      </c>
      <c r="I499">
        <v>2</v>
      </c>
      <c r="J499">
        <v>15</v>
      </c>
      <c r="K499">
        <v>1</v>
      </c>
      <c r="L499">
        <v>0</v>
      </c>
      <c r="M499">
        <v>0</v>
      </c>
      <c r="N499">
        <v>116</v>
      </c>
      <c r="O499" t="s">
        <v>51</v>
      </c>
      <c r="P499" t="s">
        <v>26</v>
      </c>
      <c r="Q499" s="10">
        <v>61</v>
      </c>
      <c r="R499" s="10">
        <v>48</v>
      </c>
      <c r="S499" s="10">
        <v>55</v>
      </c>
      <c r="T499" s="10">
        <v>67</v>
      </c>
      <c r="U499" s="10">
        <v>0</v>
      </c>
      <c r="V499" s="10">
        <v>16</v>
      </c>
      <c r="W499" s="10">
        <v>8</v>
      </c>
    </row>
    <row r="500" spans="1:23" ht="30.75">
      <c r="A500" s="2" t="s">
        <v>865</v>
      </c>
      <c r="B500" s="2" t="s">
        <v>866</v>
      </c>
      <c r="C500">
        <v>2</v>
      </c>
      <c r="D500" s="5">
        <v>44897</v>
      </c>
      <c r="E500">
        <v>398</v>
      </c>
      <c r="F500">
        <v>0</v>
      </c>
      <c r="G500">
        <v>78139948</v>
      </c>
      <c r="H500" t="str">
        <f t="shared" si="7"/>
        <v>no</v>
      </c>
      <c r="I500">
        <v>2</v>
      </c>
      <c r="J500">
        <v>2</v>
      </c>
      <c r="K500">
        <v>6</v>
      </c>
      <c r="L500">
        <v>0</v>
      </c>
      <c r="M500">
        <v>2</v>
      </c>
      <c r="N500">
        <v>80</v>
      </c>
      <c r="O500" t="s">
        <v>32</v>
      </c>
      <c r="P500" t="s">
        <v>41</v>
      </c>
      <c r="Q500" s="10">
        <v>33</v>
      </c>
      <c r="R500" s="10">
        <v>51</v>
      </c>
      <c r="S500" s="10">
        <v>59</v>
      </c>
      <c r="T500" s="10">
        <v>76</v>
      </c>
      <c r="U500" s="10">
        <v>0</v>
      </c>
      <c r="V500" s="10">
        <v>44</v>
      </c>
      <c r="W500" s="10">
        <v>6</v>
      </c>
    </row>
    <row r="501" spans="1:23">
      <c r="A501" s="2" t="s">
        <v>867</v>
      </c>
      <c r="B501" s="2" t="s">
        <v>868</v>
      </c>
      <c r="C501">
        <v>2</v>
      </c>
      <c r="D501" s="5">
        <v>44798</v>
      </c>
      <c r="E501">
        <v>3328</v>
      </c>
      <c r="F501">
        <v>13</v>
      </c>
      <c r="G501">
        <v>322336177</v>
      </c>
      <c r="H501" t="str">
        <f t="shared" si="7"/>
        <v>yes</v>
      </c>
      <c r="I501">
        <v>39</v>
      </c>
      <c r="J501">
        <v>50</v>
      </c>
      <c r="K501">
        <v>57</v>
      </c>
      <c r="L501">
        <v>3</v>
      </c>
      <c r="M501">
        <v>1</v>
      </c>
      <c r="N501">
        <v>93</v>
      </c>
      <c r="O501" t="s">
        <v>25</v>
      </c>
      <c r="P501" t="s">
        <v>41</v>
      </c>
      <c r="Q501" s="10">
        <v>63</v>
      </c>
      <c r="R501" s="10">
        <v>34</v>
      </c>
      <c r="S501" s="10">
        <v>86</v>
      </c>
      <c r="T501" s="10">
        <v>26</v>
      </c>
      <c r="U501" s="10">
        <v>0</v>
      </c>
      <c r="V501" s="10">
        <v>21</v>
      </c>
      <c r="W501" s="10">
        <v>39</v>
      </c>
    </row>
    <row r="502" spans="1:23">
      <c r="A502" s="2" t="s">
        <v>867</v>
      </c>
      <c r="B502" s="2" t="s">
        <v>869</v>
      </c>
      <c r="C502">
        <v>1</v>
      </c>
      <c r="D502" s="5">
        <v>44421</v>
      </c>
      <c r="E502">
        <v>7215</v>
      </c>
      <c r="F502">
        <v>0</v>
      </c>
      <c r="G502">
        <v>1007612429</v>
      </c>
      <c r="H502" t="str">
        <f t="shared" si="7"/>
        <v>yes</v>
      </c>
      <c r="I502">
        <v>170</v>
      </c>
      <c r="J502">
        <v>12</v>
      </c>
      <c r="K502">
        <v>575</v>
      </c>
      <c r="L502">
        <v>18</v>
      </c>
      <c r="N502">
        <v>122</v>
      </c>
      <c r="O502" t="s">
        <v>98</v>
      </c>
      <c r="P502" t="s">
        <v>26</v>
      </c>
      <c r="Q502" s="10">
        <v>70</v>
      </c>
      <c r="R502" s="10">
        <v>42</v>
      </c>
      <c r="S502" s="10">
        <v>54</v>
      </c>
      <c r="T502" s="10">
        <v>30</v>
      </c>
      <c r="U502" s="10">
        <v>0</v>
      </c>
      <c r="V502" s="10">
        <v>37</v>
      </c>
      <c r="W502" s="10">
        <v>5</v>
      </c>
    </row>
    <row r="503" spans="1:23">
      <c r="A503" s="2" t="s">
        <v>867</v>
      </c>
      <c r="B503" s="2" t="s">
        <v>870</v>
      </c>
      <c r="C503">
        <v>1</v>
      </c>
      <c r="D503" s="5">
        <v>44568</v>
      </c>
      <c r="E503">
        <v>4440</v>
      </c>
      <c r="F503">
        <v>0</v>
      </c>
      <c r="G503">
        <v>326792833</v>
      </c>
      <c r="H503" t="str">
        <f t="shared" si="7"/>
        <v>yes</v>
      </c>
      <c r="I503">
        <v>81</v>
      </c>
      <c r="J503">
        <v>77</v>
      </c>
      <c r="K503">
        <v>133</v>
      </c>
      <c r="L503">
        <v>0</v>
      </c>
      <c r="N503">
        <v>122</v>
      </c>
      <c r="O503" t="s">
        <v>72</v>
      </c>
      <c r="P503" t="s">
        <v>26</v>
      </c>
      <c r="Q503" s="10">
        <v>70</v>
      </c>
      <c r="R503" s="10">
        <v>91</v>
      </c>
      <c r="S503" s="10">
        <v>79</v>
      </c>
      <c r="T503" s="10">
        <v>3</v>
      </c>
      <c r="U503" s="10">
        <v>0</v>
      </c>
      <c r="V503" s="10">
        <v>7</v>
      </c>
      <c r="W503" s="10">
        <v>10</v>
      </c>
    </row>
    <row r="504" spans="1:23" ht="45.75">
      <c r="A504" s="2" t="s">
        <v>871</v>
      </c>
      <c r="B504" s="2" t="s">
        <v>872</v>
      </c>
      <c r="C504">
        <v>1</v>
      </c>
      <c r="D504" s="5">
        <v>44568</v>
      </c>
      <c r="E504">
        <v>2881</v>
      </c>
      <c r="F504">
        <v>6</v>
      </c>
      <c r="G504">
        <v>391251368</v>
      </c>
      <c r="H504" t="str">
        <f t="shared" si="7"/>
        <v>yes</v>
      </c>
      <c r="I504">
        <v>13</v>
      </c>
      <c r="J504">
        <v>89</v>
      </c>
      <c r="K504">
        <v>34</v>
      </c>
      <c r="L504">
        <v>0</v>
      </c>
      <c r="M504">
        <v>3</v>
      </c>
      <c r="N504">
        <v>135</v>
      </c>
      <c r="O504" t="s">
        <v>37</v>
      </c>
      <c r="P504" t="s">
        <v>41</v>
      </c>
      <c r="Q504" s="10">
        <v>70</v>
      </c>
      <c r="R504" s="10">
        <v>60</v>
      </c>
      <c r="S504" s="10">
        <v>58</v>
      </c>
      <c r="T504" s="10">
        <v>4</v>
      </c>
      <c r="U504" s="10">
        <v>0</v>
      </c>
      <c r="V504" s="10">
        <v>16</v>
      </c>
      <c r="W504" s="10">
        <v>3</v>
      </c>
    </row>
    <row r="505" spans="1:23" ht="30.75">
      <c r="A505" s="2" t="s">
        <v>873</v>
      </c>
      <c r="B505" s="2" t="s">
        <v>874</v>
      </c>
      <c r="C505">
        <v>3</v>
      </c>
      <c r="D505" s="5">
        <v>44566</v>
      </c>
      <c r="E505">
        <v>2235</v>
      </c>
      <c r="F505">
        <v>0</v>
      </c>
      <c r="G505">
        <v>349585590</v>
      </c>
      <c r="H505" t="str">
        <f t="shared" si="7"/>
        <v>yes</v>
      </c>
      <c r="I505">
        <v>65</v>
      </c>
      <c r="J505">
        <v>7</v>
      </c>
      <c r="K505">
        <v>70</v>
      </c>
      <c r="L505">
        <v>16</v>
      </c>
      <c r="M505">
        <v>6</v>
      </c>
      <c r="N505">
        <v>109</v>
      </c>
      <c r="O505" t="s">
        <v>32</v>
      </c>
      <c r="P505" t="s">
        <v>26</v>
      </c>
      <c r="Q505" s="10">
        <v>60</v>
      </c>
      <c r="R505" s="10">
        <v>45</v>
      </c>
      <c r="S505" s="10">
        <v>47</v>
      </c>
      <c r="T505" s="10">
        <v>62</v>
      </c>
      <c r="U505" s="10">
        <v>0</v>
      </c>
      <c r="V505" s="10">
        <v>31</v>
      </c>
      <c r="W505" s="10">
        <v>5</v>
      </c>
    </row>
    <row r="506" spans="1:23">
      <c r="A506" s="2" t="s">
        <v>875</v>
      </c>
      <c r="B506" s="2" t="s">
        <v>876</v>
      </c>
      <c r="C506">
        <v>1</v>
      </c>
      <c r="D506" s="5">
        <v>44568</v>
      </c>
      <c r="E506">
        <v>3711</v>
      </c>
      <c r="F506">
        <v>0</v>
      </c>
      <c r="G506">
        <v>339659802</v>
      </c>
      <c r="H506" t="str">
        <f t="shared" si="7"/>
        <v>yes</v>
      </c>
      <c r="I506">
        <v>49</v>
      </c>
      <c r="J506">
        <v>88</v>
      </c>
      <c r="K506">
        <v>62</v>
      </c>
      <c r="L506">
        <v>0</v>
      </c>
      <c r="N506">
        <v>93</v>
      </c>
      <c r="P506" t="s">
        <v>41</v>
      </c>
      <c r="Q506" s="10">
        <v>65</v>
      </c>
      <c r="R506" s="10">
        <v>82</v>
      </c>
      <c r="S506" s="10">
        <v>74</v>
      </c>
      <c r="T506" s="10">
        <v>27</v>
      </c>
      <c r="U506" s="10">
        <v>0</v>
      </c>
      <c r="V506" s="10">
        <v>32</v>
      </c>
      <c r="W506" s="10">
        <v>5</v>
      </c>
    </row>
    <row r="507" spans="1:23">
      <c r="A507" s="2" t="s">
        <v>875</v>
      </c>
      <c r="B507" s="2" t="s">
        <v>877</v>
      </c>
      <c r="C507">
        <v>2</v>
      </c>
      <c r="D507" s="5">
        <v>44428</v>
      </c>
      <c r="E507">
        <v>12403</v>
      </c>
      <c r="F507">
        <v>0</v>
      </c>
      <c r="G507">
        <v>674772936</v>
      </c>
      <c r="H507" t="str">
        <f t="shared" si="7"/>
        <v>yes</v>
      </c>
      <c r="I507">
        <v>183</v>
      </c>
      <c r="J507">
        <v>63</v>
      </c>
      <c r="K507">
        <v>465</v>
      </c>
      <c r="L507">
        <v>0</v>
      </c>
      <c r="M507">
        <v>11</v>
      </c>
      <c r="N507">
        <v>125</v>
      </c>
      <c r="O507" t="s">
        <v>25</v>
      </c>
      <c r="P507" t="s">
        <v>41</v>
      </c>
      <c r="Q507" s="10">
        <v>85</v>
      </c>
      <c r="R507" s="10">
        <v>64</v>
      </c>
      <c r="S507" s="10">
        <v>81</v>
      </c>
      <c r="T507" s="10">
        <v>2</v>
      </c>
      <c r="U507" s="10">
        <v>5</v>
      </c>
      <c r="V507" s="10">
        <v>7</v>
      </c>
      <c r="W507" s="10">
        <v>9</v>
      </c>
    </row>
    <row r="508" spans="1:23" ht="30.75">
      <c r="A508" s="2" t="s">
        <v>878</v>
      </c>
      <c r="B508" s="2" t="s">
        <v>879</v>
      </c>
      <c r="C508">
        <v>7</v>
      </c>
      <c r="D508" s="5">
        <v>44519</v>
      </c>
      <c r="E508">
        <v>2785</v>
      </c>
      <c r="F508">
        <v>0</v>
      </c>
      <c r="G508">
        <v>432719968</v>
      </c>
      <c r="H508" t="str">
        <f t="shared" si="7"/>
        <v>yes</v>
      </c>
      <c r="I508">
        <v>95</v>
      </c>
      <c r="J508">
        <v>89</v>
      </c>
      <c r="K508">
        <v>44</v>
      </c>
      <c r="L508">
        <v>0</v>
      </c>
      <c r="N508">
        <v>206</v>
      </c>
      <c r="P508" t="s">
        <v>41</v>
      </c>
      <c r="Q508" s="10">
        <v>58</v>
      </c>
      <c r="R508" s="10">
        <v>83</v>
      </c>
      <c r="S508" s="10">
        <v>45</v>
      </c>
      <c r="T508" s="10">
        <v>36</v>
      </c>
      <c r="U508" s="10">
        <v>0</v>
      </c>
      <c r="V508" s="10">
        <v>11</v>
      </c>
      <c r="W508" s="10">
        <v>8</v>
      </c>
    </row>
    <row r="509" spans="1:23">
      <c r="A509" s="2" t="s">
        <v>880</v>
      </c>
      <c r="B509" s="2" t="s">
        <v>881</v>
      </c>
      <c r="C509">
        <v>1</v>
      </c>
      <c r="D509" s="5">
        <v>44371</v>
      </c>
      <c r="E509">
        <v>14114</v>
      </c>
      <c r="F509">
        <v>17</v>
      </c>
      <c r="G509">
        <v>1309887447</v>
      </c>
      <c r="H509" t="str">
        <f t="shared" si="7"/>
        <v>yes</v>
      </c>
      <c r="I509">
        <v>252</v>
      </c>
      <c r="J509">
        <v>109</v>
      </c>
      <c r="K509">
        <v>965</v>
      </c>
      <c r="L509">
        <v>20</v>
      </c>
      <c r="N509">
        <v>130</v>
      </c>
      <c r="O509" t="s">
        <v>72</v>
      </c>
      <c r="P509" t="s">
        <v>26</v>
      </c>
      <c r="Q509" s="10">
        <v>76</v>
      </c>
      <c r="R509" s="10">
        <v>44</v>
      </c>
      <c r="S509" s="10">
        <v>77</v>
      </c>
      <c r="T509" s="10">
        <v>1</v>
      </c>
      <c r="U509" s="10">
        <v>0</v>
      </c>
      <c r="V509" s="10">
        <v>13</v>
      </c>
      <c r="W509" s="10">
        <v>3</v>
      </c>
    </row>
    <row r="510" spans="1:23" ht="45.75">
      <c r="A510" s="2" t="s">
        <v>880</v>
      </c>
      <c r="B510" s="2" t="s">
        <v>882</v>
      </c>
      <c r="C510">
        <v>1</v>
      </c>
      <c r="D510" s="5">
        <v>44568</v>
      </c>
      <c r="E510">
        <v>1915</v>
      </c>
      <c r="F510">
        <v>0</v>
      </c>
      <c r="G510">
        <v>119238316</v>
      </c>
      <c r="H510" t="str">
        <f t="shared" si="7"/>
        <v>no</v>
      </c>
      <c r="I510">
        <v>7</v>
      </c>
      <c r="J510">
        <v>47</v>
      </c>
      <c r="K510">
        <v>15</v>
      </c>
      <c r="L510">
        <v>0</v>
      </c>
      <c r="M510">
        <v>0</v>
      </c>
      <c r="N510">
        <v>121</v>
      </c>
      <c r="O510" t="s">
        <v>72</v>
      </c>
      <c r="P510" t="s">
        <v>41</v>
      </c>
      <c r="Q510" s="10">
        <v>80</v>
      </c>
      <c r="R510" s="10">
        <v>62</v>
      </c>
      <c r="S510" s="10">
        <v>51</v>
      </c>
      <c r="T510" s="10">
        <v>2</v>
      </c>
      <c r="U510" s="10">
        <v>0</v>
      </c>
      <c r="V510" s="10">
        <v>9</v>
      </c>
      <c r="W510" s="10">
        <v>8</v>
      </c>
    </row>
    <row r="511" spans="1:23">
      <c r="A511" s="2" t="s">
        <v>880</v>
      </c>
      <c r="B511" s="2" t="s">
        <v>883</v>
      </c>
      <c r="C511">
        <v>1</v>
      </c>
      <c r="D511" s="5">
        <v>44568</v>
      </c>
      <c r="E511">
        <v>2297</v>
      </c>
      <c r="F511">
        <v>0</v>
      </c>
      <c r="G511">
        <v>116903579</v>
      </c>
      <c r="H511" t="str">
        <f t="shared" si="7"/>
        <v>no</v>
      </c>
      <c r="I511">
        <v>11</v>
      </c>
      <c r="J511">
        <v>29</v>
      </c>
      <c r="K511">
        <v>14</v>
      </c>
      <c r="L511">
        <v>0</v>
      </c>
      <c r="M511">
        <v>0</v>
      </c>
      <c r="N511">
        <v>123</v>
      </c>
      <c r="O511" t="s">
        <v>53</v>
      </c>
      <c r="P511" t="s">
        <v>41</v>
      </c>
      <c r="Q511" s="10">
        <v>74</v>
      </c>
      <c r="R511" s="10">
        <v>35</v>
      </c>
      <c r="S511" s="10">
        <v>73</v>
      </c>
      <c r="T511" s="10">
        <v>0</v>
      </c>
      <c r="U511" s="10">
        <v>0</v>
      </c>
      <c r="V511" s="10">
        <v>21</v>
      </c>
      <c r="W511" s="10">
        <v>5</v>
      </c>
    </row>
    <row r="512" spans="1:23">
      <c r="A512" s="2" t="s">
        <v>884</v>
      </c>
      <c r="B512" s="2" t="s">
        <v>885</v>
      </c>
      <c r="C512">
        <v>1</v>
      </c>
      <c r="D512" s="5">
        <v>42909</v>
      </c>
      <c r="E512">
        <v>4375</v>
      </c>
      <c r="F512">
        <v>0</v>
      </c>
      <c r="G512">
        <v>888046992</v>
      </c>
      <c r="H512" t="str">
        <f t="shared" si="7"/>
        <v>yes</v>
      </c>
      <c r="I512">
        <v>24</v>
      </c>
      <c r="J512">
        <v>0</v>
      </c>
      <c r="K512">
        <v>396</v>
      </c>
      <c r="L512">
        <v>0</v>
      </c>
      <c r="M512">
        <v>0</v>
      </c>
      <c r="N512">
        <v>122</v>
      </c>
      <c r="O512" t="s">
        <v>25</v>
      </c>
      <c r="P512" t="s">
        <v>41</v>
      </c>
      <c r="Q512" s="10">
        <v>67</v>
      </c>
      <c r="R512" s="10">
        <v>50</v>
      </c>
      <c r="S512" s="10">
        <v>67</v>
      </c>
      <c r="T512" s="10">
        <v>15</v>
      </c>
      <c r="U512" s="10">
        <v>0</v>
      </c>
      <c r="V512" s="10">
        <v>30</v>
      </c>
      <c r="W512" s="10">
        <v>4</v>
      </c>
    </row>
    <row r="513" spans="1:23">
      <c r="A513" s="2" t="s">
        <v>886</v>
      </c>
      <c r="B513" s="2" t="s">
        <v>887</v>
      </c>
      <c r="C513">
        <v>1</v>
      </c>
      <c r="D513" s="5">
        <v>44568</v>
      </c>
      <c r="E513">
        <v>2800</v>
      </c>
      <c r="F513">
        <v>0</v>
      </c>
      <c r="G513">
        <v>200660871</v>
      </c>
      <c r="H513" t="str">
        <f t="shared" si="7"/>
        <v>yes</v>
      </c>
      <c r="I513">
        <v>18</v>
      </c>
      <c r="J513">
        <v>77</v>
      </c>
      <c r="K513">
        <v>61</v>
      </c>
      <c r="L513">
        <v>0</v>
      </c>
      <c r="M513">
        <v>1</v>
      </c>
      <c r="N513">
        <v>143</v>
      </c>
      <c r="P513" t="s">
        <v>26</v>
      </c>
      <c r="Q513" s="10">
        <v>53</v>
      </c>
      <c r="R513" s="10">
        <v>50</v>
      </c>
      <c r="S513" s="10">
        <v>79</v>
      </c>
      <c r="T513" s="10">
        <v>0</v>
      </c>
      <c r="U513" s="10">
        <v>0</v>
      </c>
      <c r="V513" s="10">
        <v>8</v>
      </c>
      <c r="W513" s="10">
        <v>3</v>
      </c>
    </row>
    <row r="514" spans="1:23" ht="30.75">
      <c r="A514" s="2" t="s">
        <v>888</v>
      </c>
      <c r="B514" s="2" t="s">
        <v>889</v>
      </c>
      <c r="C514">
        <v>1</v>
      </c>
      <c r="D514" s="5">
        <v>44414</v>
      </c>
      <c r="E514">
        <v>2597</v>
      </c>
      <c r="F514">
        <v>0</v>
      </c>
      <c r="G514">
        <v>130655803</v>
      </c>
      <c r="H514" t="str">
        <f t="shared" ref="H514:H577" si="8">IF(G514&gt;$Z$2,$Z$4,$Z$5)</f>
        <v>no</v>
      </c>
      <c r="I514">
        <v>17</v>
      </c>
      <c r="J514">
        <v>80</v>
      </c>
      <c r="K514">
        <v>38</v>
      </c>
      <c r="L514">
        <v>0</v>
      </c>
      <c r="M514">
        <v>0</v>
      </c>
      <c r="N514">
        <v>121</v>
      </c>
      <c r="O514" t="s">
        <v>128</v>
      </c>
      <c r="P514" t="s">
        <v>41</v>
      </c>
      <c r="Q514" s="10">
        <v>70</v>
      </c>
      <c r="R514" s="10">
        <v>35</v>
      </c>
      <c r="S514" s="10">
        <v>77</v>
      </c>
      <c r="T514" s="10">
        <v>1</v>
      </c>
      <c r="U514" s="10">
        <v>0</v>
      </c>
      <c r="V514" s="10">
        <v>26</v>
      </c>
      <c r="W514" s="10">
        <v>4</v>
      </c>
    </row>
    <row r="515" spans="1:23">
      <c r="A515" s="2" t="s">
        <v>890</v>
      </c>
      <c r="B515" s="2" t="s">
        <v>891</v>
      </c>
      <c r="C515">
        <v>1</v>
      </c>
      <c r="D515" s="5">
        <v>44330</v>
      </c>
      <c r="E515">
        <v>15563</v>
      </c>
      <c r="F515">
        <v>6</v>
      </c>
      <c r="G515">
        <v>1887039593</v>
      </c>
      <c r="H515" t="str">
        <f t="shared" si="8"/>
        <v>yes</v>
      </c>
      <c r="I515">
        <v>259</v>
      </c>
      <c r="J515">
        <v>55</v>
      </c>
      <c r="K515">
        <v>461</v>
      </c>
      <c r="L515">
        <v>1</v>
      </c>
      <c r="N515">
        <v>166</v>
      </c>
      <c r="O515" t="s">
        <v>53</v>
      </c>
      <c r="P515" t="s">
        <v>41</v>
      </c>
      <c r="Q515" s="10">
        <v>56</v>
      </c>
      <c r="R515" s="10">
        <v>68</v>
      </c>
      <c r="S515" s="10">
        <v>66</v>
      </c>
      <c r="T515" s="10">
        <v>28</v>
      </c>
      <c r="U515" s="10">
        <v>0</v>
      </c>
      <c r="V515" s="10">
        <v>11</v>
      </c>
      <c r="W515" s="10">
        <v>18</v>
      </c>
    </row>
    <row r="516" spans="1:23" ht="60.75">
      <c r="A516" s="2" t="s">
        <v>890</v>
      </c>
      <c r="B516" s="2" t="s">
        <v>892</v>
      </c>
      <c r="C516">
        <v>3</v>
      </c>
      <c r="D516" s="5">
        <v>44568</v>
      </c>
      <c r="E516">
        <v>1420</v>
      </c>
      <c r="F516">
        <v>0</v>
      </c>
      <c r="G516">
        <v>88103848</v>
      </c>
      <c r="H516" t="str">
        <f t="shared" si="8"/>
        <v>no</v>
      </c>
      <c r="I516">
        <v>7</v>
      </c>
      <c r="J516">
        <v>18</v>
      </c>
      <c r="K516">
        <v>7</v>
      </c>
      <c r="L516">
        <v>0</v>
      </c>
      <c r="M516">
        <v>0</v>
      </c>
      <c r="N516">
        <v>135</v>
      </c>
      <c r="O516" t="s">
        <v>29</v>
      </c>
      <c r="P516" t="s">
        <v>26</v>
      </c>
      <c r="Q516" s="10">
        <v>41</v>
      </c>
      <c r="R516" s="10">
        <v>27</v>
      </c>
      <c r="S516" s="10">
        <v>64</v>
      </c>
      <c r="T516" s="10">
        <v>36</v>
      </c>
      <c r="U516" s="10">
        <v>0</v>
      </c>
      <c r="V516" s="10">
        <v>60</v>
      </c>
      <c r="W516" s="10">
        <v>3</v>
      </c>
    </row>
    <row r="517" spans="1:23">
      <c r="A517" s="2" t="s">
        <v>893</v>
      </c>
      <c r="B517" s="2" t="s">
        <v>894</v>
      </c>
      <c r="C517">
        <v>1</v>
      </c>
      <c r="D517" s="5">
        <v>44568</v>
      </c>
      <c r="E517">
        <v>1292</v>
      </c>
      <c r="F517">
        <v>0</v>
      </c>
      <c r="G517">
        <v>101114984</v>
      </c>
      <c r="H517" t="str">
        <f t="shared" si="8"/>
        <v>no</v>
      </c>
      <c r="I517">
        <v>3</v>
      </c>
      <c r="J517">
        <v>18</v>
      </c>
      <c r="K517">
        <v>14</v>
      </c>
      <c r="L517">
        <v>0</v>
      </c>
      <c r="M517">
        <v>0</v>
      </c>
      <c r="N517">
        <v>87</v>
      </c>
      <c r="O517" t="s">
        <v>98</v>
      </c>
      <c r="P517" t="s">
        <v>41</v>
      </c>
      <c r="Q517" s="10">
        <v>49</v>
      </c>
      <c r="R517" s="10">
        <v>49</v>
      </c>
      <c r="S517" s="10">
        <v>59</v>
      </c>
      <c r="T517" s="10">
        <v>44</v>
      </c>
      <c r="U517" s="10">
        <v>0</v>
      </c>
      <c r="V517" s="10">
        <v>35</v>
      </c>
      <c r="W517" s="10">
        <v>21</v>
      </c>
    </row>
    <row r="518" spans="1:23" ht="60.75">
      <c r="A518" s="2" t="s">
        <v>895</v>
      </c>
      <c r="B518" s="2" t="s">
        <v>896</v>
      </c>
      <c r="C518">
        <v>2</v>
      </c>
      <c r="D518" s="5">
        <v>44295</v>
      </c>
      <c r="E518">
        <v>15867</v>
      </c>
      <c r="F518">
        <v>0</v>
      </c>
      <c r="G518">
        <v>1575467011</v>
      </c>
      <c r="H518" t="str">
        <f t="shared" si="8"/>
        <v>yes</v>
      </c>
      <c r="I518">
        <v>382</v>
      </c>
      <c r="J518">
        <v>65</v>
      </c>
      <c r="K518">
        <v>497</v>
      </c>
      <c r="L518">
        <v>0</v>
      </c>
      <c r="M518">
        <v>12</v>
      </c>
      <c r="N518">
        <v>111</v>
      </c>
      <c r="O518" t="s">
        <v>63</v>
      </c>
      <c r="P518" t="s">
        <v>26</v>
      </c>
      <c r="Q518" s="10">
        <v>77</v>
      </c>
      <c r="R518" s="10">
        <v>74</v>
      </c>
      <c r="S518" s="10">
        <v>66</v>
      </c>
      <c r="T518" s="10">
        <v>30</v>
      </c>
      <c r="U518" s="10">
        <v>0</v>
      </c>
      <c r="V518" s="10">
        <v>13</v>
      </c>
      <c r="W518" s="10">
        <v>3</v>
      </c>
    </row>
    <row r="519" spans="1:23" ht="45.75">
      <c r="A519" s="2" t="s">
        <v>897</v>
      </c>
      <c r="B519" s="2" t="s">
        <v>898</v>
      </c>
      <c r="C519">
        <v>2</v>
      </c>
      <c r="D519" s="5">
        <v>44568</v>
      </c>
      <c r="E519">
        <v>1178</v>
      </c>
      <c r="F519">
        <v>0</v>
      </c>
      <c r="G519">
        <v>91656026</v>
      </c>
      <c r="H519" t="str">
        <f t="shared" si="8"/>
        <v>no</v>
      </c>
      <c r="I519">
        <v>9</v>
      </c>
      <c r="J519">
        <v>10</v>
      </c>
      <c r="K519">
        <v>9</v>
      </c>
      <c r="L519">
        <v>0</v>
      </c>
      <c r="M519">
        <v>0</v>
      </c>
      <c r="N519">
        <v>110</v>
      </c>
      <c r="O519" t="s">
        <v>51</v>
      </c>
      <c r="P519" t="s">
        <v>26</v>
      </c>
      <c r="Q519" s="10">
        <v>75</v>
      </c>
      <c r="R519" s="10">
        <v>85</v>
      </c>
      <c r="S519" s="10">
        <v>84</v>
      </c>
      <c r="T519" s="10">
        <v>10</v>
      </c>
      <c r="U519" s="10">
        <v>0</v>
      </c>
      <c r="V519" s="10">
        <v>31</v>
      </c>
      <c r="W519" s="10">
        <v>19</v>
      </c>
    </row>
    <row r="520" spans="1:23">
      <c r="A520" s="2" t="s">
        <v>897</v>
      </c>
      <c r="B520" s="2" t="s">
        <v>899</v>
      </c>
      <c r="C520">
        <v>1</v>
      </c>
      <c r="D520" s="5">
        <v>44358</v>
      </c>
      <c r="E520">
        <v>6672</v>
      </c>
      <c r="F520">
        <v>0</v>
      </c>
      <c r="G520">
        <v>1042568408</v>
      </c>
      <c r="H520" t="str">
        <f t="shared" si="8"/>
        <v>yes</v>
      </c>
      <c r="I520">
        <v>125</v>
      </c>
      <c r="J520">
        <v>36</v>
      </c>
      <c r="K520">
        <v>150</v>
      </c>
      <c r="L520">
        <v>0</v>
      </c>
      <c r="N520">
        <v>130</v>
      </c>
      <c r="O520" t="s">
        <v>29</v>
      </c>
      <c r="P520" t="s">
        <v>26</v>
      </c>
      <c r="Q520" s="10">
        <v>66</v>
      </c>
      <c r="R520" s="10">
        <v>19</v>
      </c>
      <c r="S520" s="10">
        <v>61</v>
      </c>
      <c r="T520" s="10">
        <v>30</v>
      </c>
      <c r="U520" s="10">
        <v>0</v>
      </c>
      <c r="V520" s="10">
        <v>9</v>
      </c>
      <c r="W520" s="10">
        <v>7</v>
      </c>
    </row>
    <row r="521" spans="1:23" ht="45.75">
      <c r="A521" s="2" t="s">
        <v>897</v>
      </c>
      <c r="B521" s="2" t="s">
        <v>900</v>
      </c>
      <c r="C521">
        <v>1</v>
      </c>
      <c r="D521" s="5">
        <v>44092</v>
      </c>
      <c r="E521">
        <v>12329</v>
      </c>
      <c r="F521">
        <v>0</v>
      </c>
      <c r="G521">
        <v>1735441776</v>
      </c>
      <c r="H521" t="str">
        <f t="shared" si="8"/>
        <v>yes</v>
      </c>
      <c r="I521">
        <v>275</v>
      </c>
      <c r="J521">
        <v>19</v>
      </c>
      <c r="K521">
        <v>738</v>
      </c>
      <c r="L521">
        <v>0</v>
      </c>
      <c r="N521">
        <v>179</v>
      </c>
      <c r="O521" t="s">
        <v>63</v>
      </c>
      <c r="P521" t="s">
        <v>41</v>
      </c>
      <c r="Q521" s="10">
        <v>61</v>
      </c>
      <c r="R521" s="10">
        <v>76</v>
      </c>
      <c r="S521" s="10">
        <v>51</v>
      </c>
      <c r="T521" s="10">
        <v>30</v>
      </c>
      <c r="U521" s="10">
        <v>0</v>
      </c>
      <c r="V521" s="10">
        <v>38</v>
      </c>
      <c r="W521" s="10">
        <v>15</v>
      </c>
    </row>
    <row r="522" spans="1:23" ht="30.75">
      <c r="A522" s="2" t="s">
        <v>901</v>
      </c>
      <c r="B522" s="2" t="s">
        <v>902</v>
      </c>
      <c r="C522">
        <v>1</v>
      </c>
      <c r="D522" s="5">
        <v>43672</v>
      </c>
      <c r="E522">
        <v>5669</v>
      </c>
      <c r="F522">
        <v>2</v>
      </c>
      <c r="G522">
        <v>726837877</v>
      </c>
      <c r="H522" t="str">
        <f t="shared" si="8"/>
        <v>yes</v>
      </c>
      <c r="I522">
        <v>74</v>
      </c>
      <c r="J522">
        <v>0</v>
      </c>
      <c r="K522">
        <v>262</v>
      </c>
      <c r="L522">
        <v>14</v>
      </c>
      <c r="N522">
        <v>93</v>
      </c>
      <c r="O522" t="s">
        <v>32</v>
      </c>
      <c r="P522" t="s">
        <v>41</v>
      </c>
      <c r="Q522" s="10">
        <v>74</v>
      </c>
      <c r="R522" s="10">
        <v>53</v>
      </c>
      <c r="S522" s="10">
        <v>73</v>
      </c>
      <c r="T522" s="10">
        <v>61</v>
      </c>
      <c r="U522" s="10">
        <v>0</v>
      </c>
      <c r="V522" s="10">
        <v>13</v>
      </c>
      <c r="W522" s="10">
        <v>4</v>
      </c>
    </row>
    <row r="523" spans="1:23">
      <c r="A523" s="2" t="s">
        <v>903</v>
      </c>
      <c r="B523" s="2" t="s">
        <v>904</v>
      </c>
      <c r="C523">
        <v>1</v>
      </c>
      <c r="D523" s="5">
        <v>44568</v>
      </c>
      <c r="E523">
        <v>811</v>
      </c>
      <c r="F523">
        <v>0</v>
      </c>
      <c r="G523">
        <v>53933526</v>
      </c>
      <c r="H523" t="str">
        <f t="shared" si="8"/>
        <v>no</v>
      </c>
      <c r="I523">
        <v>1</v>
      </c>
      <c r="J523">
        <v>8</v>
      </c>
      <c r="K523">
        <v>6</v>
      </c>
      <c r="L523">
        <v>0</v>
      </c>
      <c r="M523">
        <v>0</v>
      </c>
      <c r="N523">
        <v>78</v>
      </c>
      <c r="O523" t="s">
        <v>37</v>
      </c>
      <c r="P523" t="s">
        <v>41</v>
      </c>
      <c r="Q523" s="10">
        <v>27</v>
      </c>
      <c r="R523" s="10">
        <v>10</v>
      </c>
      <c r="S523" s="10">
        <v>49</v>
      </c>
      <c r="T523" s="10">
        <v>62</v>
      </c>
      <c r="U523" s="10">
        <v>0</v>
      </c>
      <c r="V523" s="10">
        <v>49</v>
      </c>
      <c r="W523" s="10">
        <v>5</v>
      </c>
    </row>
    <row r="524" spans="1:23" ht="30.75">
      <c r="A524" s="2" t="s">
        <v>905</v>
      </c>
      <c r="B524" s="2" t="s">
        <v>906</v>
      </c>
      <c r="C524">
        <v>1</v>
      </c>
      <c r="D524" s="5">
        <v>44519</v>
      </c>
      <c r="E524">
        <v>1756</v>
      </c>
      <c r="F524">
        <v>0</v>
      </c>
      <c r="G524">
        <v>267758538</v>
      </c>
      <c r="H524" t="str">
        <f t="shared" si="8"/>
        <v>yes</v>
      </c>
      <c r="I524">
        <v>38</v>
      </c>
      <c r="J524">
        <v>48</v>
      </c>
      <c r="K524">
        <v>20</v>
      </c>
      <c r="L524">
        <v>0</v>
      </c>
      <c r="M524">
        <v>0</v>
      </c>
      <c r="N524">
        <v>180</v>
      </c>
      <c r="O524" t="s">
        <v>51</v>
      </c>
      <c r="P524" t="s">
        <v>26</v>
      </c>
      <c r="Q524" s="10">
        <v>65</v>
      </c>
      <c r="R524" s="10">
        <v>37</v>
      </c>
      <c r="S524" s="10">
        <v>58</v>
      </c>
      <c r="T524" s="10">
        <v>2</v>
      </c>
      <c r="U524" s="10">
        <v>0</v>
      </c>
      <c r="V524" s="10">
        <v>4</v>
      </c>
      <c r="W524" s="10">
        <v>31</v>
      </c>
    </row>
    <row r="525" spans="1:23" ht="30.75">
      <c r="A525" s="2" t="s">
        <v>907</v>
      </c>
      <c r="B525" s="2" t="s">
        <v>908</v>
      </c>
      <c r="C525">
        <v>1</v>
      </c>
      <c r="D525" s="5">
        <v>44568</v>
      </c>
      <c r="E525">
        <v>1014</v>
      </c>
      <c r="F525">
        <v>0</v>
      </c>
      <c r="G525">
        <v>74601456</v>
      </c>
      <c r="H525" t="str">
        <f t="shared" si="8"/>
        <v>no</v>
      </c>
      <c r="I525">
        <v>1</v>
      </c>
      <c r="J525">
        <v>17</v>
      </c>
      <c r="K525">
        <v>11</v>
      </c>
      <c r="L525">
        <v>0</v>
      </c>
      <c r="M525">
        <v>0</v>
      </c>
      <c r="N525">
        <v>86</v>
      </c>
      <c r="O525" t="s">
        <v>37</v>
      </c>
      <c r="P525" t="s">
        <v>41</v>
      </c>
      <c r="Q525" s="10">
        <v>28</v>
      </c>
      <c r="R525" s="10">
        <v>13</v>
      </c>
      <c r="S525" s="10">
        <v>41</v>
      </c>
      <c r="T525" s="10">
        <v>50</v>
      </c>
      <c r="U525" s="10">
        <v>0</v>
      </c>
      <c r="V525" s="10">
        <v>19</v>
      </c>
      <c r="W525" s="10">
        <v>3</v>
      </c>
    </row>
    <row r="526" spans="1:23" ht="30.75">
      <c r="A526" s="2" t="s">
        <v>909</v>
      </c>
      <c r="B526" s="2" t="s">
        <v>910</v>
      </c>
      <c r="C526">
        <v>1</v>
      </c>
      <c r="D526" s="5">
        <v>44456</v>
      </c>
      <c r="E526">
        <v>7963</v>
      </c>
      <c r="F526">
        <v>0</v>
      </c>
      <c r="G526">
        <v>920797189</v>
      </c>
      <c r="H526" t="str">
        <f t="shared" si="8"/>
        <v>yes</v>
      </c>
      <c r="I526">
        <v>173</v>
      </c>
      <c r="J526">
        <v>7</v>
      </c>
      <c r="K526">
        <v>298</v>
      </c>
      <c r="L526">
        <v>0</v>
      </c>
      <c r="M526">
        <v>4</v>
      </c>
      <c r="N526">
        <v>88</v>
      </c>
      <c r="O526" t="s">
        <v>29</v>
      </c>
      <c r="P526" t="s">
        <v>41</v>
      </c>
      <c r="Q526" s="10">
        <v>74</v>
      </c>
      <c r="R526" s="10">
        <v>55</v>
      </c>
      <c r="S526" s="10">
        <v>85</v>
      </c>
      <c r="T526" s="10">
        <v>1</v>
      </c>
      <c r="U526" s="10">
        <v>0</v>
      </c>
      <c r="V526" s="10">
        <v>5</v>
      </c>
      <c r="W526" s="10">
        <v>22</v>
      </c>
    </row>
    <row r="527" spans="1:23" ht="45.75">
      <c r="A527" s="2" t="s">
        <v>911</v>
      </c>
      <c r="B527" s="2" t="s">
        <v>912</v>
      </c>
      <c r="C527">
        <v>2</v>
      </c>
      <c r="D527" s="5">
        <v>44505</v>
      </c>
      <c r="E527">
        <v>4771</v>
      </c>
      <c r="F527">
        <v>0</v>
      </c>
      <c r="G527">
        <v>539595276</v>
      </c>
      <c r="H527" t="str">
        <f t="shared" si="8"/>
        <v>yes</v>
      </c>
      <c r="I527">
        <v>68</v>
      </c>
      <c r="J527">
        <v>18</v>
      </c>
      <c r="K527">
        <v>75</v>
      </c>
      <c r="L527">
        <v>0</v>
      </c>
      <c r="M527">
        <v>1</v>
      </c>
      <c r="N527">
        <v>97</v>
      </c>
      <c r="O527" t="s">
        <v>29</v>
      </c>
      <c r="P527" t="s">
        <v>26</v>
      </c>
      <c r="Q527" s="10">
        <v>68</v>
      </c>
      <c r="R527" s="10">
        <v>72</v>
      </c>
      <c r="S527" s="10">
        <v>78</v>
      </c>
      <c r="T527" s="10">
        <v>4</v>
      </c>
      <c r="U527" s="10">
        <v>0</v>
      </c>
      <c r="V527" s="10">
        <v>7</v>
      </c>
      <c r="W527" s="10">
        <v>5</v>
      </c>
    </row>
    <row r="528" spans="1:23" ht="30.75">
      <c r="A528" s="2" t="s">
        <v>913</v>
      </c>
      <c r="B528" s="2" t="s">
        <v>914</v>
      </c>
      <c r="C528">
        <v>1</v>
      </c>
      <c r="D528" s="5">
        <v>43077</v>
      </c>
      <c r="E528">
        <v>8559</v>
      </c>
      <c r="F528">
        <v>0</v>
      </c>
      <c r="G528">
        <v>1367810478</v>
      </c>
      <c r="H528" t="str">
        <f t="shared" si="8"/>
        <v>yes</v>
      </c>
      <c r="I528">
        <v>183</v>
      </c>
      <c r="J528">
        <v>64</v>
      </c>
      <c r="K528">
        <v>964</v>
      </c>
      <c r="L528">
        <v>9</v>
      </c>
      <c r="M528">
        <v>75</v>
      </c>
      <c r="N528">
        <v>134</v>
      </c>
      <c r="O528" t="s">
        <v>25</v>
      </c>
      <c r="P528" t="s">
        <v>41</v>
      </c>
      <c r="Q528" s="10">
        <v>71</v>
      </c>
      <c r="R528" s="10">
        <v>59</v>
      </c>
      <c r="S528" s="10">
        <v>80</v>
      </c>
      <c r="T528" s="10">
        <v>13</v>
      </c>
      <c r="U528" s="10">
        <v>0</v>
      </c>
      <c r="V528" s="10">
        <v>36</v>
      </c>
      <c r="W528" s="10">
        <v>5</v>
      </c>
    </row>
    <row r="529" spans="1:23" ht="45.75">
      <c r="A529" s="2" t="s">
        <v>915</v>
      </c>
      <c r="B529" s="2" t="s">
        <v>916</v>
      </c>
      <c r="C529">
        <v>2</v>
      </c>
      <c r="D529" s="5">
        <v>44095</v>
      </c>
      <c r="E529">
        <v>3221</v>
      </c>
      <c r="F529">
        <v>2</v>
      </c>
      <c r="G529">
        <v>578207856</v>
      </c>
      <c r="H529" t="str">
        <f t="shared" si="8"/>
        <v>yes</v>
      </c>
      <c r="I529">
        <v>67</v>
      </c>
      <c r="J529">
        <v>13</v>
      </c>
      <c r="K529">
        <v>139</v>
      </c>
      <c r="L529">
        <v>0</v>
      </c>
      <c r="M529">
        <v>40</v>
      </c>
      <c r="N529">
        <v>116</v>
      </c>
      <c r="O529" t="s">
        <v>51</v>
      </c>
      <c r="P529" t="s">
        <v>26</v>
      </c>
      <c r="Q529" s="10">
        <v>75</v>
      </c>
      <c r="R529" s="10">
        <v>36</v>
      </c>
      <c r="S529" s="10">
        <v>76</v>
      </c>
      <c r="T529" s="10">
        <v>12</v>
      </c>
      <c r="U529" s="10">
        <v>0</v>
      </c>
      <c r="V529" s="10">
        <v>10</v>
      </c>
      <c r="W529" s="10">
        <v>10</v>
      </c>
    </row>
    <row r="530" spans="1:23" ht="76.5">
      <c r="A530" s="2" t="s">
        <v>917</v>
      </c>
      <c r="B530" s="2" t="s">
        <v>918</v>
      </c>
      <c r="C530">
        <v>3</v>
      </c>
      <c r="D530" s="5">
        <v>44474</v>
      </c>
      <c r="E530">
        <v>3423</v>
      </c>
      <c r="F530">
        <v>26</v>
      </c>
      <c r="G530">
        <v>775542072</v>
      </c>
      <c r="H530" t="str">
        <f t="shared" si="8"/>
        <v>yes</v>
      </c>
      <c r="I530">
        <v>61</v>
      </c>
      <c r="J530">
        <v>65</v>
      </c>
      <c r="K530">
        <v>53</v>
      </c>
      <c r="L530">
        <v>6</v>
      </c>
      <c r="M530">
        <v>0</v>
      </c>
      <c r="N530">
        <v>170</v>
      </c>
      <c r="O530" t="s">
        <v>98</v>
      </c>
      <c r="P530" t="s">
        <v>41</v>
      </c>
      <c r="Q530" s="10">
        <v>64</v>
      </c>
      <c r="R530" s="10">
        <v>14</v>
      </c>
      <c r="S530" s="10">
        <v>70</v>
      </c>
      <c r="T530" s="10">
        <v>9</v>
      </c>
      <c r="U530" s="10">
        <v>0</v>
      </c>
      <c r="V530" s="10">
        <v>9</v>
      </c>
      <c r="W530" s="10">
        <v>8</v>
      </c>
    </row>
    <row r="531" spans="1:23" ht="30.75">
      <c r="A531" s="2" t="s">
        <v>919</v>
      </c>
      <c r="B531" s="2" t="s">
        <v>920</v>
      </c>
      <c r="C531">
        <v>1</v>
      </c>
      <c r="D531" s="5">
        <v>44449</v>
      </c>
      <c r="E531">
        <v>2566</v>
      </c>
      <c r="F531">
        <v>13</v>
      </c>
      <c r="G531">
        <v>863625566</v>
      </c>
      <c r="H531" t="str">
        <f t="shared" si="8"/>
        <v>yes</v>
      </c>
      <c r="I531">
        <v>44</v>
      </c>
      <c r="J531">
        <v>109</v>
      </c>
      <c r="K531">
        <v>131</v>
      </c>
      <c r="L531">
        <v>0</v>
      </c>
      <c r="N531">
        <v>140</v>
      </c>
      <c r="O531" t="s">
        <v>29</v>
      </c>
      <c r="P531" t="s">
        <v>41</v>
      </c>
      <c r="Q531" s="10">
        <v>83</v>
      </c>
      <c r="R531" s="10">
        <v>40</v>
      </c>
      <c r="S531" s="10">
        <v>55</v>
      </c>
      <c r="T531" s="10">
        <v>16</v>
      </c>
      <c r="U531" s="10">
        <v>0</v>
      </c>
      <c r="V531" s="10">
        <v>14</v>
      </c>
      <c r="W531" s="10">
        <v>23</v>
      </c>
    </row>
    <row r="532" spans="1:23">
      <c r="A532" s="2" t="s">
        <v>921</v>
      </c>
      <c r="B532" s="2" t="s">
        <v>922</v>
      </c>
      <c r="C532">
        <v>2</v>
      </c>
      <c r="D532" s="5">
        <v>44504</v>
      </c>
      <c r="E532">
        <v>9151</v>
      </c>
      <c r="F532">
        <v>6</v>
      </c>
      <c r="G532">
        <v>656013912</v>
      </c>
      <c r="H532" t="str">
        <f t="shared" si="8"/>
        <v>yes</v>
      </c>
      <c r="I532">
        <v>240</v>
      </c>
      <c r="J532">
        <v>107</v>
      </c>
      <c r="K532">
        <v>268</v>
      </c>
      <c r="L532">
        <v>0</v>
      </c>
      <c r="M532">
        <v>5</v>
      </c>
      <c r="N532">
        <v>118</v>
      </c>
      <c r="O532" t="s">
        <v>72</v>
      </c>
      <c r="P532" t="s">
        <v>41</v>
      </c>
      <c r="Q532" s="10">
        <v>75</v>
      </c>
      <c r="R532" s="10">
        <v>46</v>
      </c>
      <c r="S532" s="10">
        <v>76</v>
      </c>
      <c r="T532" s="10">
        <v>3</v>
      </c>
      <c r="U532" s="10">
        <v>0</v>
      </c>
      <c r="V532" s="10">
        <v>9</v>
      </c>
      <c r="W532" s="10">
        <v>4</v>
      </c>
    </row>
    <row r="533" spans="1:23" ht="30.75">
      <c r="A533" s="2" t="s">
        <v>923</v>
      </c>
      <c r="B533" s="2" t="s">
        <v>924</v>
      </c>
      <c r="C533">
        <v>1</v>
      </c>
      <c r="D533" s="5">
        <v>44407</v>
      </c>
      <c r="E533">
        <v>8476</v>
      </c>
      <c r="F533">
        <v>0</v>
      </c>
      <c r="G533">
        <v>1056760045</v>
      </c>
      <c r="H533" t="str">
        <f t="shared" si="8"/>
        <v>yes</v>
      </c>
      <c r="I533">
        <v>138</v>
      </c>
      <c r="J533">
        <v>133</v>
      </c>
      <c r="K533">
        <v>283</v>
      </c>
      <c r="L533">
        <v>0</v>
      </c>
      <c r="N533">
        <v>65</v>
      </c>
      <c r="P533" t="s">
        <v>26</v>
      </c>
      <c r="Q533" s="10">
        <v>31</v>
      </c>
      <c r="R533" s="10">
        <v>31</v>
      </c>
      <c r="S533" s="10">
        <v>24</v>
      </c>
      <c r="T533" s="10">
        <v>76</v>
      </c>
      <c r="U533" s="10">
        <v>0</v>
      </c>
      <c r="V533" s="10">
        <v>14</v>
      </c>
      <c r="W533" s="10">
        <v>4</v>
      </c>
    </row>
    <row r="534" spans="1:23" ht="45.75">
      <c r="A534" s="2" t="s">
        <v>925</v>
      </c>
      <c r="B534" s="2" t="s">
        <v>926</v>
      </c>
      <c r="C534">
        <v>2</v>
      </c>
      <c r="D534" s="5">
        <v>44491</v>
      </c>
      <c r="E534">
        <v>7495</v>
      </c>
      <c r="F534">
        <v>17</v>
      </c>
      <c r="G534">
        <v>611994237</v>
      </c>
      <c r="H534" t="str">
        <f t="shared" si="8"/>
        <v>yes</v>
      </c>
      <c r="I534">
        <v>114</v>
      </c>
      <c r="J534">
        <v>172</v>
      </c>
      <c r="K534">
        <v>284</v>
      </c>
      <c r="L534">
        <v>2</v>
      </c>
      <c r="N534">
        <v>120</v>
      </c>
      <c r="P534" t="s">
        <v>41</v>
      </c>
      <c r="Q534" s="10">
        <v>56</v>
      </c>
      <c r="R534" s="10">
        <v>16</v>
      </c>
      <c r="S534" s="10">
        <v>67</v>
      </c>
      <c r="T534" s="10">
        <v>0</v>
      </c>
      <c r="U534" s="10">
        <v>0</v>
      </c>
      <c r="V534" s="10">
        <v>11</v>
      </c>
      <c r="W534" s="10">
        <v>4</v>
      </c>
    </row>
    <row r="535" spans="1:23">
      <c r="A535" s="2" t="s">
        <v>927</v>
      </c>
      <c r="B535" s="2" t="s">
        <v>928</v>
      </c>
      <c r="C535">
        <v>2</v>
      </c>
      <c r="D535" s="5">
        <v>44337</v>
      </c>
      <c r="E535">
        <v>5257</v>
      </c>
      <c r="F535">
        <v>6</v>
      </c>
      <c r="G535">
        <v>1230855859</v>
      </c>
      <c r="H535" t="str">
        <f t="shared" si="8"/>
        <v>yes</v>
      </c>
      <c r="I535">
        <v>85</v>
      </c>
      <c r="J535">
        <v>43</v>
      </c>
      <c r="K535">
        <v>134</v>
      </c>
      <c r="L535">
        <v>0</v>
      </c>
      <c r="N535">
        <v>176</v>
      </c>
      <c r="O535" t="s">
        <v>196</v>
      </c>
      <c r="P535" t="s">
        <v>26</v>
      </c>
      <c r="Q535" s="10">
        <v>29</v>
      </c>
      <c r="R535" s="10">
        <v>12</v>
      </c>
      <c r="S535" s="10">
        <v>33</v>
      </c>
      <c r="T535" s="10">
        <v>68</v>
      </c>
      <c r="U535" s="10">
        <v>0</v>
      </c>
      <c r="V535" s="10">
        <v>12</v>
      </c>
      <c r="W535" s="10">
        <v>5</v>
      </c>
    </row>
    <row r="536" spans="1:23">
      <c r="A536" s="2" t="s">
        <v>929</v>
      </c>
      <c r="B536" s="2" t="s">
        <v>930</v>
      </c>
      <c r="C536">
        <v>1</v>
      </c>
      <c r="D536" s="5">
        <v>44449</v>
      </c>
      <c r="E536">
        <v>1795</v>
      </c>
      <c r="F536">
        <v>0</v>
      </c>
      <c r="G536">
        <v>582981380</v>
      </c>
      <c r="H536" t="str">
        <f t="shared" si="8"/>
        <v>yes</v>
      </c>
      <c r="I536">
        <v>34</v>
      </c>
      <c r="J536">
        <v>23</v>
      </c>
      <c r="K536">
        <v>118</v>
      </c>
      <c r="L536">
        <v>0</v>
      </c>
      <c r="N536">
        <v>180</v>
      </c>
      <c r="O536" t="s">
        <v>63</v>
      </c>
      <c r="P536" t="s">
        <v>41</v>
      </c>
      <c r="Q536" s="10">
        <v>59</v>
      </c>
      <c r="R536" s="10">
        <v>69</v>
      </c>
      <c r="S536" s="10">
        <v>61</v>
      </c>
      <c r="T536" s="10">
        <v>84</v>
      </c>
      <c r="U536" s="10">
        <v>0</v>
      </c>
      <c r="V536" s="10">
        <v>46</v>
      </c>
      <c r="W536" s="10">
        <v>36</v>
      </c>
    </row>
    <row r="537" spans="1:23">
      <c r="A537" s="2" t="s">
        <v>931</v>
      </c>
      <c r="B537" s="2" t="s">
        <v>932</v>
      </c>
      <c r="C537">
        <v>1</v>
      </c>
      <c r="D537" s="5">
        <v>44204</v>
      </c>
      <c r="E537">
        <v>12685</v>
      </c>
      <c r="F537">
        <v>3</v>
      </c>
      <c r="G537">
        <v>1858144199</v>
      </c>
      <c r="H537" t="str">
        <f t="shared" si="8"/>
        <v>yes</v>
      </c>
      <c r="I537">
        <v>185</v>
      </c>
      <c r="J537">
        <v>61</v>
      </c>
      <c r="K537">
        <v>485</v>
      </c>
      <c r="L537">
        <v>0</v>
      </c>
      <c r="N537">
        <v>144</v>
      </c>
      <c r="O537" t="s">
        <v>128</v>
      </c>
      <c r="P537" t="s">
        <v>26</v>
      </c>
      <c r="Q537" s="10">
        <v>59</v>
      </c>
      <c r="R537" s="10">
        <v>21</v>
      </c>
      <c r="S537" s="10">
        <v>43</v>
      </c>
      <c r="T537" s="10">
        <v>76</v>
      </c>
      <c r="U537" s="10">
        <v>0</v>
      </c>
      <c r="V537" s="10">
        <v>10</v>
      </c>
      <c r="W537" s="10">
        <v>7</v>
      </c>
    </row>
    <row r="538" spans="1:23" ht="30.75">
      <c r="A538" s="2" t="s">
        <v>933</v>
      </c>
      <c r="B538" s="2" t="s">
        <v>934</v>
      </c>
      <c r="C538">
        <v>3</v>
      </c>
      <c r="D538" s="5">
        <v>44530</v>
      </c>
      <c r="E538">
        <v>648</v>
      </c>
      <c r="F538">
        <v>1</v>
      </c>
      <c r="G538">
        <v>240684449</v>
      </c>
      <c r="H538" t="str">
        <f t="shared" si="8"/>
        <v>yes</v>
      </c>
      <c r="I538">
        <v>14</v>
      </c>
      <c r="J538">
        <v>3</v>
      </c>
      <c r="K538">
        <v>81</v>
      </c>
      <c r="L538">
        <v>0</v>
      </c>
      <c r="M538">
        <v>0</v>
      </c>
      <c r="N538">
        <v>133</v>
      </c>
      <c r="O538" t="s">
        <v>53</v>
      </c>
      <c r="P538" t="s">
        <v>41</v>
      </c>
      <c r="Q538" s="10">
        <v>82</v>
      </c>
      <c r="R538" s="10">
        <v>52</v>
      </c>
      <c r="S538" s="10">
        <v>61</v>
      </c>
      <c r="T538" s="10">
        <v>38</v>
      </c>
      <c r="U538" s="10">
        <v>0</v>
      </c>
      <c r="V538" s="10">
        <v>14</v>
      </c>
      <c r="W538" s="10">
        <v>27</v>
      </c>
    </row>
    <row r="539" spans="1:23" ht="91.5">
      <c r="A539" s="2" t="s">
        <v>935</v>
      </c>
      <c r="B539" s="2" t="s">
        <v>936</v>
      </c>
      <c r="C539">
        <v>1</v>
      </c>
      <c r="D539" s="5">
        <v>44512</v>
      </c>
      <c r="E539">
        <v>4635</v>
      </c>
      <c r="F539">
        <v>5</v>
      </c>
      <c r="G539">
        <v>583687007</v>
      </c>
      <c r="H539" t="str">
        <f t="shared" si="8"/>
        <v>yes</v>
      </c>
      <c r="I539">
        <v>50</v>
      </c>
      <c r="J539">
        <v>49</v>
      </c>
      <c r="K539">
        <v>30</v>
      </c>
      <c r="L539">
        <v>1</v>
      </c>
      <c r="M539">
        <v>2</v>
      </c>
      <c r="N539">
        <v>93</v>
      </c>
      <c r="P539" t="s">
        <v>26</v>
      </c>
      <c r="Q539" s="10">
        <v>63</v>
      </c>
      <c r="R539" s="10">
        <v>21</v>
      </c>
      <c r="S539" s="10">
        <v>52</v>
      </c>
      <c r="T539" s="10">
        <v>28</v>
      </c>
      <c r="U539" s="10">
        <v>0</v>
      </c>
      <c r="V539" s="10">
        <v>9</v>
      </c>
      <c r="W539" s="10">
        <v>3</v>
      </c>
    </row>
    <row r="540" spans="1:23" ht="30.75">
      <c r="A540" s="2" t="s">
        <v>937</v>
      </c>
      <c r="B540" s="2" t="s">
        <v>938</v>
      </c>
      <c r="C540">
        <v>1</v>
      </c>
      <c r="D540" s="5">
        <v>44568</v>
      </c>
      <c r="E540">
        <v>1184</v>
      </c>
      <c r="F540">
        <v>0</v>
      </c>
      <c r="G540">
        <v>63803529</v>
      </c>
      <c r="H540" t="str">
        <f t="shared" si="8"/>
        <v>no</v>
      </c>
      <c r="I540">
        <v>1</v>
      </c>
      <c r="J540">
        <v>5</v>
      </c>
      <c r="K540">
        <v>6</v>
      </c>
      <c r="L540">
        <v>0</v>
      </c>
      <c r="M540">
        <v>0</v>
      </c>
      <c r="N540">
        <v>122</v>
      </c>
      <c r="O540" t="s">
        <v>128</v>
      </c>
      <c r="P540" t="s">
        <v>26</v>
      </c>
      <c r="Q540" s="10">
        <v>77</v>
      </c>
      <c r="R540" s="10">
        <v>25</v>
      </c>
      <c r="S540" s="10">
        <v>62</v>
      </c>
      <c r="T540" s="10">
        <v>34</v>
      </c>
      <c r="U540" s="10">
        <v>0</v>
      </c>
      <c r="V540" s="10">
        <v>23</v>
      </c>
      <c r="W540" s="10">
        <v>3</v>
      </c>
    </row>
    <row r="541" spans="1:23">
      <c r="A541" s="2" t="s">
        <v>939</v>
      </c>
      <c r="B541" s="2" t="s">
        <v>940</v>
      </c>
      <c r="C541">
        <v>1</v>
      </c>
      <c r="D541" s="5">
        <v>44519</v>
      </c>
      <c r="E541">
        <v>4431</v>
      </c>
      <c r="F541">
        <v>0</v>
      </c>
      <c r="G541">
        <v>466214729</v>
      </c>
      <c r="H541" t="str">
        <f t="shared" si="8"/>
        <v>yes</v>
      </c>
      <c r="I541">
        <v>105</v>
      </c>
      <c r="J541">
        <v>7</v>
      </c>
      <c r="K541">
        <v>199</v>
      </c>
      <c r="L541">
        <v>0</v>
      </c>
      <c r="M541">
        <v>0</v>
      </c>
      <c r="N541">
        <v>88</v>
      </c>
      <c r="O541" t="s">
        <v>29</v>
      </c>
      <c r="P541" t="s">
        <v>26</v>
      </c>
      <c r="Q541" s="10">
        <v>53</v>
      </c>
      <c r="R541" s="10">
        <v>55</v>
      </c>
      <c r="S541" s="10">
        <v>73</v>
      </c>
      <c r="T541" s="10">
        <v>9</v>
      </c>
      <c r="U541" s="10">
        <v>0</v>
      </c>
      <c r="V541" s="10">
        <v>3</v>
      </c>
      <c r="W541" s="10">
        <v>5</v>
      </c>
    </row>
    <row r="542" spans="1:23" ht="60.75">
      <c r="A542" s="2" t="s">
        <v>941</v>
      </c>
      <c r="B542" s="2" t="s">
        <v>942</v>
      </c>
      <c r="C542">
        <v>4</v>
      </c>
      <c r="D542" s="5">
        <v>44566</v>
      </c>
      <c r="E542">
        <v>759</v>
      </c>
      <c r="F542">
        <v>3</v>
      </c>
      <c r="G542">
        <v>236940480</v>
      </c>
      <c r="H542" t="str">
        <f t="shared" si="8"/>
        <v>yes</v>
      </c>
      <c r="I542">
        <v>32</v>
      </c>
      <c r="J542">
        <v>0</v>
      </c>
      <c r="K542">
        <v>12</v>
      </c>
      <c r="L542">
        <v>0</v>
      </c>
      <c r="M542">
        <v>0</v>
      </c>
      <c r="N542">
        <v>170</v>
      </c>
      <c r="O542" t="s">
        <v>32</v>
      </c>
      <c r="P542" t="s">
        <v>41</v>
      </c>
      <c r="Q542" s="10">
        <v>70</v>
      </c>
      <c r="R542" s="10">
        <v>61</v>
      </c>
      <c r="S542" s="10">
        <v>44</v>
      </c>
      <c r="T542" s="10">
        <v>40</v>
      </c>
      <c r="U542" s="10">
        <v>0</v>
      </c>
      <c r="V542" s="10">
        <v>37</v>
      </c>
      <c r="W542" s="10">
        <v>4</v>
      </c>
    </row>
    <row r="543" spans="1:23" ht="30.75">
      <c r="A543" s="2" t="s">
        <v>941</v>
      </c>
      <c r="B543" s="2" t="s">
        <v>943</v>
      </c>
      <c r="C543">
        <v>1</v>
      </c>
      <c r="D543" s="5">
        <v>44568</v>
      </c>
      <c r="E543">
        <v>733</v>
      </c>
      <c r="F543">
        <v>0</v>
      </c>
      <c r="G543">
        <v>41924466</v>
      </c>
      <c r="H543" t="str">
        <f t="shared" si="8"/>
        <v>no</v>
      </c>
      <c r="I543">
        <v>0</v>
      </c>
      <c r="J543">
        <v>2</v>
      </c>
      <c r="K543">
        <v>2</v>
      </c>
      <c r="L543">
        <v>0</v>
      </c>
      <c r="M543">
        <v>0</v>
      </c>
      <c r="N543">
        <v>94</v>
      </c>
      <c r="O543" t="s">
        <v>32</v>
      </c>
      <c r="P543" t="s">
        <v>41</v>
      </c>
      <c r="Q543" s="10">
        <v>46</v>
      </c>
      <c r="R543" s="10">
        <v>55</v>
      </c>
      <c r="S543" s="10">
        <v>50</v>
      </c>
      <c r="T543" s="10">
        <v>71</v>
      </c>
      <c r="U543" s="10">
        <v>0</v>
      </c>
      <c r="V543" s="10">
        <v>10</v>
      </c>
      <c r="W543" s="10">
        <v>11</v>
      </c>
    </row>
    <row r="544" spans="1:23">
      <c r="A544" s="2" t="s">
        <v>944</v>
      </c>
      <c r="B544" s="2" t="s">
        <v>945</v>
      </c>
      <c r="C544">
        <v>1</v>
      </c>
      <c r="D544" s="5">
        <v>44518</v>
      </c>
      <c r="E544">
        <v>2795</v>
      </c>
      <c r="F544">
        <v>0</v>
      </c>
      <c r="G544">
        <v>225259194</v>
      </c>
      <c r="H544" t="str">
        <f t="shared" si="8"/>
        <v>yes</v>
      </c>
      <c r="I544">
        <v>45</v>
      </c>
      <c r="J544">
        <v>0</v>
      </c>
      <c r="K544">
        <v>107</v>
      </c>
      <c r="L544">
        <v>0</v>
      </c>
      <c r="M544">
        <v>0</v>
      </c>
      <c r="N544">
        <v>170</v>
      </c>
      <c r="O544" t="s">
        <v>128</v>
      </c>
      <c r="P544" t="s">
        <v>26</v>
      </c>
      <c r="Q544" s="10">
        <v>65</v>
      </c>
      <c r="R544" s="10">
        <v>46</v>
      </c>
      <c r="S544" s="10">
        <v>47</v>
      </c>
      <c r="T544" s="10">
        <v>12</v>
      </c>
      <c r="U544" s="10">
        <v>0</v>
      </c>
      <c r="V544" s="10">
        <v>13</v>
      </c>
      <c r="W544" s="10">
        <v>16</v>
      </c>
    </row>
    <row r="545" spans="1:23" ht="30.75">
      <c r="A545" s="2" t="s">
        <v>946</v>
      </c>
      <c r="B545" s="2" t="s">
        <v>947</v>
      </c>
      <c r="C545">
        <v>3</v>
      </c>
      <c r="D545" s="5">
        <v>44496</v>
      </c>
      <c r="E545">
        <v>2780</v>
      </c>
      <c r="F545">
        <v>2</v>
      </c>
      <c r="G545">
        <v>393230256</v>
      </c>
      <c r="H545" t="str">
        <f t="shared" si="8"/>
        <v>yes</v>
      </c>
      <c r="I545">
        <v>54</v>
      </c>
      <c r="J545">
        <v>21</v>
      </c>
      <c r="K545">
        <v>57</v>
      </c>
      <c r="L545">
        <v>1</v>
      </c>
      <c r="M545">
        <v>0</v>
      </c>
      <c r="N545">
        <v>90</v>
      </c>
      <c r="O545" t="s">
        <v>98</v>
      </c>
      <c r="P545" t="s">
        <v>41</v>
      </c>
      <c r="Q545" s="10">
        <v>79</v>
      </c>
      <c r="R545" s="10">
        <v>79</v>
      </c>
      <c r="S545" s="10">
        <v>70</v>
      </c>
      <c r="T545" s="10">
        <v>57</v>
      </c>
      <c r="U545" s="10">
        <v>0</v>
      </c>
      <c r="V545" s="10">
        <v>66</v>
      </c>
      <c r="W545" s="10">
        <v>8</v>
      </c>
    </row>
    <row r="546" spans="1:23" ht="60.75">
      <c r="A546" s="2" t="s">
        <v>948</v>
      </c>
      <c r="B546" s="2" t="s">
        <v>949</v>
      </c>
      <c r="C546">
        <v>1</v>
      </c>
      <c r="D546" s="5">
        <v>44531</v>
      </c>
      <c r="E546">
        <v>1950</v>
      </c>
      <c r="F546">
        <v>0</v>
      </c>
      <c r="G546">
        <v>287201015</v>
      </c>
      <c r="H546" t="str">
        <f t="shared" si="8"/>
        <v>yes</v>
      </c>
      <c r="I546">
        <v>56</v>
      </c>
      <c r="J546">
        <v>8</v>
      </c>
      <c r="K546">
        <v>104</v>
      </c>
      <c r="L546">
        <v>0</v>
      </c>
      <c r="M546">
        <v>10</v>
      </c>
      <c r="N546">
        <v>78</v>
      </c>
      <c r="O546" t="s">
        <v>72</v>
      </c>
      <c r="P546" t="s">
        <v>26</v>
      </c>
      <c r="Q546" s="10">
        <v>40</v>
      </c>
      <c r="R546" s="10">
        <v>7</v>
      </c>
      <c r="S546" s="10">
        <v>29</v>
      </c>
      <c r="T546" s="10">
        <v>62</v>
      </c>
      <c r="U546" s="10">
        <v>0</v>
      </c>
      <c r="V546" s="10">
        <v>9</v>
      </c>
      <c r="W546" s="10">
        <v>3</v>
      </c>
    </row>
    <row r="547" spans="1:23" ht="45.75">
      <c r="A547" s="2" t="s">
        <v>950</v>
      </c>
      <c r="B547" s="2" t="s">
        <v>951</v>
      </c>
      <c r="C547">
        <v>1</v>
      </c>
      <c r="D547" s="5">
        <v>43168</v>
      </c>
      <c r="E547">
        <v>3947</v>
      </c>
      <c r="F547">
        <v>12</v>
      </c>
      <c r="G547">
        <v>599770206</v>
      </c>
      <c r="H547" t="str">
        <f t="shared" si="8"/>
        <v>yes</v>
      </c>
      <c r="I547">
        <v>33</v>
      </c>
      <c r="J547">
        <v>102</v>
      </c>
      <c r="K547">
        <v>93</v>
      </c>
      <c r="L547">
        <v>0</v>
      </c>
      <c r="M547">
        <v>30</v>
      </c>
      <c r="N547">
        <v>94</v>
      </c>
      <c r="O547" t="s">
        <v>51</v>
      </c>
      <c r="P547" t="s">
        <v>26</v>
      </c>
      <c r="Q547" s="10">
        <v>57</v>
      </c>
      <c r="R547" s="10">
        <v>36</v>
      </c>
      <c r="S547" s="10">
        <v>58</v>
      </c>
      <c r="T547" s="10">
        <v>5</v>
      </c>
      <c r="U547" s="10">
        <v>0</v>
      </c>
      <c r="V547" s="10">
        <v>15</v>
      </c>
      <c r="W547" s="10">
        <v>3</v>
      </c>
    </row>
    <row r="548" spans="1:23" ht="45.75">
      <c r="A548" s="2" t="s">
        <v>952</v>
      </c>
      <c r="B548" s="2" t="s">
        <v>953</v>
      </c>
      <c r="C548">
        <v>1</v>
      </c>
      <c r="D548" s="5">
        <v>44499</v>
      </c>
      <c r="E548">
        <v>2551</v>
      </c>
      <c r="F548">
        <v>0</v>
      </c>
      <c r="G548">
        <v>342779426</v>
      </c>
      <c r="H548" t="str">
        <f t="shared" si="8"/>
        <v>yes</v>
      </c>
      <c r="I548">
        <v>52</v>
      </c>
      <c r="J548">
        <v>15</v>
      </c>
      <c r="K548">
        <v>35</v>
      </c>
      <c r="L548">
        <v>0</v>
      </c>
      <c r="M548">
        <v>1</v>
      </c>
      <c r="N548">
        <v>73</v>
      </c>
      <c r="O548" t="s">
        <v>51</v>
      </c>
      <c r="P548" t="s">
        <v>26</v>
      </c>
      <c r="Q548" s="10">
        <v>83</v>
      </c>
      <c r="R548" s="10">
        <v>11</v>
      </c>
      <c r="S548" s="10">
        <v>41</v>
      </c>
      <c r="T548" s="10">
        <v>0</v>
      </c>
      <c r="U548" s="10">
        <v>0</v>
      </c>
      <c r="V548" s="10">
        <v>36</v>
      </c>
      <c r="W548" s="10">
        <v>14</v>
      </c>
    </row>
    <row r="549" spans="1:23">
      <c r="A549" s="2" t="s">
        <v>954</v>
      </c>
      <c r="B549" s="2" t="s">
        <v>955</v>
      </c>
      <c r="C549">
        <v>2</v>
      </c>
      <c r="D549" s="5">
        <v>44411</v>
      </c>
      <c r="E549">
        <v>5375</v>
      </c>
      <c r="F549">
        <v>10</v>
      </c>
      <c r="G549">
        <v>673801126</v>
      </c>
      <c r="H549" t="str">
        <f t="shared" si="8"/>
        <v>yes</v>
      </c>
      <c r="I549">
        <v>138</v>
      </c>
      <c r="J549">
        <v>24</v>
      </c>
      <c r="K549">
        <v>133</v>
      </c>
      <c r="L549">
        <v>0</v>
      </c>
      <c r="M549">
        <v>1</v>
      </c>
      <c r="N549">
        <v>176</v>
      </c>
      <c r="O549" t="s">
        <v>29</v>
      </c>
      <c r="P549" t="s">
        <v>26</v>
      </c>
      <c r="Q549" s="10">
        <v>73</v>
      </c>
      <c r="R549" s="10">
        <v>79</v>
      </c>
      <c r="S549" s="10">
        <v>86</v>
      </c>
      <c r="T549" s="10">
        <v>42</v>
      </c>
      <c r="U549" s="10">
        <v>0</v>
      </c>
      <c r="V549" s="10">
        <v>7</v>
      </c>
      <c r="W549" s="10">
        <v>18</v>
      </c>
    </row>
    <row r="550" spans="1:23">
      <c r="A550" s="2" t="s">
        <v>956</v>
      </c>
      <c r="B550" s="2" t="s">
        <v>957</v>
      </c>
      <c r="C550">
        <v>1</v>
      </c>
      <c r="D550" s="5">
        <v>44137</v>
      </c>
      <c r="E550">
        <v>11975</v>
      </c>
      <c r="F550">
        <v>8</v>
      </c>
      <c r="G550">
        <v>1168642797</v>
      </c>
      <c r="H550" t="str">
        <f t="shared" si="8"/>
        <v>yes</v>
      </c>
      <c r="I550">
        <v>188</v>
      </c>
      <c r="J550">
        <v>75</v>
      </c>
      <c r="K550">
        <v>268</v>
      </c>
      <c r="L550">
        <v>6</v>
      </c>
      <c r="M550">
        <v>16</v>
      </c>
      <c r="N550">
        <v>128</v>
      </c>
      <c r="O550" t="s">
        <v>196</v>
      </c>
      <c r="P550" t="s">
        <v>41</v>
      </c>
      <c r="Q550" s="10">
        <v>81</v>
      </c>
      <c r="R550" s="10">
        <v>57</v>
      </c>
      <c r="S550" s="10">
        <v>63</v>
      </c>
      <c r="T550" s="10">
        <v>40</v>
      </c>
      <c r="U550" s="10">
        <v>1</v>
      </c>
      <c r="V550" s="10">
        <v>10</v>
      </c>
      <c r="W550" s="10">
        <v>4</v>
      </c>
    </row>
    <row r="551" spans="1:23" ht="30.75">
      <c r="A551" s="2" t="s">
        <v>958</v>
      </c>
      <c r="B551" s="2" t="s">
        <v>959</v>
      </c>
      <c r="C551">
        <v>3</v>
      </c>
      <c r="D551" s="5">
        <v>43707</v>
      </c>
      <c r="E551">
        <v>2696</v>
      </c>
      <c r="F551">
        <v>0</v>
      </c>
      <c r="G551">
        <v>540539717</v>
      </c>
      <c r="H551" t="str">
        <f t="shared" si="8"/>
        <v>yes</v>
      </c>
      <c r="I551">
        <v>42</v>
      </c>
      <c r="J551">
        <v>2</v>
      </c>
      <c r="K551">
        <v>57</v>
      </c>
      <c r="L551">
        <v>0</v>
      </c>
      <c r="N551">
        <v>120</v>
      </c>
      <c r="O551" t="s">
        <v>63</v>
      </c>
      <c r="P551" t="s">
        <v>26</v>
      </c>
      <c r="Q551" s="10">
        <v>58</v>
      </c>
      <c r="R551" s="10">
        <v>44</v>
      </c>
      <c r="S551" s="10">
        <v>60</v>
      </c>
      <c r="T551" s="10">
        <v>44</v>
      </c>
      <c r="U551" s="10">
        <v>9</v>
      </c>
      <c r="V551" s="10">
        <v>5</v>
      </c>
      <c r="W551" s="10">
        <v>6</v>
      </c>
    </row>
    <row r="552" spans="1:23" ht="30.75">
      <c r="A552" s="2" t="s">
        <v>960</v>
      </c>
      <c r="B552" s="2" t="s">
        <v>961</v>
      </c>
      <c r="C552">
        <v>3</v>
      </c>
      <c r="D552" s="5">
        <v>44505</v>
      </c>
      <c r="E552">
        <v>4963</v>
      </c>
      <c r="F552">
        <v>0</v>
      </c>
      <c r="G552">
        <v>383550148</v>
      </c>
      <c r="H552" t="str">
        <f t="shared" si="8"/>
        <v>yes</v>
      </c>
      <c r="I552">
        <v>63</v>
      </c>
      <c r="J552">
        <v>40</v>
      </c>
      <c r="K552">
        <v>76</v>
      </c>
      <c r="L552">
        <v>0</v>
      </c>
      <c r="M552">
        <v>0</v>
      </c>
      <c r="N552">
        <v>82</v>
      </c>
      <c r="O552" t="s">
        <v>51</v>
      </c>
      <c r="P552" t="s">
        <v>26</v>
      </c>
      <c r="Q552" s="10">
        <v>63</v>
      </c>
      <c r="R552" s="10">
        <v>85</v>
      </c>
      <c r="S552" s="10">
        <v>62</v>
      </c>
      <c r="T552" s="10">
        <v>6</v>
      </c>
      <c r="U552" s="10">
        <v>0</v>
      </c>
      <c r="V552" s="10">
        <v>35</v>
      </c>
      <c r="W552" s="10">
        <v>4</v>
      </c>
    </row>
    <row r="553" spans="1:23" ht="30.75">
      <c r="A553" s="2" t="s">
        <v>962</v>
      </c>
      <c r="B553" s="2" t="s">
        <v>963</v>
      </c>
      <c r="C553">
        <v>3</v>
      </c>
      <c r="D553" s="5">
        <v>43903</v>
      </c>
      <c r="E553">
        <v>6734</v>
      </c>
      <c r="F553">
        <v>0</v>
      </c>
      <c r="G553">
        <v>530511203</v>
      </c>
      <c r="H553" t="str">
        <f t="shared" si="8"/>
        <v>yes</v>
      </c>
      <c r="I553">
        <v>47</v>
      </c>
      <c r="J553">
        <v>14</v>
      </c>
      <c r="K553">
        <v>90</v>
      </c>
      <c r="L553">
        <v>0</v>
      </c>
      <c r="M553">
        <v>1</v>
      </c>
      <c r="N553">
        <v>95</v>
      </c>
      <c r="O553" t="s">
        <v>51</v>
      </c>
      <c r="P553" t="s">
        <v>26</v>
      </c>
      <c r="Q553" s="10">
        <v>77</v>
      </c>
      <c r="R553" s="10">
        <v>40</v>
      </c>
      <c r="S553" s="10">
        <v>47</v>
      </c>
      <c r="T553" s="10">
        <v>2</v>
      </c>
      <c r="U553" s="10">
        <v>0</v>
      </c>
      <c r="V553" s="10">
        <v>9</v>
      </c>
      <c r="W553" s="10">
        <v>3</v>
      </c>
    </row>
    <row r="554" spans="1:23" ht="30.75">
      <c r="A554" s="2" t="s">
        <v>964</v>
      </c>
      <c r="B554" s="2" t="s">
        <v>965</v>
      </c>
      <c r="C554">
        <v>1</v>
      </c>
      <c r="D554" s="5">
        <v>44568</v>
      </c>
      <c r="E554">
        <v>715</v>
      </c>
      <c r="F554">
        <v>0</v>
      </c>
      <c r="G554">
        <v>37307967</v>
      </c>
      <c r="H554" t="str">
        <f t="shared" si="8"/>
        <v>no</v>
      </c>
      <c r="I554">
        <v>0</v>
      </c>
      <c r="J554">
        <v>1</v>
      </c>
      <c r="K554">
        <v>2</v>
      </c>
      <c r="L554">
        <v>0</v>
      </c>
      <c r="M554">
        <v>0</v>
      </c>
      <c r="N554">
        <v>118</v>
      </c>
      <c r="P554" t="s">
        <v>26</v>
      </c>
      <c r="Q554" s="10">
        <v>44</v>
      </c>
      <c r="R554" s="10">
        <v>52</v>
      </c>
      <c r="S554" s="10">
        <v>94</v>
      </c>
      <c r="T554" s="10">
        <v>11</v>
      </c>
      <c r="U554" s="10">
        <v>0</v>
      </c>
      <c r="V554" s="10">
        <v>4</v>
      </c>
      <c r="W554" s="10">
        <v>29</v>
      </c>
    </row>
    <row r="555" spans="1:23" ht="30.75">
      <c r="A555" s="2" t="s">
        <v>966</v>
      </c>
      <c r="B555" s="2" t="s">
        <v>967</v>
      </c>
      <c r="C555">
        <v>1</v>
      </c>
      <c r="D555" s="5">
        <v>44491</v>
      </c>
      <c r="E555">
        <v>3047</v>
      </c>
      <c r="F555">
        <v>9</v>
      </c>
      <c r="G555">
        <v>510876816</v>
      </c>
      <c r="H555" t="str">
        <f t="shared" si="8"/>
        <v>yes</v>
      </c>
      <c r="I555">
        <v>77</v>
      </c>
      <c r="J555">
        <v>31</v>
      </c>
      <c r="K555">
        <v>85</v>
      </c>
      <c r="L555">
        <v>5</v>
      </c>
      <c r="M555">
        <v>28</v>
      </c>
      <c r="N555">
        <v>123</v>
      </c>
      <c r="O555" t="s">
        <v>25</v>
      </c>
      <c r="P555" t="s">
        <v>41</v>
      </c>
      <c r="Q555" s="10">
        <v>75</v>
      </c>
      <c r="R555" s="10">
        <v>93</v>
      </c>
      <c r="S555" s="10">
        <v>86</v>
      </c>
      <c r="T555" s="10">
        <v>8</v>
      </c>
      <c r="U555" s="10">
        <v>0</v>
      </c>
      <c r="V555" s="10">
        <v>14</v>
      </c>
      <c r="W555" s="10">
        <v>3</v>
      </c>
    </row>
    <row r="556" spans="1:23" ht="45.75">
      <c r="A556" s="2" t="s">
        <v>968</v>
      </c>
      <c r="B556" s="2" t="s">
        <v>969</v>
      </c>
      <c r="C556">
        <v>3</v>
      </c>
      <c r="D556" s="5">
        <v>44274</v>
      </c>
      <c r="E556">
        <v>14140</v>
      </c>
      <c r="F556">
        <v>0</v>
      </c>
      <c r="G556">
        <v>1445941661</v>
      </c>
      <c r="H556" t="str">
        <f t="shared" si="8"/>
        <v>yes</v>
      </c>
      <c r="I556">
        <v>231</v>
      </c>
      <c r="J556">
        <v>52</v>
      </c>
      <c r="K556">
        <v>612</v>
      </c>
      <c r="L556">
        <v>6</v>
      </c>
      <c r="N556">
        <v>90</v>
      </c>
      <c r="P556" t="s">
        <v>26</v>
      </c>
      <c r="Q556" s="10">
        <v>63</v>
      </c>
      <c r="R556" s="10">
        <v>49</v>
      </c>
      <c r="S556" s="10">
        <v>68</v>
      </c>
      <c r="T556" s="10">
        <v>38</v>
      </c>
      <c r="U556" s="10">
        <v>0</v>
      </c>
      <c r="V556" s="10">
        <v>42</v>
      </c>
      <c r="W556" s="10">
        <v>18</v>
      </c>
    </row>
    <row r="557" spans="1:23">
      <c r="A557" s="2" t="s">
        <v>970</v>
      </c>
      <c r="B557" s="2" t="s">
        <v>971</v>
      </c>
      <c r="C557">
        <v>2</v>
      </c>
      <c r="D557" s="5">
        <v>44134</v>
      </c>
      <c r="E557">
        <v>11215</v>
      </c>
      <c r="F557">
        <v>21</v>
      </c>
      <c r="G557">
        <v>1763363713</v>
      </c>
      <c r="H557" t="str">
        <f t="shared" si="8"/>
        <v>yes</v>
      </c>
      <c r="I557">
        <v>189</v>
      </c>
      <c r="J557">
        <v>166</v>
      </c>
      <c r="K557">
        <v>525</v>
      </c>
      <c r="L557">
        <v>9</v>
      </c>
      <c r="M557">
        <v>25</v>
      </c>
      <c r="N557">
        <v>110</v>
      </c>
      <c r="O557" t="s">
        <v>98</v>
      </c>
      <c r="P557" t="s">
        <v>41</v>
      </c>
      <c r="Q557" s="10">
        <v>73</v>
      </c>
      <c r="R557" s="10">
        <v>14</v>
      </c>
      <c r="S557" s="10">
        <v>57</v>
      </c>
      <c r="T557" s="10">
        <v>40</v>
      </c>
      <c r="U557" s="10">
        <v>0</v>
      </c>
      <c r="V557" s="10">
        <v>11</v>
      </c>
      <c r="W557" s="10">
        <v>5</v>
      </c>
    </row>
    <row r="558" spans="1:23" ht="60.75">
      <c r="A558" s="2" t="s">
        <v>972</v>
      </c>
      <c r="B558" s="2" t="s">
        <v>973</v>
      </c>
      <c r="C558">
        <v>2</v>
      </c>
      <c r="D558" s="5">
        <v>44559</v>
      </c>
      <c r="E558">
        <v>1678</v>
      </c>
      <c r="F558">
        <v>12</v>
      </c>
      <c r="G558">
        <v>374191487</v>
      </c>
      <c r="H558" t="str">
        <f t="shared" si="8"/>
        <v>yes</v>
      </c>
      <c r="I558">
        <v>20</v>
      </c>
      <c r="J558">
        <v>4</v>
      </c>
      <c r="K558">
        <v>15</v>
      </c>
      <c r="L558">
        <v>1</v>
      </c>
      <c r="M558">
        <v>3</v>
      </c>
      <c r="N558">
        <v>96</v>
      </c>
      <c r="O558" t="s">
        <v>29</v>
      </c>
      <c r="P558" t="s">
        <v>41</v>
      </c>
      <c r="Q558" s="10">
        <v>66</v>
      </c>
      <c r="R558" s="10">
        <v>76</v>
      </c>
      <c r="S558" s="10">
        <v>82</v>
      </c>
      <c r="T558" s="10">
        <v>47</v>
      </c>
      <c r="U558" s="10">
        <v>0</v>
      </c>
      <c r="V558" s="10">
        <v>10</v>
      </c>
      <c r="W558" s="10">
        <v>32</v>
      </c>
    </row>
    <row r="559" spans="1:23" ht="30.75">
      <c r="A559" s="2" t="s">
        <v>974</v>
      </c>
      <c r="B559" s="2" t="s">
        <v>975</v>
      </c>
      <c r="C559">
        <v>1</v>
      </c>
      <c r="D559" s="5">
        <v>44570</v>
      </c>
      <c r="E559">
        <v>2035</v>
      </c>
      <c r="F559">
        <v>0</v>
      </c>
      <c r="G559">
        <v>108809090</v>
      </c>
      <c r="H559" t="str">
        <f t="shared" si="8"/>
        <v>no</v>
      </c>
      <c r="I559">
        <v>41</v>
      </c>
      <c r="J559">
        <v>122</v>
      </c>
      <c r="K559">
        <v>394</v>
      </c>
      <c r="L559">
        <v>0</v>
      </c>
      <c r="M559">
        <v>2</v>
      </c>
      <c r="N559">
        <v>88</v>
      </c>
      <c r="O559" t="s">
        <v>51</v>
      </c>
      <c r="P559" t="s">
        <v>41</v>
      </c>
      <c r="Q559" s="10">
        <v>56</v>
      </c>
      <c r="R559" s="10">
        <v>58</v>
      </c>
      <c r="S559" s="10">
        <v>55</v>
      </c>
      <c r="T559" s="10">
        <v>35</v>
      </c>
      <c r="U559" s="10">
        <v>0</v>
      </c>
      <c r="V559" s="10">
        <v>23</v>
      </c>
      <c r="W559" s="10">
        <v>11</v>
      </c>
    </row>
    <row r="560" spans="1:23" ht="30.75">
      <c r="A560" s="2" t="s">
        <v>976</v>
      </c>
      <c r="B560" s="2" t="s">
        <v>977</v>
      </c>
      <c r="C560">
        <v>3</v>
      </c>
      <c r="D560" s="5">
        <v>44447</v>
      </c>
      <c r="E560">
        <v>2780</v>
      </c>
      <c r="F560">
        <v>2</v>
      </c>
      <c r="G560">
        <v>436695353</v>
      </c>
      <c r="H560" t="str">
        <f t="shared" si="8"/>
        <v>yes</v>
      </c>
      <c r="I560">
        <v>86</v>
      </c>
      <c r="J560">
        <v>76</v>
      </c>
      <c r="K560">
        <v>59</v>
      </c>
      <c r="L560">
        <v>0</v>
      </c>
      <c r="M560">
        <v>16</v>
      </c>
      <c r="N560">
        <v>98</v>
      </c>
      <c r="O560" t="s">
        <v>37</v>
      </c>
      <c r="P560" t="s">
        <v>41</v>
      </c>
      <c r="Q560" s="10">
        <v>73</v>
      </c>
      <c r="R560" s="10">
        <v>60</v>
      </c>
      <c r="S560" s="10">
        <v>85</v>
      </c>
      <c r="T560" s="10">
        <v>17</v>
      </c>
      <c r="U560" s="10">
        <v>0</v>
      </c>
      <c r="V560" s="10">
        <v>24</v>
      </c>
      <c r="W560" s="10">
        <v>5</v>
      </c>
    </row>
    <row r="561" spans="1:23" ht="60.75">
      <c r="A561" s="2" t="s">
        <v>978</v>
      </c>
      <c r="B561" s="2" t="s">
        <v>979</v>
      </c>
      <c r="C561">
        <v>3</v>
      </c>
      <c r="D561" s="5">
        <v>44463</v>
      </c>
      <c r="E561">
        <v>4091</v>
      </c>
      <c r="F561">
        <v>0</v>
      </c>
      <c r="G561">
        <v>421040617</v>
      </c>
      <c r="H561" t="str">
        <f t="shared" si="8"/>
        <v>yes</v>
      </c>
      <c r="I561">
        <v>105</v>
      </c>
      <c r="J561">
        <v>2</v>
      </c>
      <c r="K561">
        <v>73</v>
      </c>
      <c r="L561">
        <v>13</v>
      </c>
      <c r="M561">
        <v>1</v>
      </c>
      <c r="N561">
        <v>110</v>
      </c>
      <c r="P561" t="s">
        <v>41</v>
      </c>
      <c r="Q561" s="10">
        <v>72</v>
      </c>
      <c r="R561" s="10">
        <v>67</v>
      </c>
      <c r="S561" s="10">
        <v>68</v>
      </c>
      <c r="T561" s="10">
        <v>0</v>
      </c>
      <c r="U561" s="10">
        <v>0</v>
      </c>
      <c r="V561" s="10">
        <v>14</v>
      </c>
      <c r="W561" s="10">
        <v>4</v>
      </c>
    </row>
    <row r="562" spans="1:23" ht="30.75">
      <c r="A562" s="2" t="s">
        <v>980</v>
      </c>
      <c r="B562" s="2" t="s">
        <v>981</v>
      </c>
      <c r="C562">
        <v>1</v>
      </c>
      <c r="D562" s="5">
        <v>44029</v>
      </c>
      <c r="E562">
        <v>2868</v>
      </c>
      <c r="F562">
        <v>0</v>
      </c>
      <c r="G562">
        <v>501541661</v>
      </c>
      <c r="H562" t="str">
        <f t="shared" si="8"/>
        <v>yes</v>
      </c>
      <c r="I562">
        <v>43</v>
      </c>
      <c r="J562">
        <v>15</v>
      </c>
      <c r="K562">
        <v>116</v>
      </c>
      <c r="L562">
        <v>0</v>
      </c>
      <c r="N562">
        <v>80</v>
      </c>
      <c r="P562" t="s">
        <v>26</v>
      </c>
      <c r="Q562" s="10">
        <v>70</v>
      </c>
      <c r="R562" s="10">
        <v>57</v>
      </c>
      <c r="S562" s="10">
        <v>49</v>
      </c>
      <c r="T562" s="10">
        <v>19</v>
      </c>
      <c r="U562" s="10">
        <v>0</v>
      </c>
      <c r="V562" s="10">
        <v>12</v>
      </c>
      <c r="W562" s="10">
        <v>8</v>
      </c>
    </row>
    <row r="563" spans="1:23" ht="60.75">
      <c r="A563" s="2" t="s">
        <v>982</v>
      </c>
      <c r="B563" s="2" t="s">
        <v>983</v>
      </c>
      <c r="C563">
        <v>3</v>
      </c>
      <c r="D563" s="5">
        <v>44455</v>
      </c>
      <c r="E563">
        <v>3643</v>
      </c>
      <c r="F563">
        <v>0</v>
      </c>
      <c r="G563">
        <v>354065229</v>
      </c>
      <c r="H563" t="str">
        <f t="shared" si="8"/>
        <v>yes</v>
      </c>
      <c r="I563">
        <v>69</v>
      </c>
      <c r="J563">
        <v>3</v>
      </c>
      <c r="K563">
        <v>70</v>
      </c>
      <c r="L563">
        <v>0</v>
      </c>
      <c r="M563">
        <v>3</v>
      </c>
      <c r="N563">
        <v>110</v>
      </c>
      <c r="O563" t="s">
        <v>29</v>
      </c>
      <c r="P563" t="s">
        <v>41</v>
      </c>
      <c r="Q563" s="10">
        <v>86</v>
      </c>
      <c r="R563" s="10">
        <v>31</v>
      </c>
      <c r="S563" s="10">
        <v>53</v>
      </c>
      <c r="T563" s="10">
        <v>43</v>
      </c>
      <c r="U563" s="10">
        <v>0</v>
      </c>
      <c r="V563" s="10">
        <v>11</v>
      </c>
      <c r="W563" s="10">
        <v>6</v>
      </c>
    </row>
    <row r="564" spans="1:23" ht="45.75">
      <c r="A564" s="2" t="s">
        <v>984</v>
      </c>
      <c r="B564" s="2" t="s">
        <v>985</v>
      </c>
      <c r="C564">
        <v>1</v>
      </c>
      <c r="D564" s="5">
        <v>44337</v>
      </c>
      <c r="E564">
        <v>4779</v>
      </c>
      <c r="F564">
        <v>6</v>
      </c>
      <c r="G564">
        <v>1143647827</v>
      </c>
      <c r="H564" t="str">
        <f t="shared" si="8"/>
        <v>yes</v>
      </c>
      <c r="I564">
        <v>180</v>
      </c>
      <c r="J564">
        <v>135</v>
      </c>
      <c r="K564">
        <v>223</v>
      </c>
      <c r="L564">
        <v>0</v>
      </c>
      <c r="M564">
        <v>5</v>
      </c>
      <c r="N564">
        <v>110</v>
      </c>
      <c r="O564" t="s">
        <v>63</v>
      </c>
      <c r="P564" t="s">
        <v>26</v>
      </c>
      <c r="Q564" s="10">
        <v>79</v>
      </c>
      <c r="R564" s="10">
        <v>70</v>
      </c>
      <c r="S564" s="10">
        <v>36</v>
      </c>
      <c r="T564" s="10">
        <v>0</v>
      </c>
      <c r="U564" s="10">
        <v>0</v>
      </c>
      <c r="V564" s="10">
        <v>6</v>
      </c>
      <c r="W564" s="10">
        <v>11</v>
      </c>
    </row>
    <row r="565" spans="1:23" ht="45.75">
      <c r="A565" s="2" t="s">
        <v>986</v>
      </c>
      <c r="B565" s="2" t="s">
        <v>987</v>
      </c>
      <c r="C565">
        <v>3</v>
      </c>
      <c r="D565" s="5">
        <v>44568</v>
      </c>
      <c r="E565">
        <v>3517</v>
      </c>
      <c r="F565">
        <v>0</v>
      </c>
      <c r="G565">
        <v>311395144</v>
      </c>
      <c r="H565" t="str">
        <f t="shared" si="8"/>
        <v>yes</v>
      </c>
      <c r="I565">
        <v>54</v>
      </c>
      <c r="J565">
        <v>28</v>
      </c>
      <c r="K565">
        <v>43</v>
      </c>
      <c r="L565">
        <v>0</v>
      </c>
      <c r="M565">
        <v>0</v>
      </c>
      <c r="N565">
        <v>78</v>
      </c>
      <c r="O565" t="s">
        <v>29</v>
      </c>
      <c r="P565" t="s">
        <v>41</v>
      </c>
      <c r="Q565" s="10">
        <v>77</v>
      </c>
      <c r="R565" s="10">
        <v>49</v>
      </c>
      <c r="S565" s="10">
        <v>42</v>
      </c>
      <c r="T565" s="10">
        <v>1</v>
      </c>
      <c r="U565" s="10">
        <v>1</v>
      </c>
      <c r="V565" s="10">
        <v>13</v>
      </c>
      <c r="W565" s="10">
        <v>19</v>
      </c>
    </row>
    <row r="566" spans="1:23">
      <c r="A566" s="2" t="s">
        <v>988</v>
      </c>
      <c r="B566" s="2" t="s">
        <v>989</v>
      </c>
      <c r="C566">
        <v>2</v>
      </c>
      <c r="D566" s="5">
        <v>44371</v>
      </c>
      <c r="E566">
        <v>5073</v>
      </c>
      <c r="F566">
        <v>0</v>
      </c>
      <c r="G566">
        <v>672656250</v>
      </c>
      <c r="H566" t="str">
        <f t="shared" si="8"/>
        <v>yes</v>
      </c>
      <c r="I566">
        <v>83</v>
      </c>
      <c r="J566">
        <v>9</v>
      </c>
      <c r="K566">
        <v>100</v>
      </c>
      <c r="L566">
        <v>0</v>
      </c>
      <c r="M566">
        <v>4</v>
      </c>
      <c r="N566">
        <v>129</v>
      </c>
      <c r="O566" t="s">
        <v>63</v>
      </c>
      <c r="P566" t="s">
        <v>26</v>
      </c>
      <c r="Q566" s="10">
        <v>83</v>
      </c>
      <c r="R566" s="10">
        <v>44</v>
      </c>
      <c r="S566" s="10">
        <v>62</v>
      </c>
      <c r="T566" s="10">
        <v>2</v>
      </c>
      <c r="U566" s="10">
        <v>0</v>
      </c>
      <c r="V566" s="10">
        <v>8</v>
      </c>
      <c r="W566" s="10">
        <v>6</v>
      </c>
    </row>
    <row r="567" spans="1:23">
      <c r="A567" s="2" t="s">
        <v>990</v>
      </c>
      <c r="B567" s="2" t="s">
        <v>991</v>
      </c>
      <c r="C567">
        <v>1</v>
      </c>
      <c r="D567" s="5">
        <v>44287</v>
      </c>
      <c r="E567">
        <v>7545</v>
      </c>
      <c r="F567">
        <v>4</v>
      </c>
      <c r="G567">
        <v>1256880657</v>
      </c>
      <c r="H567" t="str">
        <f t="shared" si="8"/>
        <v>yes</v>
      </c>
      <c r="I567">
        <v>117</v>
      </c>
      <c r="J567">
        <v>39</v>
      </c>
      <c r="K567">
        <v>141</v>
      </c>
      <c r="L567">
        <v>0</v>
      </c>
      <c r="M567">
        <v>46</v>
      </c>
      <c r="N567">
        <v>181</v>
      </c>
      <c r="O567" t="s">
        <v>37</v>
      </c>
      <c r="P567" t="s">
        <v>26</v>
      </c>
      <c r="Q567" s="10">
        <v>44</v>
      </c>
      <c r="R567" s="10">
        <v>22</v>
      </c>
      <c r="S567" s="10">
        <v>60</v>
      </c>
      <c r="T567" s="10">
        <v>61</v>
      </c>
      <c r="U567" s="10">
        <v>0</v>
      </c>
      <c r="V567" s="10">
        <v>42</v>
      </c>
      <c r="W567" s="10">
        <v>9</v>
      </c>
    </row>
    <row r="568" spans="1:23" ht="45.75">
      <c r="A568" s="2" t="s">
        <v>992</v>
      </c>
      <c r="B568" s="2" t="s">
        <v>993</v>
      </c>
      <c r="C568">
        <v>1</v>
      </c>
      <c r="D568" s="5">
        <v>44064</v>
      </c>
      <c r="E568">
        <v>8528</v>
      </c>
      <c r="F568">
        <v>5</v>
      </c>
      <c r="G568">
        <v>1692897992</v>
      </c>
      <c r="H568" t="str">
        <f t="shared" si="8"/>
        <v>yes</v>
      </c>
      <c r="I568">
        <v>239</v>
      </c>
      <c r="J568">
        <v>163</v>
      </c>
      <c r="K568">
        <v>583</v>
      </c>
      <c r="L568">
        <v>0</v>
      </c>
      <c r="N568">
        <v>114</v>
      </c>
      <c r="O568" t="s">
        <v>53</v>
      </c>
      <c r="P568" t="s">
        <v>41</v>
      </c>
      <c r="Q568" s="10">
        <v>75</v>
      </c>
      <c r="R568" s="10">
        <v>74</v>
      </c>
      <c r="S568" s="10">
        <v>77</v>
      </c>
      <c r="T568" s="10">
        <v>1</v>
      </c>
      <c r="U568" s="10">
        <v>0</v>
      </c>
      <c r="V568" s="10">
        <v>9</v>
      </c>
      <c r="W568" s="10">
        <v>10</v>
      </c>
    </row>
    <row r="569" spans="1:23">
      <c r="A569" s="2" t="s">
        <v>994</v>
      </c>
      <c r="B569" s="2" t="s">
        <v>995</v>
      </c>
      <c r="C569">
        <v>1</v>
      </c>
      <c r="D569" s="5">
        <v>44505</v>
      </c>
      <c r="E569">
        <v>2979</v>
      </c>
      <c r="F569">
        <v>0</v>
      </c>
      <c r="G569">
        <v>245095641</v>
      </c>
      <c r="H569" t="str">
        <f t="shared" si="8"/>
        <v>yes</v>
      </c>
      <c r="I569">
        <v>44</v>
      </c>
      <c r="J569">
        <v>0</v>
      </c>
      <c r="K569">
        <v>159</v>
      </c>
      <c r="L569">
        <v>0</v>
      </c>
      <c r="M569">
        <v>0</v>
      </c>
      <c r="N569">
        <v>144</v>
      </c>
      <c r="O569" t="s">
        <v>51</v>
      </c>
      <c r="P569" t="s">
        <v>26</v>
      </c>
      <c r="Q569" s="10">
        <v>74</v>
      </c>
      <c r="R569" s="10">
        <v>39</v>
      </c>
      <c r="S569" s="10">
        <v>65</v>
      </c>
      <c r="T569" s="10">
        <v>5</v>
      </c>
      <c r="U569" s="10">
        <v>1</v>
      </c>
      <c r="V569" s="10">
        <v>11</v>
      </c>
      <c r="W569" s="10">
        <v>35</v>
      </c>
    </row>
    <row r="570" spans="1:23" ht="30.75">
      <c r="A570" s="2" t="s">
        <v>996</v>
      </c>
      <c r="B570" s="2" t="s">
        <v>997</v>
      </c>
      <c r="C570">
        <v>2</v>
      </c>
      <c r="D570" s="5">
        <v>43476</v>
      </c>
      <c r="E570">
        <v>7731</v>
      </c>
      <c r="F570">
        <v>2</v>
      </c>
      <c r="G570">
        <v>686734357</v>
      </c>
      <c r="H570" t="str">
        <f t="shared" si="8"/>
        <v>yes</v>
      </c>
      <c r="I570">
        <v>110</v>
      </c>
      <c r="J570">
        <v>145</v>
      </c>
      <c r="K570">
        <v>447</v>
      </c>
      <c r="L570">
        <v>0</v>
      </c>
      <c r="M570">
        <v>46</v>
      </c>
      <c r="N570">
        <v>101</v>
      </c>
      <c r="O570" t="s">
        <v>51</v>
      </c>
      <c r="P570" t="s">
        <v>26</v>
      </c>
      <c r="Q570" s="10">
        <v>66</v>
      </c>
      <c r="R570" s="10">
        <v>18</v>
      </c>
      <c r="S570" s="10">
        <v>68</v>
      </c>
      <c r="T570" s="10">
        <v>9</v>
      </c>
      <c r="U570" s="10">
        <v>0</v>
      </c>
      <c r="V570" s="10">
        <v>12</v>
      </c>
      <c r="W570" s="10">
        <v>4</v>
      </c>
    </row>
    <row r="571" spans="1:23" ht="30.75">
      <c r="A571" s="2" t="s">
        <v>998</v>
      </c>
      <c r="B571" s="2" t="s">
        <v>999</v>
      </c>
      <c r="C571">
        <v>2</v>
      </c>
      <c r="D571" s="5">
        <v>44490</v>
      </c>
      <c r="E571">
        <v>1057</v>
      </c>
      <c r="F571">
        <v>0</v>
      </c>
      <c r="G571">
        <v>261414174</v>
      </c>
      <c r="H571" t="str">
        <f t="shared" si="8"/>
        <v>yes</v>
      </c>
      <c r="I571">
        <v>17</v>
      </c>
      <c r="J571">
        <v>5</v>
      </c>
      <c r="K571">
        <v>21</v>
      </c>
      <c r="L571">
        <v>0</v>
      </c>
      <c r="M571">
        <v>0</v>
      </c>
      <c r="N571">
        <v>84</v>
      </c>
      <c r="O571" t="s">
        <v>51</v>
      </c>
      <c r="P571" t="s">
        <v>26</v>
      </c>
      <c r="Q571" s="10">
        <v>67</v>
      </c>
      <c r="R571" s="10">
        <v>78</v>
      </c>
      <c r="S571" s="10">
        <v>63</v>
      </c>
      <c r="T571" s="10">
        <v>29</v>
      </c>
      <c r="U571" s="10">
        <v>0</v>
      </c>
      <c r="V571" s="10">
        <v>12</v>
      </c>
      <c r="W571" s="10">
        <v>5</v>
      </c>
    </row>
    <row r="572" spans="1:23" ht="30.75">
      <c r="A572" s="2" t="s">
        <v>998</v>
      </c>
      <c r="B572" s="2" t="s">
        <v>1000</v>
      </c>
      <c r="C572">
        <v>3</v>
      </c>
      <c r="D572" s="5">
        <v>44385</v>
      </c>
      <c r="E572">
        <v>3272</v>
      </c>
      <c r="F572">
        <v>19</v>
      </c>
      <c r="G572">
        <v>610045621</v>
      </c>
      <c r="H572" t="str">
        <f t="shared" si="8"/>
        <v>yes</v>
      </c>
      <c r="I572">
        <v>101</v>
      </c>
      <c r="J572">
        <v>34</v>
      </c>
      <c r="K572">
        <v>70</v>
      </c>
      <c r="L572">
        <v>1</v>
      </c>
      <c r="M572">
        <v>2</v>
      </c>
      <c r="N572">
        <v>154</v>
      </c>
      <c r="O572" t="s">
        <v>53</v>
      </c>
      <c r="P572" t="s">
        <v>26</v>
      </c>
      <c r="Q572" s="10">
        <v>66</v>
      </c>
      <c r="R572" s="10">
        <v>63</v>
      </c>
      <c r="S572" s="10">
        <v>69</v>
      </c>
      <c r="T572" s="10">
        <v>21</v>
      </c>
      <c r="U572" s="10">
        <v>0</v>
      </c>
      <c r="V572" s="10">
        <v>11</v>
      </c>
      <c r="W572" s="10">
        <v>7</v>
      </c>
    </row>
    <row r="573" spans="1:23" ht="30.75">
      <c r="A573" s="2" t="s">
        <v>998</v>
      </c>
      <c r="B573" s="2" t="s">
        <v>1001</v>
      </c>
      <c r="C573">
        <v>3</v>
      </c>
      <c r="D573" s="5">
        <v>44260</v>
      </c>
      <c r="E573">
        <v>14417</v>
      </c>
      <c r="F573">
        <v>0</v>
      </c>
      <c r="G573">
        <v>1115880852</v>
      </c>
      <c r="H573" t="str">
        <f t="shared" si="8"/>
        <v>yes</v>
      </c>
      <c r="I573">
        <v>237</v>
      </c>
      <c r="J573">
        <v>123</v>
      </c>
      <c r="K573">
        <v>569</v>
      </c>
      <c r="L573">
        <v>0</v>
      </c>
      <c r="M573">
        <v>10</v>
      </c>
      <c r="N573">
        <v>148</v>
      </c>
      <c r="O573" t="s">
        <v>32</v>
      </c>
      <c r="P573" t="s">
        <v>26</v>
      </c>
      <c r="Q573" s="10">
        <v>59</v>
      </c>
      <c r="R573" s="10">
        <v>72</v>
      </c>
      <c r="S573" s="10">
        <v>62</v>
      </c>
      <c r="T573" s="10">
        <v>18</v>
      </c>
      <c r="U573" s="10">
        <v>0</v>
      </c>
      <c r="V573" s="10">
        <v>9</v>
      </c>
      <c r="W573" s="10">
        <v>3</v>
      </c>
    </row>
    <row r="574" spans="1:23" ht="60.75">
      <c r="A574" s="2" t="s">
        <v>998</v>
      </c>
      <c r="B574" s="2" t="s">
        <v>1002</v>
      </c>
      <c r="C574">
        <v>3</v>
      </c>
      <c r="D574" s="5">
        <v>44442</v>
      </c>
      <c r="E574">
        <v>5199</v>
      </c>
      <c r="F574">
        <v>0</v>
      </c>
      <c r="G574">
        <v>594482982</v>
      </c>
      <c r="H574" t="str">
        <f t="shared" si="8"/>
        <v>yes</v>
      </c>
      <c r="I574">
        <v>45</v>
      </c>
      <c r="J574">
        <v>43</v>
      </c>
      <c r="K574">
        <v>45</v>
      </c>
      <c r="L574">
        <v>0</v>
      </c>
      <c r="M574">
        <v>3</v>
      </c>
      <c r="N574">
        <v>146</v>
      </c>
      <c r="O574" t="s">
        <v>32</v>
      </c>
      <c r="P574" t="s">
        <v>41</v>
      </c>
      <c r="Q574" s="10">
        <v>85</v>
      </c>
      <c r="R574" s="10">
        <v>22</v>
      </c>
      <c r="S574" s="10">
        <v>37</v>
      </c>
      <c r="T574" s="10">
        <v>13</v>
      </c>
      <c r="U574" s="10">
        <v>0</v>
      </c>
      <c r="V574" s="10">
        <v>7</v>
      </c>
      <c r="W574" s="10">
        <v>30</v>
      </c>
    </row>
    <row r="575" spans="1:23">
      <c r="A575" s="2" t="s">
        <v>1003</v>
      </c>
      <c r="B575" s="2" t="s">
        <v>1004</v>
      </c>
      <c r="C575">
        <v>2</v>
      </c>
      <c r="D575" s="5">
        <v>44409</v>
      </c>
      <c r="E575">
        <v>6026</v>
      </c>
      <c r="F575">
        <v>0</v>
      </c>
      <c r="G575">
        <v>566954746</v>
      </c>
      <c r="H575" t="str">
        <f t="shared" si="8"/>
        <v>yes</v>
      </c>
      <c r="I575">
        <v>171</v>
      </c>
      <c r="J575">
        <v>51</v>
      </c>
      <c r="K575">
        <v>187</v>
      </c>
      <c r="L575">
        <v>1</v>
      </c>
      <c r="M575">
        <v>21</v>
      </c>
      <c r="N575">
        <v>120</v>
      </c>
      <c r="O575" t="s">
        <v>25</v>
      </c>
      <c r="P575" t="s">
        <v>41</v>
      </c>
      <c r="Q575" s="10">
        <v>77</v>
      </c>
      <c r="R575" s="10">
        <v>51</v>
      </c>
      <c r="S575" s="10">
        <v>79</v>
      </c>
      <c r="T575" s="10">
        <v>20</v>
      </c>
      <c r="U575" s="10">
        <v>0</v>
      </c>
      <c r="V575" s="10">
        <v>26</v>
      </c>
      <c r="W575" s="10">
        <v>6</v>
      </c>
    </row>
    <row r="576" spans="1:23" ht="60.75">
      <c r="A576" s="2" t="s">
        <v>1003</v>
      </c>
      <c r="B576" s="2" t="s">
        <v>1005</v>
      </c>
      <c r="C576">
        <v>1</v>
      </c>
      <c r="D576" s="5">
        <v>25569</v>
      </c>
      <c r="E576">
        <v>2877</v>
      </c>
      <c r="F576">
        <v>0</v>
      </c>
      <c r="G576" t="s">
        <v>1006</v>
      </c>
      <c r="H576" t="str">
        <f t="shared" si="8"/>
        <v>yes</v>
      </c>
      <c r="I576">
        <v>16</v>
      </c>
      <c r="J576">
        <v>0</v>
      </c>
      <c r="K576">
        <v>54</v>
      </c>
      <c r="L576">
        <v>0</v>
      </c>
      <c r="M576">
        <v>0</v>
      </c>
      <c r="N576">
        <v>110</v>
      </c>
      <c r="O576" t="s">
        <v>37</v>
      </c>
      <c r="P576" t="s">
        <v>26</v>
      </c>
      <c r="Q576" s="10">
        <v>53</v>
      </c>
      <c r="R576" s="10">
        <v>75</v>
      </c>
      <c r="S576" s="10">
        <v>69</v>
      </c>
      <c r="T576" s="10">
        <v>7</v>
      </c>
      <c r="U576" s="10">
        <v>0</v>
      </c>
      <c r="V576" s="10">
        <v>17</v>
      </c>
      <c r="W576" s="10">
        <v>3</v>
      </c>
    </row>
    <row r="577" spans="1:23" ht="30.75">
      <c r="A577" s="2" t="s">
        <v>1007</v>
      </c>
      <c r="B577" s="2" t="s">
        <v>1008</v>
      </c>
      <c r="C577">
        <v>2</v>
      </c>
      <c r="D577" s="5">
        <v>44511</v>
      </c>
      <c r="E577">
        <v>4640</v>
      </c>
      <c r="F577">
        <v>3</v>
      </c>
      <c r="G577">
        <v>374706940</v>
      </c>
      <c r="H577" t="str">
        <f t="shared" si="8"/>
        <v>yes</v>
      </c>
      <c r="I577">
        <v>81</v>
      </c>
      <c r="J577">
        <v>93</v>
      </c>
      <c r="K577">
        <v>507</v>
      </c>
      <c r="L577">
        <v>6</v>
      </c>
      <c r="M577">
        <v>4</v>
      </c>
      <c r="N577">
        <v>136</v>
      </c>
      <c r="P577" t="s">
        <v>41</v>
      </c>
      <c r="Q577" s="10">
        <v>77</v>
      </c>
      <c r="R577" s="10">
        <v>82</v>
      </c>
      <c r="S577" s="10">
        <v>30</v>
      </c>
      <c r="T577" s="10">
        <v>95</v>
      </c>
      <c r="U577" s="10">
        <v>0</v>
      </c>
      <c r="V577" s="10">
        <v>13</v>
      </c>
      <c r="W577" s="10">
        <v>5</v>
      </c>
    </row>
    <row r="578" spans="1:23" ht="30.75">
      <c r="A578" s="2" t="s">
        <v>1009</v>
      </c>
      <c r="B578" s="2" t="s">
        <v>1010</v>
      </c>
      <c r="C578">
        <v>3</v>
      </c>
      <c r="D578" s="5">
        <v>44519</v>
      </c>
      <c r="E578">
        <v>1150</v>
      </c>
      <c r="F578">
        <v>0</v>
      </c>
      <c r="G578">
        <v>184937148</v>
      </c>
      <c r="H578" t="str">
        <f t="shared" ref="H578:H641" si="9">IF(G578&gt;$Z$2,$Z$4,$Z$5)</f>
        <v>no</v>
      </c>
      <c r="I578">
        <v>20</v>
      </c>
      <c r="J578">
        <v>38</v>
      </c>
      <c r="K578">
        <v>12</v>
      </c>
      <c r="L578">
        <v>0</v>
      </c>
      <c r="M578">
        <v>0</v>
      </c>
      <c r="N578">
        <v>141</v>
      </c>
      <c r="O578" t="s">
        <v>29</v>
      </c>
      <c r="P578" t="s">
        <v>26</v>
      </c>
      <c r="Q578" s="10">
        <v>59</v>
      </c>
      <c r="R578" s="10">
        <v>56</v>
      </c>
      <c r="S578" s="10">
        <v>63</v>
      </c>
      <c r="T578" s="10">
        <v>12</v>
      </c>
      <c r="U578" s="10">
        <v>0</v>
      </c>
      <c r="V578" s="10">
        <v>6</v>
      </c>
      <c r="W578" s="10">
        <v>36</v>
      </c>
    </row>
    <row r="579" spans="1:23" ht="30.75">
      <c r="A579" s="2" t="s">
        <v>1011</v>
      </c>
      <c r="B579" s="2" t="s">
        <v>1012</v>
      </c>
      <c r="C579">
        <v>1</v>
      </c>
      <c r="D579" s="5">
        <v>44568</v>
      </c>
      <c r="E579">
        <v>768</v>
      </c>
      <c r="F579">
        <v>0</v>
      </c>
      <c r="G579">
        <v>31959571</v>
      </c>
      <c r="H579" t="str">
        <f t="shared" si="9"/>
        <v>no</v>
      </c>
      <c r="I579">
        <v>1</v>
      </c>
      <c r="J579">
        <v>1</v>
      </c>
      <c r="K579">
        <v>3</v>
      </c>
      <c r="L579">
        <v>0</v>
      </c>
      <c r="M579">
        <v>0</v>
      </c>
      <c r="N579">
        <v>108</v>
      </c>
      <c r="O579" t="s">
        <v>37</v>
      </c>
      <c r="P579" t="s">
        <v>41</v>
      </c>
      <c r="Q579" s="10">
        <v>46</v>
      </c>
      <c r="R579" s="10">
        <v>23</v>
      </c>
      <c r="S579" s="10">
        <v>48</v>
      </c>
      <c r="T579" s="10">
        <v>75</v>
      </c>
      <c r="U579" s="10">
        <v>30</v>
      </c>
      <c r="V579" s="10">
        <v>14</v>
      </c>
      <c r="W579" s="10">
        <v>4</v>
      </c>
    </row>
    <row r="580" spans="1:23">
      <c r="A580" s="2" t="s">
        <v>1011</v>
      </c>
      <c r="B580" s="2" t="s">
        <v>1013</v>
      </c>
      <c r="C580">
        <v>1</v>
      </c>
      <c r="D580" s="5">
        <v>44519</v>
      </c>
      <c r="E580">
        <v>925</v>
      </c>
      <c r="F580">
        <v>0</v>
      </c>
      <c r="G580">
        <v>167076418</v>
      </c>
      <c r="H580" t="str">
        <f t="shared" si="9"/>
        <v>no</v>
      </c>
      <c r="I580">
        <v>24</v>
      </c>
      <c r="J580">
        <v>47</v>
      </c>
      <c r="K580">
        <v>74</v>
      </c>
      <c r="L580">
        <v>0</v>
      </c>
      <c r="M580">
        <v>0</v>
      </c>
      <c r="N580">
        <v>94</v>
      </c>
      <c r="P580" t="s">
        <v>26</v>
      </c>
      <c r="Q580" s="10">
        <v>42</v>
      </c>
      <c r="R580" s="10">
        <v>47</v>
      </c>
      <c r="S580" s="10">
        <v>36</v>
      </c>
      <c r="T580" s="10">
        <v>76</v>
      </c>
      <c r="U580" s="10">
        <v>0</v>
      </c>
      <c r="V580" s="10">
        <v>9</v>
      </c>
      <c r="W580" s="10">
        <v>5</v>
      </c>
    </row>
    <row r="581" spans="1:23">
      <c r="A581" s="2" t="s">
        <v>1014</v>
      </c>
      <c r="B581" s="2" t="s">
        <v>1015</v>
      </c>
      <c r="C581">
        <v>1</v>
      </c>
      <c r="D581" s="5">
        <v>42134</v>
      </c>
      <c r="E581">
        <v>3006</v>
      </c>
      <c r="F581">
        <v>3</v>
      </c>
      <c r="G581">
        <v>824420218</v>
      </c>
      <c r="H581" t="str">
        <f t="shared" si="9"/>
        <v>yes</v>
      </c>
      <c r="I581">
        <v>23</v>
      </c>
      <c r="J581">
        <v>21</v>
      </c>
      <c r="K581">
        <v>121</v>
      </c>
      <c r="L581">
        <v>0</v>
      </c>
      <c r="M581">
        <v>13</v>
      </c>
      <c r="N581">
        <v>180</v>
      </c>
      <c r="O581" t="s">
        <v>37</v>
      </c>
      <c r="P581" t="s">
        <v>26</v>
      </c>
      <c r="Q581" s="10">
        <v>35</v>
      </c>
      <c r="R581" s="10">
        <v>41</v>
      </c>
      <c r="S581" s="10">
        <v>94</v>
      </c>
      <c r="T581" s="10">
        <v>0</v>
      </c>
      <c r="U581" s="10">
        <v>63</v>
      </c>
      <c r="V581" s="10">
        <v>5</v>
      </c>
      <c r="W581" s="10">
        <v>5</v>
      </c>
    </row>
    <row r="582" spans="1:23">
      <c r="A582" s="2" t="s">
        <v>1016</v>
      </c>
      <c r="B582" s="2" t="s">
        <v>1017</v>
      </c>
      <c r="C582">
        <v>1</v>
      </c>
      <c r="D582" s="5">
        <v>44440</v>
      </c>
      <c r="E582">
        <v>3098</v>
      </c>
      <c r="F582">
        <v>0</v>
      </c>
      <c r="G582">
        <v>363467642</v>
      </c>
      <c r="H582" t="str">
        <f t="shared" si="9"/>
        <v>yes</v>
      </c>
      <c r="I582">
        <v>111</v>
      </c>
      <c r="J582">
        <v>5</v>
      </c>
      <c r="K582">
        <v>182</v>
      </c>
      <c r="L582">
        <v>1</v>
      </c>
      <c r="M582">
        <v>0</v>
      </c>
      <c r="N582">
        <v>122</v>
      </c>
      <c r="O582" t="s">
        <v>128</v>
      </c>
      <c r="P582" t="s">
        <v>26</v>
      </c>
      <c r="Q582" s="10">
        <v>77</v>
      </c>
      <c r="R582" s="10">
        <v>51</v>
      </c>
      <c r="S582" s="10">
        <v>79</v>
      </c>
      <c r="T582" s="10">
        <v>5</v>
      </c>
      <c r="U582" s="10">
        <v>0</v>
      </c>
      <c r="V582" s="10">
        <v>16</v>
      </c>
      <c r="W582" s="10">
        <v>5</v>
      </c>
    </row>
    <row r="583" spans="1:23">
      <c r="A583" s="2" t="s">
        <v>1016</v>
      </c>
      <c r="B583" s="2" t="s">
        <v>1018</v>
      </c>
      <c r="C583">
        <v>1</v>
      </c>
      <c r="D583" s="5">
        <v>42307</v>
      </c>
      <c r="E583">
        <v>9771</v>
      </c>
      <c r="F583">
        <v>4</v>
      </c>
      <c r="G583">
        <v>1127468248</v>
      </c>
      <c r="H583" t="str">
        <f t="shared" si="9"/>
        <v>yes</v>
      </c>
      <c r="I583">
        <v>42</v>
      </c>
      <c r="J583">
        <v>70</v>
      </c>
      <c r="K583">
        <v>384</v>
      </c>
      <c r="L583">
        <v>0</v>
      </c>
      <c r="M583">
        <v>3</v>
      </c>
      <c r="N583">
        <v>85</v>
      </c>
      <c r="O583" t="s">
        <v>128</v>
      </c>
      <c r="P583" t="s">
        <v>26</v>
      </c>
      <c r="Q583" s="10">
        <v>59</v>
      </c>
      <c r="R583" s="10">
        <v>33</v>
      </c>
      <c r="S583" s="10">
        <v>52</v>
      </c>
      <c r="T583" s="10">
        <v>7</v>
      </c>
      <c r="U583" s="10">
        <v>15</v>
      </c>
      <c r="V583" s="10">
        <v>12</v>
      </c>
      <c r="W583" s="10">
        <v>3</v>
      </c>
    </row>
    <row r="584" spans="1:23" ht="30.75">
      <c r="A584" s="2" t="s">
        <v>1016</v>
      </c>
      <c r="B584" s="2" t="s">
        <v>1019</v>
      </c>
      <c r="C584">
        <v>2</v>
      </c>
      <c r="D584" s="5">
        <v>44568</v>
      </c>
      <c r="E584">
        <v>807</v>
      </c>
      <c r="F584">
        <v>0</v>
      </c>
      <c r="G584">
        <v>60680939</v>
      </c>
      <c r="H584" t="str">
        <f t="shared" si="9"/>
        <v>no</v>
      </c>
      <c r="I584">
        <v>3</v>
      </c>
      <c r="J584">
        <v>0</v>
      </c>
      <c r="K584">
        <v>5</v>
      </c>
      <c r="L584">
        <v>0</v>
      </c>
      <c r="M584">
        <v>0</v>
      </c>
      <c r="N584">
        <v>148</v>
      </c>
      <c r="O584" t="s">
        <v>29</v>
      </c>
      <c r="P584" t="s">
        <v>26</v>
      </c>
      <c r="Q584" s="10">
        <v>68</v>
      </c>
      <c r="R584" s="10">
        <v>29</v>
      </c>
      <c r="S584" s="10">
        <v>73</v>
      </c>
      <c r="T584" s="10">
        <v>0</v>
      </c>
      <c r="U584" s="10">
        <v>0</v>
      </c>
      <c r="V584" s="10">
        <v>7</v>
      </c>
      <c r="W584" s="10">
        <v>7</v>
      </c>
    </row>
    <row r="585" spans="1:23">
      <c r="A585" s="2" t="s">
        <v>1016</v>
      </c>
      <c r="B585" s="2" t="s">
        <v>1020</v>
      </c>
      <c r="C585">
        <v>1</v>
      </c>
      <c r="D585" s="5">
        <v>44531</v>
      </c>
      <c r="E585">
        <v>521</v>
      </c>
      <c r="F585">
        <v>1</v>
      </c>
      <c r="G585">
        <v>247737946</v>
      </c>
      <c r="H585" t="str">
        <f t="shared" si="9"/>
        <v>yes</v>
      </c>
      <c r="I585">
        <v>17</v>
      </c>
      <c r="J585">
        <v>89</v>
      </c>
      <c r="K585">
        <v>11</v>
      </c>
      <c r="L585">
        <v>0</v>
      </c>
      <c r="M585">
        <v>0</v>
      </c>
      <c r="N585">
        <v>120</v>
      </c>
      <c r="O585" t="s">
        <v>37</v>
      </c>
      <c r="P585" t="s">
        <v>26</v>
      </c>
      <c r="Q585" s="10">
        <v>83</v>
      </c>
      <c r="R585" s="10">
        <v>59</v>
      </c>
      <c r="S585" s="10">
        <v>73</v>
      </c>
      <c r="T585" s="10">
        <v>6</v>
      </c>
      <c r="U585" s="10">
        <v>0</v>
      </c>
      <c r="V585" s="10">
        <v>5</v>
      </c>
      <c r="W585" s="10">
        <v>11</v>
      </c>
    </row>
    <row r="586" spans="1:23" ht="30.75">
      <c r="A586" s="2" t="s">
        <v>1016</v>
      </c>
      <c r="B586" s="2" t="s">
        <v>1021</v>
      </c>
      <c r="C586">
        <v>2</v>
      </c>
      <c r="D586" s="5">
        <v>44036</v>
      </c>
      <c r="E586">
        <v>12854</v>
      </c>
      <c r="F586">
        <v>0</v>
      </c>
      <c r="G586">
        <v>1699402402</v>
      </c>
      <c r="H586" t="str">
        <f t="shared" si="9"/>
        <v>yes</v>
      </c>
      <c r="I586">
        <v>237</v>
      </c>
      <c r="J586">
        <v>27</v>
      </c>
      <c r="K586">
        <v>636</v>
      </c>
      <c r="L586">
        <v>0</v>
      </c>
      <c r="N586">
        <v>91</v>
      </c>
      <c r="O586" t="s">
        <v>72</v>
      </c>
      <c r="P586" t="s">
        <v>41</v>
      </c>
      <c r="Q586" s="10">
        <v>70</v>
      </c>
      <c r="R586" s="10">
        <v>76</v>
      </c>
      <c r="S586" s="10">
        <v>72</v>
      </c>
      <c r="T586" s="10">
        <v>22</v>
      </c>
      <c r="U586" s="10">
        <v>0</v>
      </c>
      <c r="V586" s="10">
        <v>27</v>
      </c>
      <c r="W586" s="10">
        <v>4</v>
      </c>
    </row>
    <row r="587" spans="1:23" ht="30.75">
      <c r="A587" s="2" t="s">
        <v>1016</v>
      </c>
      <c r="B587" s="2" t="s">
        <v>1022</v>
      </c>
      <c r="C587">
        <v>2</v>
      </c>
      <c r="D587" s="5">
        <v>44519</v>
      </c>
      <c r="E587">
        <v>802</v>
      </c>
      <c r="F587">
        <v>0</v>
      </c>
      <c r="G587">
        <v>154797871</v>
      </c>
      <c r="H587" t="str">
        <f t="shared" si="9"/>
        <v>no</v>
      </c>
      <c r="I587">
        <v>13</v>
      </c>
      <c r="J587">
        <v>27</v>
      </c>
      <c r="K587">
        <v>8</v>
      </c>
      <c r="L587">
        <v>0</v>
      </c>
      <c r="M587">
        <v>0</v>
      </c>
      <c r="N587">
        <v>120</v>
      </c>
      <c r="O587" t="s">
        <v>98</v>
      </c>
      <c r="P587" t="s">
        <v>26</v>
      </c>
      <c r="Q587" s="10">
        <v>72</v>
      </c>
      <c r="R587" s="10">
        <v>54</v>
      </c>
      <c r="S587" s="10">
        <v>71</v>
      </c>
      <c r="T587" s="10">
        <v>26</v>
      </c>
      <c r="U587" s="10">
        <v>0</v>
      </c>
      <c r="V587" s="10">
        <v>10</v>
      </c>
      <c r="W587" s="10">
        <v>4</v>
      </c>
    </row>
    <row r="588" spans="1:23">
      <c r="A588" s="2" t="s">
        <v>1016</v>
      </c>
      <c r="B588" s="2" t="s">
        <v>1023</v>
      </c>
      <c r="C588">
        <v>1</v>
      </c>
      <c r="D588" s="5">
        <v>44517</v>
      </c>
      <c r="E588">
        <v>731</v>
      </c>
      <c r="F588">
        <v>0</v>
      </c>
      <c r="G588">
        <v>198883004</v>
      </c>
      <c r="H588" t="str">
        <f t="shared" si="9"/>
        <v>no</v>
      </c>
      <c r="I588">
        <v>14</v>
      </c>
      <c r="J588">
        <v>14</v>
      </c>
      <c r="K588">
        <v>24</v>
      </c>
      <c r="L588">
        <v>0</v>
      </c>
      <c r="M588">
        <v>4</v>
      </c>
      <c r="N588">
        <v>106</v>
      </c>
      <c r="P588" t="s">
        <v>26</v>
      </c>
      <c r="Q588" s="10">
        <v>86</v>
      </c>
      <c r="R588" s="10">
        <v>86</v>
      </c>
      <c r="S588" s="10">
        <v>79</v>
      </c>
      <c r="T588" s="10">
        <v>11</v>
      </c>
      <c r="U588" s="10">
        <v>0</v>
      </c>
      <c r="V588" s="10">
        <v>8</v>
      </c>
      <c r="W588" s="10">
        <v>9</v>
      </c>
    </row>
    <row r="589" spans="1:23" ht="30.75">
      <c r="A589" s="2" t="s">
        <v>1016</v>
      </c>
      <c r="B589" s="2" t="s">
        <v>1024</v>
      </c>
      <c r="C589">
        <v>1</v>
      </c>
      <c r="D589" s="5">
        <v>44568</v>
      </c>
      <c r="E589">
        <v>788</v>
      </c>
      <c r="F589">
        <v>0</v>
      </c>
      <c r="G589">
        <v>124407432</v>
      </c>
      <c r="H589" t="str">
        <f t="shared" si="9"/>
        <v>no</v>
      </c>
      <c r="I589">
        <v>13</v>
      </c>
      <c r="J589">
        <v>0</v>
      </c>
      <c r="K589">
        <v>32</v>
      </c>
      <c r="L589">
        <v>1</v>
      </c>
      <c r="M589">
        <v>0</v>
      </c>
      <c r="N589">
        <v>110</v>
      </c>
      <c r="O589" t="s">
        <v>128</v>
      </c>
      <c r="P589" t="s">
        <v>26</v>
      </c>
      <c r="Q589" s="10">
        <v>63</v>
      </c>
      <c r="R589" s="10">
        <v>31</v>
      </c>
      <c r="S589" s="10">
        <v>35</v>
      </c>
      <c r="T589" s="10">
        <v>93</v>
      </c>
      <c r="U589" s="10">
        <v>0</v>
      </c>
      <c r="V589" s="10">
        <v>29</v>
      </c>
      <c r="W589" s="10">
        <v>3</v>
      </c>
    </row>
    <row r="590" spans="1:23">
      <c r="A590" s="2" t="s">
        <v>1016</v>
      </c>
      <c r="B590" s="2" t="s">
        <v>1025</v>
      </c>
      <c r="C590">
        <v>1</v>
      </c>
      <c r="D590" s="5">
        <v>44337</v>
      </c>
      <c r="E590">
        <v>3069</v>
      </c>
      <c r="F590">
        <v>4</v>
      </c>
      <c r="G590">
        <v>850608354</v>
      </c>
      <c r="H590" t="str">
        <f t="shared" si="9"/>
        <v>yes</v>
      </c>
      <c r="I590">
        <v>25</v>
      </c>
      <c r="J590">
        <v>46</v>
      </c>
      <c r="K590">
        <v>105</v>
      </c>
      <c r="L590">
        <v>0</v>
      </c>
      <c r="M590">
        <v>45</v>
      </c>
      <c r="N590">
        <v>169</v>
      </c>
      <c r="O590" t="s">
        <v>53</v>
      </c>
      <c r="P590" t="s">
        <v>26</v>
      </c>
      <c r="Q590" s="10">
        <v>39</v>
      </c>
      <c r="R590" s="10">
        <v>36</v>
      </c>
      <c r="S590" s="10">
        <v>45</v>
      </c>
      <c r="T590" s="10">
        <v>81</v>
      </c>
      <c r="U590" s="10">
        <v>0</v>
      </c>
      <c r="V590" s="10">
        <v>8</v>
      </c>
      <c r="W590" s="10">
        <v>13</v>
      </c>
    </row>
    <row r="591" spans="1:23">
      <c r="A591" s="2" t="s">
        <v>1016</v>
      </c>
      <c r="B591" s="2" t="s">
        <v>1026</v>
      </c>
      <c r="C591">
        <v>1</v>
      </c>
      <c r="D591" s="5">
        <v>44437</v>
      </c>
      <c r="E591">
        <v>4651</v>
      </c>
      <c r="F591">
        <v>0</v>
      </c>
      <c r="G591">
        <v>376333030</v>
      </c>
      <c r="H591" t="str">
        <f t="shared" si="9"/>
        <v>yes</v>
      </c>
      <c r="I591">
        <v>24</v>
      </c>
      <c r="J591">
        <v>6</v>
      </c>
      <c r="K591">
        <v>105</v>
      </c>
      <c r="L591">
        <v>0</v>
      </c>
      <c r="M591">
        <v>0</v>
      </c>
      <c r="N591">
        <v>118</v>
      </c>
      <c r="O591" t="s">
        <v>29</v>
      </c>
      <c r="P591" t="s">
        <v>26</v>
      </c>
      <c r="Q591" s="10">
        <v>80</v>
      </c>
      <c r="R591" s="10">
        <v>21</v>
      </c>
      <c r="S591" s="10">
        <v>55</v>
      </c>
      <c r="T591" s="10">
        <v>1</v>
      </c>
      <c r="U591" s="10">
        <v>0</v>
      </c>
      <c r="V591" s="10">
        <v>26</v>
      </c>
      <c r="W591" s="10">
        <v>17</v>
      </c>
    </row>
    <row r="592" spans="1:23" ht="30.75">
      <c r="A592" s="2" t="s">
        <v>1016</v>
      </c>
      <c r="B592" s="2" t="s">
        <v>1027</v>
      </c>
      <c r="C592">
        <v>1</v>
      </c>
      <c r="D592" s="5">
        <v>44372</v>
      </c>
      <c r="E592">
        <v>4999</v>
      </c>
      <c r="F592">
        <v>0</v>
      </c>
      <c r="G592">
        <v>516784627</v>
      </c>
      <c r="H592" t="str">
        <f t="shared" si="9"/>
        <v>yes</v>
      </c>
      <c r="I592">
        <v>43</v>
      </c>
      <c r="J592">
        <v>19</v>
      </c>
      <c r="K592">
        <v>73</v>
      </c>
      <c r="L592">
        <v>12</v>
      </c>
      <c r="M592">
        <v>0</v>
      </c>
      <c r="N592">
        <v>92</v>
      </c>
      <c r="O592" t="s">
        <v>63</v>
      </c>
      <c r="P592" t="s">
        <v>41</v>
      </c>
      <c r="Q592" s="10">
        <v>91</v>
      </c>
      <c r="R592" s="10">
        <v>79</v>
      </c>
      <c r="S592" s="10">
        <v>66</v>
      </c>
      <c r="T592" s="10">
        <v>32</v>
      </c>
      <c r="U592" s="10">
        <v>0</v>
      </c>
      <c r="V592" s="10">
        <v>9</v>
      </c>
      <c r="W592" s="10">
        <v>16</v>
      </c>
    </row>
    <row r="593" spans="1:23" ht="30.75">
      <c r="A593" s="2" t="s">
        <v>1028</v>
      </c>
      <c r="B593" s="2" t="s">
        <v>1029</v>
      </c>
      <c r="C593">
        <v>1</v>
      </c>
      <c r="D593" s="5">
        <v>43770</v>
      </c>
      <c r="E593">
        <v>8327</v>
      </c>
      <c r="F593">
        <v>24</v>
      </c>
      <c r="G593">
        <v>1608045237</v>
      </c>
      <c r="H593" t="str">
        <f t="shared" si="9"/>
        <v>yes</v>
      </c>
      <c r="I593">
        <v>205</v>
      </c>
      <c r="J593">
        <v>130</v>
      </c>
      <c r="K593">
        <v>625</v>
      </c>
      <c r="L593">
        <v>0</v>
      </c>
      <c r="M593">
        <v>25</v>
      </c>
      <c r="N593">
        <v>112</v>
      </c>
      <c r="O593" t="s">
        <v>196</v>
      </c>
      <c r="P593" t="s">
        <v>26</v>
      </c>
      <c r="Q593" s="10">
        <v>45</v>
      </c>
      <c r="R593" s="10">
        <v>19</v>
      </c>
      <c r="S593" s="10">
        <v>60</v>
      </c>
      <c r="T593" s="10">
        <v>63</v>
      </c>
      <c r="U593" s="10">
        <v>0</v>
      </c>
      <c r="V593" s="10">
        <v>9</v>
      </c>
      <c r="W593" s="10">
        <v>6</v>
      </c>
    </row>
    <row r="594" spans="1:23">
      <c r="A594" s="2" t="s">
        <v>1030</v>
      </c>
      <c r="B594" s="2" t="s">
        <v>1031</v>
      </c>
      <c r="C594">
        <v>1</v>
      </c>
      <c r="D594" s="5">
        <v>44190</v>
      </c>
      <c r="E594">
        <v>3297</v>
      </c>
      <c r="F594">
        <v>3</v>
      </c>
      <c r="G594">
        <v>506778838</v>
      </c>
      <c r="H594" t="str">
        <f t="shared" si="9"/>
        <v>yes</v>
      </c>
      <c r="I594">
        <v>25</v>
      </c>
      <c r="J594">
        <v>3</v>
      </c>
      <c r="K594">
        <v>52</v>
      </c>
      <c r="L594">
        <v>0</v>
      </c>
      <c r="M594">
        <v>1</v>
      </c>
      <c r="N594">
        <v>140</v>
      </c>
      <c r="O594" t="s">
        <v>51</v>
      </c>
      <c r="P594" t="s">
        <v>26</v>
      </c>
      <c r="Q594" s="10">
        <v>79</v>
      </c>
      <c r="R594" s="10">
        <v>56</v>
      </c>
      <c r="S594" s="10">
        <v>91</v>
      </c>
      <c r="T594" s="10">
        <v>26</v>
      </c>
      <c r="U594" s="10">
        <v>0</v>
      </c>
      <c r="V594" s="10">
        <v>13</v>
      </c>
      <c r="W594" s="10">
        <v>21</v>
      </c>
    </row>
    <row r="595" spans="1:23" ht="30.75">
      <c r="A595" s="2" t="s">
        <v>1032</v>
      </c>
      <c r="B595" s="2" t="s">
        <v>1033</v>
      </c>
      <c r="C595">
        <v>1</v>
      </c>
      <c r="D595" s="5">
        <v>40511</v>
      </c>
      <c r="E595">
        <v>35684</v>
      </c>
      <c r="F595">
        <v>6</v>
      </c>
      <c r="G595">
        <v>1472799873</v>
      </c>
      <c r="H595" t="str">
        <f t="shared" si="9"/>
        <v>yes</v>
      </c>
      <c r="I595">
        <v>195</v>
      </c>
      <c r="J595">
        <v>125</v>
      </c>
      <c r="K595" s="1">
        <v>6280</v>
      </c>
      <c r="L595">
        <v>2</v>
      </c>
      <c r="M595">
        <v>78</v>
      </c>
      <c r="N595">
        <v>105</v>
      </c>
      <c r="O595" t="s">
        <v>63</v>
      </c>
      <c r="P595" t="s">
        <v>26</v>
      </c>
      <c r="Q595" s="10">
        <v>73</v>
      </c>
      <c r="R595" s="10">
        <v>52</v>
      </c>
      <c r="S595" s="10">
        <v>76</v>
      </c>
      <c r="T595" s="10">
        <v>13</v>
      </c>
      <c r="U595" s="10">
        <v>0</v>
      </c>
      <c r="V595" s="10">
        <v>5</v>
      </c>
      <c r="W595" s="10">
        <v>3</v>
      </c>
    </row>
    <row r="596" spans="1:23">
      <c r="A596" s="2" t="s">
        <v>1034</v>
      </c>
      <c r="B596" s="2" t="s">
        <v>1035</v>
      </c>
      <c r="C596">
        <v>1</v>
      </c>
      <c r="D596" s="5">
        <v>44385</v>
      </c>
      <c r="E596">
        <v>3506</v>
      </c>
      <c r="F596">
        <v>10</v>
      </c>
      <c r="G596">
        <v>513643924</v>
      </c>
      <c r="H596" t="str">
        <f t="shared" si="9"/>
        <v>yes</v>
      </c>
      <c r="I596">
        <v>103</v>
      </c>
      <c r="J596">
        <v>76</v>
      </c>
      <c r="K596">
        <v>100</v>
      </c>
      <c r="L596">
        <v>1</v>
      </c>
      <c r="M596">
        <v>1</v>
      </c>
      <c r="N596">
        <v>178</v>
      </c>
      <c r="O596" t="s">
        <v>32</v>
      </c>
      <c r="P596" t="s">
        <v>26</v>
      </c>
      <c r="Q596" s="10">
        <v>76</v>
      </c>
      <c r="R596" s="10">
        <v>63</v>
      </c>
      <c r="S596" s="10">
        <v>77</v>
      </c>
      <c r="T596" s="10">
        <v>14</v>
      </c>
      <c r="U596" s="10">
        <v>0</v>
      </c>
      <c r="V596" s="10">
        <v>15</v>
      </c>
      <c r="W596" s="10">
        <v>22</v>
      </c>
    </row>
    <row r="597" spans="1:23">
      <c r="A597" s="2" t="s">
        <v>1036</v>
      </c>
      <c r="B597" s="2" t="s">
        <v>1037</v>
      </c>
      <c r="C597">
        <v>2</v>
      </c>
      <c r="D597" s="5">
        <v>44553</v>
      </c>
      <c r="E597">
        <v>2999</v>
      </c>
      <c r="F597">
        <v>0</v>
      </c>
      <c r="G597">
        <v>261286503</v>
      </c>
      <c r="H597" t="str">
        <f t="shared" si="9"/>
        <v>yes</v>
      </c>
      <c r="I597">
        <v>60</v>
      </c>
      <c r="J597">
        <v>17</v>
      </c>
      <c r="K597">
        <v>154</v>
      </c>
      <c r="L597">
        <v>0</v>
      </c>
      <c r="M597">
        <v>22</v>
      </c>
      <c r="N597">
        <v>108</v>
      </c>
      <c r="O597" t="s">
        <v>72</v>
      </c>
      <c r="P597" t="s">
        <v>41</v>
      </c>
      <c r="Q597" s="10">
        <v>96</v>
      </c>
      <c r="R597" s="10">
        <v>71</v>
      </c>
      <c r="S597" s="10">
        <v>42</v>
      </c>
      <c r="T597" s="10">
        <v>57</v>
      </c>
      <c r="U597" s="10">
        <v>0</v>
      </c>
      <c r="V597" s="10">
        <v>8</v>
      </c>
      <c r="W597" s="10">
        <v>9</v>
      </c>
    </row>
    <row r="598" spans="1:23" ht="30.75">
      <c r="A598" s="2" t="s">
        <v>1038</v>
      </c>
      <c r="B598" s="2" t="s">
        <v>1039</v>
      </c>
      <c r="C598">
        <v>1</v>
      </c>
      <c r="D598" s="5">
        <v>44337</v>
      </c>
      <c r="E598">
        <v>3681</v>
      </c>
      <c r="F598">
        <v>0</v>
      </c>
      <c r="G598">
        <v>783706581</v>
      </c>
      <c r="H598" t="str">
        <f t="shared" si="9"/>
        <v>yes</v>
      </c>
      <c r="I598">
        <v>20</v>
      </c>
      <c r="J598">
        <v>21</v>
      </c>
      <c r="K598">
        <v>99</v>
      </c>
      <c r="L598">
        <v>0</v>
      </c>
      <c r="M598">
        <v>7</v>
      </c>
      <c r="N598">
        <v>173</v>
      </c>
      <c r="O598" t="s">
        <v>37</v>
      </c>
      <c r="P598" t="s">
        <v>26</v>
      </c>
      <c r="Q598" s="10">
        <v>40</v>
      </c>
      <c r="R598" s="10">
        <v>19</v>
      </c>
      <c r="S598" s="10">
        <v>29</v>
      </c>
      <c r="T598" s="10">
        <v>86</v>
      </c>
      <c r="U598" s="10">
        <v>0</v>
      </c>
      <c r="V598" s="10">
        <v>34</v>
      </c>
      <c r="W598" s="10">
        <v>4</v>
      </c>
    </row>
    <row r="599" spans="1:23">
      <c r="A599" s="2" t="s">
        <v>1040</v>
      </c>
      <c r="B599" s="2" t="s">
        <v>1041</v>
      </c>
      <c r="C599">
        <v>3</v>
      </c>
      <c r="D599" s="5">
        <v>44323</v>
      </c>
      <c r="E599">
        <v>4846</v>
      </c>
      <c r="F599">
        <v>10</v>
      </c>
      <c r="G599">
        <v>422691058</v>
      </c>
      <c r="H599" t="str">
        <f t="shared" si="9"/>
        <v>yes</v>
      </c>
      <c r="I599">
        <v>54</v>
      </c>
      <c r="J599">
        <v>16</v>
      </c>
      <c r="K599">
        <v>259</v>
      </c>
      <c r="L599">
        <v>0</v>
      </c>
      <c r="M599">
        <v>13</v>
      </c>
      <c r="N599">
        <v>101</v>
      </c>
      <c r="O599" t="s">
        <v>29</v>
      </c>
      <c r="P599" t="s">
        <v>26</v>
      </c>
      <c r="Q599" s="10">
        <v>67</v>
      </c>
      <c r="R599" s="10">
        <v>40</v>
      </c>
      <c r="S599" s="10">
        <v>90</v>
      </c>
      <c r="T599" s="10">
        <v>3</v>
      </c>
      <c r="U599" s="10">
        <v>0</v>
      </c>
      <c r="V599" s="10">
        <v>34</v>
      </c>
      <c r="W599" s="10">
        <v>6</v>
      </c>
    </row>
    <row r="600" spans="1:23">
      <c r="A600" s="2" t="s">
        <v>1040</v>
      </c>
      <c r="B600" s="2" t="s">
        <v>1042</v>
      </c>
      <c r="C600">
        <v>1</v>
      </c>
      <c r="D600" s="5">
        <v>43831</v>
      </c>
      <c r="E600">
        <v>14311</v>
      </c>
      <c r="F600">
        <v>0</v>
      </c>
      <c r="G600">
        <v>1062345656</v>
      </c>
      <c r="H600" t="str">
        <f t="shared" si="9"/>
        <v>yes</v>
      </c>
      <c r="I600">
        <v>255</v>
      </c>
      <c r="J600">
        <v>32</v>
      </c>
      <c r="K600">
        <v>582</v>
      </c>
      <c r="L600">
        <v>0</v>
      </c>
      <c r="M600">
        <v>14</v>
      </c>
      <c r="N600">
        <v>120</v>
      </c>
      <c r="O600" t="s">
        <v>63</v>
      </c>
      <c r="P600" t="s">
        <v>41</v>
      </c>
      <c r="Q600" s="10">
        <v>80</v>
      </c>
      <c r="R600" s="10">
        <v>24</v>
      </c>
      <c r="S600" s="10">
        <v>62</v>
      </c>
      <c r="T600" s="10">
        <v>41</v>
      </c>
      <c r="U600" s="10">
        <v>2</v>
      </c>
      <c r="V600" s="10">
        <v>11</v>
      </c>
      <c r="W600" s="10">
        <v>23</v>
      </c>
    </row>
    <row r="601" spans="1:23">
      <c r="A601" s="2" t="s">
        <v>1043</v>
      </c>
      <c r="B601" s="2" t="s">
        <v>1044</v>
      </c>
      <c r="C601">
        <v>1</v>
      </c>
      <c r="D601" s="5">
        <v>44127</v>
      </c>
      <c r="E601">
        <v>8207</v>
      </c>
      <c r="F601">
        <v>0</v>
      </c>
      <c r="G601">
        <v>1252563873</v>
      </c>
      <c r="H601" t="str">
        <f t="shared" si="9"/>
        <v>yes</v>
      </c>
      <c r="I601">
        <v>175</v>
      </c>
      <c r="J601">
        <v>55</v>
      </c>
      <c r="K601">
        <v>95</v>
      </c>
      <c r="L601">
        <v>0</v>
      </c>
      <c r="M601">
        <v>2</v>
      </c>
      <c r="N601">
        <v>144</v>
      </c>
      <c r="P601" t="s">
        <v>26</v>
      </c>
      <c r="Q601" s="10">
        <v>73</v>
      </c>
      <c r="R601" s="10">
        <v>66</v>
      </c>
      <c r="S601" s="10">
        <v>80</v>
      </c>
      <c r="T601" s="10">
        <v>44</v>
      </c>
      <c r="U601" s="10">
        <v>0</v>
      </c>
      <c r="V601" s="10">
        <v>9</v>
      </c>
      <c r="W601" s="10">
        <v>12</v>
      </c>
    </row>
    <row r="602" spans="1:23" ht="60.75">
      <c r="A602" s="2" t="s">
        <v>1045</v>
      </c>
      <c r="B602" s="2" t="s">
        <v>1046</v>
      </c>
      <c r="C602">
        <v>1</v>
      </c>
      <c r="D602" s="5">
        <v>44274</v>
      </c>
      <c r="E602">
        <v>4873</v>
      </c>
      <c r="F602">
        <v>0</v>
      </c>
      <c r="G602">
        <v>851070493</v>
      </c>
      <c r="H602" t="str">
        <f t="shared" si="9"/>
        <v>yes</v>
      </c>
      <c r="I602">
        <v>65</v>
      </c>
      <c r="J602">
        <v>88</v>
      </c>
      <c r="K602">
        <v>434</v>
      </c>
      <c r="L602">
        <v>3</v>
      </c>
      <c r="M602">
        <v>13</v>
      </c>
      <c r="N602">
        <v>133</v>
      </c>
      <c r="O602" t="s">
        <v>29</v>
      </c>
      <c r="P602" t="s">
        <v>26</v>
      </c>
      <c r="Q602" s="10">
        <v>75</v>
      </c>
      <c r="R602" s="10">
        <v>96</v>
      </c>
      <c r="S602" s="10">
        <v>61</v>
      </c>
      <c r="T602" s="10">
        <v>0</v>
      </c>
      <c r="U602" s="10">
        <v>0</v>
      </c>
      <c r="V602" s="10">
        <v>18</v>
      </c>
      <c r="W602" s="10">
        <v>4</v>
      </c>
    </row>
    <row r="603" spans="1:23" ht="30.75">
      <c r="A603" s="2" t="s">
        <v>1047</v>
      </c>
      <c r="B603" s="2" t="s">
        <v>1048</v>
      </c>
      <c r="C603">
        <v>2</v>
      </c>
      <c r="D603" s="5">
        <v>44491</v>
      </c>
      <c r="E603">
        <v>772</v>
      </c>
      <c r="F603">
        <v>0</v>
      </c>
      <c r="G603">
        <v>263894529</v>
      </c>
      <c r="H603" t="str">
        <f t="shared" si="9"/>
        <v>yes</v>
      </c>
      <c r="I603">
        <v>7</v>
      </c>
      <c r="J603">
        <v>3</v>
      </c>
      <c r="K603">
        <v>89</v>
      </c>
      <c r="L603">
        <v>0</v>
      </c>
      <c r="M603">
        <v>0</v>
      </c>
      <c r="N603">
        <v>158</v>
      </c>
      <c r="O603" t="s">
        <v>63</v>
      </c>
      <c r="P603" t="s">
        <v>41</v>
      </c>
      <c r="Q603" s="10">
        <v>46</v>
      </c>
      <c r="R603" s="10">
        <v>62</v>
      </c>
      <c r="S603" s="10">
        <v>83</v>
      </c>
      <c r="T603" s="10">
        <v>53</v>
      </c>
      <c r="U603" s="10">
        <v>0</v>
      </c>
      <c r="V603" s="10">
        <v>97</v>
      </c>
      <c r="W603" s="10">
        <v>28</v>
      </c>
    </row>
    <row r="604" spans="1:23">
      <c r="A604" s="2" t="s">
        <v>1049</v>
      </c>
      <c r="B604" s="2" t="s">
        <v>1050</v>
      </c>
      <c r="C604">
        <v>1</v>
      </c>
      <c r="D604" s="5">
        <v>44470</v>
      </c>
      <c r="E604">
        <v>1150</v>
      </c>
      <c r="F604">
        <v>0</v>
      </c>
      <c r="G604">
        <v>345903614</v>
      </c>
      <c r="H604" t="str">
        <f t="shared" si="9"/>
        <v>yes</v>
      </c>
      <c r="I604">
        <v>20</v>
      </c>
      <c r="J604">
        <v>99</v>
      </c>
      <c r="K604">
        <v>44</v>
      </c>
      <c r="L604">
        <v>0</v>
      </c>
      <c r="M604">
        <v>2</v>
      </c>
      <c r="N604">
        <v>120</v>
      </c>
      <c r="O604" t="s">
        <v>37</v>
      </c>
      <c r="P604" t="s">
        <v>26</v>
      </c>
      <c r="Q604" s="10">
        <v>81</v>
      </c>
      <c r="R604" s="10">
        <v>92</v>
      </c>
      <c r="S604" s="10">
        <v>90</v>
      </c>
      <c r="T604" s="10">
        <v>9</v>
      </c>
      <c r="U604" s="10">
        <v>0</v>
      </c>
      <c r="V604" s="10">
        <v>8</v>
      </c>
      <c r="W604" s="10">
        <v>7</v>
      </c>
    </row>
    <row r="605" spans="1:23" ht="30.75">
      <c r="A605" s="2" t="s">
        <v>1051</v>
      </c>
      <c r="B605" s="2" t="s">
        <v>1052</v>
      </c>
      <c r="C605">
        <v>1</v>
      </c>
      <c r="D605" s="5">
        <v>43882</v>
      </c>
      <c r="E605">
        <v>5398</v>
      </c>
      <c r="F605">
        <v>4</v>
      </c>
      <c r="G605">
        <v>951637566</v>
      </c>
      <c r="H605" t="str">
        <f t="shared" si="9"/>
        <v>yes</v>
      </c>
      <c r="I605">
        <v>111</v>
      </c>
      <c r="J605">
        <v>127</v>
      </c>
      <c r="K605">
        <v>210</v>
      </c>
      <c r="L605">
        <v>0</v>
      </c>
      <c r="M605">
        <v>37</v>
      </c>
      <c r="N605">
        <v>129</v>
      </c>
      <c r="P605" t="s">
        <v>26</v>
      </c>
      <c r="Q605" s="10">
        <v>61</v>
      </c>
      <c r="R605" s="10">
        <v>59</v>
      </c>
      <c r="S605" s="10">
        <v>46</v>
      </c>
      <c r="T605" s="10">
        <v>56</v>
      </c>
      <c r="U605" s="10">
        <v>0</v>
      </c>
      <c r="V605" s="10">
        <v>13</v>
      </c>
      <c r="W605" s="10">
        <v>5</v>
      </c>
    </row>
    <row r="606" spans="1:23" ht="60.75">
      <c r="A606" s="2" t="s">
        <v>1053</v>
      </c>
      <c r="B606" s="2" t="s">
        <v>1054</v>
      </c>
      <c r="C606">
        <v>2</v>
      </c>
      <c r="D606" s="5">
        <v>42692</v>
      </c>
      <c r="E606">
        <v>7370</v>
      </c>
      <c r="F606">
        <v>0</v>
      </c>
      <c r="G606">
        <v>956865266</v>
      </c>
      <c r="H606" t="str">
        <f t="shared" si="9"/>
        <v>yes</v>
      </c>
      <c r="I606">
        <v>92</v>
      </c>
      <c r="J606">
        <v>127</v>
      </c>
      <c r="K606" s="1">
        <v>1219</v>
      </c>
      <c r="L606">
        <v>0</v>
      </c>
      <c r="M606">
        <v>62</v>
      </c>
      <c r="N606">
        <v>102</v>
      </c>
      <c r="O606" t="s">
        <v>72</v>
      </c>
      <c r="P606" t="s">
        <v>26</v>
      </c>
      <c r="Q606" s="10">
        <v>74</v>
      </c>
      <c r="R606" s="10">
        <v>45</v>
      </c>
      <c r="S606" s="10">
        <v>89</v>
      </c>
      <c r="T606" s="10">
        <v>5</v>
      </c>
      <c r="U606" s="10">
        <v>0</v>
      </c>
      <c r="V606" s="10">
        <v>26</v>
      </c>
      <c r="W606" s="10">
        <v>13</v>
      </c>
    </row>
    <row r="607" spans="1:23" ht="60.75">
      <c r="A607" s="2" t="s">
        <v>1055</v>
      </c>
      <c r="B607" s="2" t="s">
        <v>1056</v>
      </c>
      <c r="C607">
        <v>4</v>
      </c>
      <c r="D607" s="5">
        <v>44421</v>
      </c>
      <c r="E607">
        <v>6890</v>
      </c>
      <c r="F607">
        <v>0</v>
      </c>
      <c r="G607">
        <v>427486004</v>
      </c>
      <c r="H607" t="str">
        <f t="shared" si="9"/>
        <v>yes</v>
      </c>
      <c r="I607">
        <v>122</v>
      </c>
      <c r="J607">
        <v>11</v>
      </c>
      <c r="K607">
        <v>201</v>
      </c>
      <c r="L607">
        <v>0</v>
      </c>
      <c r="M607">
        <v>1</v>
      </c>
      <c r="N607">
        <v>124</v>
      </c>
      <c r="O607" t="s">
        <v>63</v>
      </c>
      <c r="P607" t="s">
        <v>41</v>
      </c>
      <c r="Q607" s="10">
        <v>79</v>
      </c>
      <c r="R607" s="10">
        <v>79</v>
      </c>
      <c r="S607" s="10">
        <v>84</v>
      </c>
      <c r="T607" s="10">
        <v>2</v>
      </c>
      <c r="U607" s="10">
        <v>0</v>
      </c>
      <c r="V607" s="10">
        <v>5</v>
      </c>
      <c r="W607" s="10">
        <v>5</v>
      </c>
    </row>
    <row r="608" spans="1:23" ht="30.75">
      <c r="A608" s="2" t="s">
        <v>1057</v>
      </c>
      <c r="B608" s="2" t="s">
        <v>1058</v>
      </c>
      <c r="C608">
        <v>1</v>
      </c>
      <c r="D608" s="5">
        <v>42480</v>
      </c>
      <c r="E608">
        <v>1966</v>
      </c>
      <c r="F608">
        <v>0</v>
      </c>
      <c r="G608">
        <v>156658366</v>
      </c>
      <c r="H608" t="str">
        <f t="shared" si="9"/>
        <v>no</v>
      </c>
      <c r="I608">
        <v>4</v>
      </c>
      <c r="J608">
        <v>2</v>
      </c>
      <c r="K608">
        <v>50</v>
      </c>
      <c r="L608">
        <v>0</v>
      </c>
      <c r="M608">
        <v>0</v>
      </c>
      <c r="N608">
        <v>90</v>
      </c>
      <c r="O608" t="s">
        <v>98</v>
      </c>
      <c r="P608" t="s">
        <v>41</v>
      </c>
      <c r="Q608" s="10">
        <v>73</v>
      </c>
      <c r="R608" s="10">
        <v>31</v>
      </c>
      <c r="S608" s="10">
        <v>45</v>
      </c>
      <c r="T608" s="10">
        <v>85</v>
      </c>
      <c r="U608" s="10">
        <v>24</v>
      </c>
      <c r="V608" s="10">
        <v>11</v>
      </c>
      <c r="W608" s="10">
        <v>3</v>
      </c>
    </row>
    <row r="609" spans="1:23">
      <c r="A609" s="2" t="s">
        <v>1059</v>
      </c>
      <c r="B609" s="2">
        <v>2055</v>
      </c>
      <c r="C609">
        <v>1</v>
      </c>
      <c r="D609" s="5">
        <v>44300</v>
      </c>
      <c r="E609">
        <v>2226</v>
      </c>
      <c r="F609">
        <v>0</v>
      </c>
      <c r="G609">
        <v>624515457</v>
      </c>
      <c r="H609" t="str">
        <f t="shared" si="9"/>
        <v>yes</v>
      </c>
      <c r="I609">
        <v>29</v>
      </c>
      <c r="J609">
        <v>0</v>
      </c>
      <c r="K609">
        <v>44</v>
      </c>
      <c r="L609">
        <v>0</v>
      </c>
      <c r="M609">
        <v>0</v>
      </c>
      <c r="N609">
        <v>161</v>
      </c>
      <c r="O609" t="s">
        <v>53</v>
      </c>
      <c r="P609" t="s">
        <v>41</v>
      </c>
      <c r="Q609" s="10">
        <v>78</v>
      </c>
      <c r="R609" s="10">
        <v>65</v>
      </c>
      <c r="S609" s="10">
        <v>52</v>
      </c>
      <c r="T609" s="10">
        <v>46</v>
      </c>
      <c r="U609" s="10">
        <v>0</v>
      </c>
      <c r="V609" s="10">
        <v>12</v>
      </c>
      <c r="W609" s="10">
        <v>31</v>
      </c>
    </row>
    <row r="610" spans="1:23">
      <c r="A610" s="2" t="s">
        <v>1060</v>
      </c>
      <c r="B610" s="2" t="s">
        <v>1061</v>
      </c>
      <c r="C610">
        <v>1</v>
      </c>
      <c r="D610" s="5">
        <v>42824</v>
      </c>
      <c r="E610">
        <v>4204</v>
      </c>
      <c r="F610">
        <v>0</v>
      </c>
      <c r="G610">
        <v>777765388</v>
      </c>
      <c r="H610" t="str">
        <f t="shared" si="9"/>
        <v>yes</v>
      </c>
      <c r="I610">
        <v>39</v>
      </c>
      <c r="J610">
        <v>45</v>
      </c>
      <c r="K610">
        <v>250</v>
      </c>
      <c r="L610">
        <v>0</v>
      </c>
      <c r="M610">
        <v>0</v>
      </c>
      <c r="N610">
        <v>120</v>
      </c>
      <c r="O610" t="s">
        <v>72</v>
      </c>
      <c r="P610" t="s">
        <v>26</v>
      </c>
      <c r="Q610" s="10">
        <v>60</v>
      </c>
      <c r="R610" s="10">
        <v>11</v>
      </c>
      <c r="S610" s="10">
        <v>33</v>
      </c>
      <c r="T610" s="10">
        <v>90</v>
      </c>
      <c r="U610" s="10">
        <v>0</v>
      </c>
      <c r="V610" s="10">
        <v>8</v>
      </c>
      <c r="W610" s="10">
        <v>5</v>
      </c>
    </row>
    <row r="611" spans="1:23" ht="30.75">
      <c r="A611" s="2" t="s">
        <v>1060</v>
      </c>
      <c r="B611" s="2" t="s">
        <v>1062</v>
      </c>
      <c r="C611">
        <v>1</v>
      </c>
      <c r="D611" s="5">
        <v>44405</v>
      </c>
      <c r="E611">
        <v>1959</v>
      </c>
      <c r="F611">
        <v>0</v>
      </c>
      <c r="G611">
        <v>412795151</v>
      </c>
      <c r="H611" t="str">
        <f t="shared" si="9"/>
        <v>yes</v>
      </c>
      <c r="I611">
        <v>19</v>
      </c>
      <c r="J611">
        <v>0</v>
      </c>
      <c r="K611">
        <v>38</v>
      </c>
      <c r="L611">
        <v>0</v>
      </c>
      <c r="M611">
        <v>0</v>
      </c>
      <c r="N611">
        <v>81</v>
      </c>
      <c r="P611" t="s">
        <v>26</v>
      </c>
      <c r="Q611" s="10">
        <v>45</v>
      </c>
      <c r="R611" s="10">
        <v>12</v>
      </c>
      <c r="S611" s="10">
        <v>57</v>
      </c>
      <c r="T611" s="10">
        <v>7</v>
      </c>
      <c r="U611" s="10">
        <v>0</v>
      </c>
      <c r="V611" s="10">
        <v>23</v>
      </c>
      <c r="W611" s="10">
        <v>3</v>
      </c>
    </row>
    <row r="612" spans="1:23" ht="30.75">
      <c r="A612" s="2" t="s">
        <v>1060</v>
      </c>
      <c r="B612" s="2" t="s">
        <v>1063</v>
      </c>
      <c r="C612">
        <v>1</v>
      </c>
      <c r="D612" s="5">
        <v>43466</v>
      </c>
      <c r="E612">
        <v>7191</v>
      </c>
      <c r="F612">
        <v>0</v>
      </c>
      <c r="G612">
        <v>1138474110</v>
      </c>
      <c r="H612" t="str">
        <f t="shared" si="9"/>
        <v>yes</v>
      </c>
      <c r="I612">
        <v>146</v>
      </c>
      <c r="J612">
        <v>18</v>
      </c>
      <c r="K612">
        <v>478</v>
      </c>
      <c r="L612">
        <v>0</v>
      </c>
      <c r="M612">
        <v>7</v>
      </c>
      <c r="N612">
        <v>150</v>
      </c>
      <c r="O612" t="s">
        <v>98</v>
      </c>
      <c r="P612" t="s">
        <v>41</v>
      </c>
      <c r="Q612" s="10">
        <v>78</v>
      </c>
      <c r="R612" s="10">
        <v>47</v>
      </c>
      <c r="S612" s="10">
        <v>70</v>
      </c>
      <c r="T612" s="10">
        <v>18</v>
      </c>
      <c r="U612" s="10">
        <v>0</v>
      </c>
      <c r="V612" s="10">
        <v>15</v>
      </c>
      <c r="W612" s="10">
        <v>9</v>
      </c>
    </row>
    <row r="613" spans="1:23">
      <c r="A613" s="2" t="s">
        <v>1060</v>
      </c>
      <c r="B613" s="2" t="s">
        <v>1064</v>
      </c>
      <c r="C613">
        <v>2</v>
      </c>
      <c r="D613" s="5">
        <v>44441</v>
      </c>
      <c r="E613">
        <v>2012</v>
      </c>
      <c r="F613">
        <v>0</v>
      </c>
      <c r="G613">
        <v>355219175</v>
      </c>
      <c r="H613" t="str">
        <f t="shared" si="9"/>
        <v>yes</v>
      </c>
      <c r="I613">
        <v>101</v>
      </c>
      <c r="J613">
        <v>12</v>
      </c>
      <c r="K613">
        <v>38</v>
      </c>
      <c r="L613">
        <v>0</v>
      </c>
      <c r="M613">
        <v>0</v>
      </c>
      <c r="N613">
        <v>105</v>
      </c>
      <c r="O613" t="s">
        <v>63</v>
      </c>
      <c r="P613" t="s">
        <v>26</v>
      </c>
      <c r="Q613" s="10">
        <v>76</v>
      </c>
      <c r="R613" s="10">
        <v>58</v>
      </c>
      <c r="S613" s="10">
        <v>84</v>
      </c>
      <c r="T613" s="10">
        <v>10</v>
      </c>
      <c r="U613" s="10">
        <v>0</v>
      </c>
      <c r="V613" s="10">
        <v>13</v>
      </c>
      <c r="W613" s="10">
        <v>10</v>
      </c>
    </row>
    <row r="614" spans="1:23" ht="30.75">
      <c r="A614" s="2" t="s">
        <v>1060</v>
      </c>
      <c r="B614" s="2" t="s">
        <v>1065</v>
      </c>
      <c r="C614">
        <v>1</v>
      </c>
      <c r="D614" s="5">
        <v>44418</v>
      </c>
      <c r="E614">
        <v>1211</v>
      </c>
      <c r="F614">
        <v>2</v>
      </c>
      <c r="G614">
        <v>290228626</v>
      </c>
      <c r="H614" t="str">
        <f t="shared" si="9"/>
        <v>yes</v>
      </c>
      <c r="I614">
        <v>30</v>
      </c>
      <c r="J614">
        <v>2</v>
      </c>
      <c r="K614">
        <v>5</v>
      </c>
      <c r="L614">
        <v>0</v>
      </c>
      <c r="M614">
        <v>6</v>
      </c>
      <c r="N614">
        <v>79</v>
      </c>
      <c r="O614" t="s">
        <v>53</v>
      </c>
      <c r="P614" t="s">
        <v>26</v>
      </c>
      <c r="Q614" s="10">
        <v>63</v>
      </c>
      <c r="R614" s="10">
        <v>76</v>
      </c>
      <c r="S614" s="10">
        <v>67</v>
      </c>
      <c r="T614" s="10">
        <v>38</v>
      </c>
      <c r="U614" s="10">
        <v>0</v>
      </c>
      <c r="V614" s="10">
        <v>6</v>
      </c>
      <c r="W614" s="10">
        <v>4</v>
      </c>
    </row>
    <row r="615" spans="1:23" ht="30.75">
      <c r="A615" s="2" t="s">
        <v>1060</v>
      </c>
      <c r="B615" s="2" t="s">
        <v>1066</v>
      </c>
      <c r="C615">
        <v>1</v>
      </c>
      <c r="D615" s="5">
        <v>40455</v>
      </c>
      <c r="E615">
        <v>7109</v>
      </c>
      <c r="F615">
        <v>2</v>
      </c>
      <c r="G615">
        <v>1062956628</v>
      </c>
      <c r="H615" t="str">
        <f t="shared" si="9"/>
        <v>yes</v>
      </c>
      <c r="I615">
        <v>5</v>
      </c>
      <c r="J615">
        <v>0</v>
      </c>
      <c r="K615">
        <v>862</v>
      </c>
      <c r="L615">
        <v>0</v>
      </c>
      <c r="M615">
        <v>0</v>
      </c>
      <c r="N615">
        <v>146</v>
      </c>
      <c r="O615" t="s">
        <v>29</v>
      </c>
      <c r="P615" t="s">
        <v>41</v>
      </c>
      <c r="Q615" s="10">
        <v>52</v>
      </c>
      <c r="R615" s="10">
        <v>7</v>
      </c>
      <c r="S615" s="10">
        <v>61</v>
      </c>
      <c r="T615" s="10">
        <v>51</v>
      </c>
      <c r="U615" s="10">
        <v>0</v>
      </c>
      <c r="V615" s="10">
        <v>11</v>
      </c>
      <c r="W615" s="10">
        <v>3</v>
      </c>
    </row>
    <row r="616" spans="1:23" ht="30.75">
      <c r="A616" s="2" t="s">
        <v>1067</v>
      </c>
      <c r="B616" s="2" t="s">
        <v>1068</v>
      </c>
      <c r="C616">
        <v>1</v>
      </c>
      <c r="D616" s="5">
        <v>43938</v>
      </c>
      <c r="E616">
        <v>6638</v>
      </c>
      <c r="F616">
        <v>0</v>
      </c>
      <c r="G616">
        <v>1180094974</v>
      </c>
      <c r="H616" t="str">
        <f t="shared" si="9"/>
        <v>yes</v>
      </c>
      <c r="I616">
        <v>167</v>
      </c>
      <c r="J616">
        <v>19</v>
      </c>
      <c r="K616">
        <v>318</v>
      </c>
      <c r="L616">
        <v>0</v>
      </c>
      <c r="M616">
        <v>1</v>
      </c>
      <c r="N616">
        <v>124</v>
      </c>
      <c r="O616" t="s">
        <v>98</v>
      </c>
      <c r="P616" t="s">
        <v>26</v>
      </c>
      <c r="Q616" s="10">
        <v>64</v>
      </c>
      <c r="R616" s="10">
        <v>8</v>
      </c>
      <c r="S616" s="10">
        <v>37</v>
      </c>
      <c r="T616" s="10">
        <v>79</v>
      </c>
      <c r="U616" s="10">
        <v>0</v>
      </c>
      <c r="V616" s="10">
        <v>9</v>
      </c>
      <c r="W616" s="10">
        <v>5</v>
      </c>
    </row>
    <row r="617" spans="1:23">
      <c r="A617" s="2" t="s">
        <v>1069</v>
      </c>
      <c r="B617" s="2" t="s">
        <v>1070</v>
      </c>
      <c r="C617">
        <v>1</v>
      </c>
      <c r="D617" s="5">
        <v>41640</v>
      </c>
      <c r="E617">
        <v>17354</v>
      </c>
      <c r="F617">
        <v>8</v>
      </c>
      <c r="G617">
        <v>1456081449</v>
      </c>
      <c r="H617" t="str">
        <f t="shared" si="9"/>
        <v>yes</v>
      </c>
      <c r="I617">
        <v>92</v>
      </c>
      <c r="J617">
        <v>122</v>
      </c>
      <c r="K617" s="1">
        <v>1282</v>
      </c>
      <c r="L617">
        <v>0</v>
      </c>
      <c r="M617">
        <v>55</v>
      </c>
      <c r="N617">
        <v>126</v>
      </c>
      <c r="O617" t="s">
        <v>53</v>
      </c>
      <c r="P617" t="s">
        <v>26</v>
      </c>
      <c r="Q617" s="10">
        <v>53</v>
      </c>
      <c r="R617" s="10">
        <v>66</v>
      </c>
      <c r="S617" s="10">
        <v>85</v>
      </c>
      <c r="T617" s="10">
        <v>2</v>
      </c>
      <c r="U617" s="10">
        <v>0</v>
      </c>
      <c r="V617" s="10">
        <v>24</v>
      </c>
      <c r="W617" s="10">
        <v>4</v>
      </c>
    </row>
    <row r="618" spans="1:23" ht="30.75">
      <c r="A618" s="2" t="s">
        <v>1071</v>
      </c>
      <c r="B618" s="2" t="s">
        <v>889</v>
      </c>
      <c r="C618">
        <v>1</v>
      </c>
      <c r="D618" s="5">
        <v>44414</v>
      </c>
      <c r="E618">
        <v>6392</v>
      </c>
      <c r="F618">
        <v>0</v>
      </c>
      <c r="G618">
        <v>432702334</v>
      </c>
      <c r="H618" t="str">
        <f t="shared" si="9"/>
        <v>yes</v>
      </c>
      <c r="I618">
        <v>174</v>
      </c>
      <c r="J618">
        <v>73</v>
      </c>
      <c r="K618">
        <v>344</v>
      </c>
      <c r="L618">
        <v>0</v>
      </c>
      <c r="M618">
        <v>0</v>
      </c>
      <c r="N618">
        <v>121</v>
      </c>
      <c r="O618" t="s">
        <v>63</v>
      </c>
      <c r="P618" t="s">
        <v>26</v>
      </c>
      <c r="Q618" s="10">
        <v>75</v>
      </c>
      <c r="R618" s="10">
        <v>53</v>
      </c>
      <c r="S618" s="10">
        <v>74</v>
      </c>
      <c r="T618" s="10">
        <v>2</v>
      </c>
      <c r="U618" s="10">
        <v>0</v>
      </c>
      <c r="V618" s="10">
        <v>11</v>
      </c>
      <c r="W618" s="10">
        <v>5</v>
      </c>
    </row>
    <row r="619" spans="1:23" ht="45.75">
      <c r="A619" s="2" t="s">
        <v>1071</v>
      </c>
      <c r="B619" s="2" t="s">
        <v>1072</v>
      </c>
      <c r="C619">
        <v>3</v>
      </c>
      <c r="D619" s="5">
        <v>44442</v>
      </c>
      <c r="E619">
        <v>5481</v>
      </c>
      <c r="F619">
        <v>0</v>
      </c>
      <c r="G619">
        <v>489945871</v>
      </c>
      <c r="H619" t="str">
        <f t="shared" si="9"/>
        <v>yes</v>
      </c>
      <c r="I619">
        <v>144</v>
      </c>
      <c r="J619">
        <v>30</v>
      </c>
      <c r="K619">
        <v>86</v>
      </c>
      <c r="L619">
        <v>0</v>
      </c>
      <c r="M619">
        <v>0</v>
      </c>
      <c r="N619">
        <v>136</v>
      </c>
      <c r="O619" t="s">
        <v>25</v>
      </c>
      <c r="P619" t="s">
        <v>41</v>
      </c>
      <c r="Q619" s="10">
        <v>80</v>
      </c>
      <c r="R619" s="10">
        <v>33</v>
      </c>
      <c r="S619" s="10">
        <v>60</v>
      </c>
      <c r="T619" s="10">
        <v>0</v>
      </c>
      <c r="U619" s="10">
        <v>0</v>
      </c>
      <c r="V619" s="10">
        <v>32</v>
      </c>
      <c r="W619" s="10">
        <v>14</v>
      </c>
    </row>
    <row r="620" spans="1:23" ht="30.75">
      <c r="A620" s="2" t="s">
        <v>1073</v>
      </c>
      <c r="B620" s="2" t="s">
        <v>1074</v>
      </c>
      <c r="C620">
        <v>1</v>
      </c>
      <c r="D620" s="5">
        <v>44372</v>
      </c>
      <c r="E620">
        <v>2636</v>
      </c>
      <c r="F620">
        <v>3</v>
      </c>
      <c r="G620">
        <v>465959382</v>
      </c>
      <c r="H620" t="str">
        <f t="shared" si="9"/>
        <v>yes</v>
      </c>
      <c r="I620">
        <v>36</v>
      </c>
      <c r="J620">
        <v>82</v>
      </c>
      <c r="K620">
        <v>39</v>
      </c>
      <c r="L620">
        <v>0</v>
      </c>
      <c r="M620">
        <v>5</v>
      </c>
      <c r="N620">
        <v>102</v>
      </c>
      <c r="O620" t="s">
        <v>37</v>
      </c>
      <c r="P620" t="s">
        <v>41</v>
      </c>
      <c r="Q620" s="10">
        <v>77</v>
      </c>
      <c r="R620" s="10">
        <v>26</v>
      </c>
      <c r="S620" s="10">
        <v>63</v>
      </c>
      <c r="T620" s="10">
        <v>58</v>
      </c>
      <c r="U620" s="10">
        <v>0</v>
      </c>
      <c r="V620" s="10">
        <v>11</v>
      </c>
      <c r="W620" s="10">
        <v>5</v>
      </c>
    </row>
    <row r="621" spans="1:23" ht="60.75">
      <c r="A621" s="2" t="s">
        <v>1075</v>
      </c>
      <c r="B621" s="2" t="s">
        <v>1076</v>
      </c>
      <c r="C621">
        <v>3</v>
      </c>
      <c r="D621" s="5">
        <v>44496</v>
      </c>
      <c r="E621">
        <v>824</v>
      </c>
      <c r="F621">
        <v>0</v>
      </c>
      <c r="G621">
        <v>1223481149</v>
      </c>
      <c r="H621" t="str">
        <f t="shared" si="9"/>
        <v>yes</v>
      </c>
      <c r="I621">
        <v>8</v>
      </c>
      <c r="J621">
        <v>8</v>
      </c>
      <c r="K621">
        <v>8</v>
      </c>
      <c r="L621">
        <v>2</v>
      </c>
      <c r="M621">
        <v>0</v>
      </c>
      <c r="N621">
        <v>77</v>
      </c>
      <c r="O621" t="s">
        <v>72</v>
      </c>
      <c r="P621" t="s">
        <v>26</v>
      </c>
      <c r="Q621" s="10">
        <v>73</v>
      </c>
      <c r="R621" s="10">
        <v>54</v>
      </c>
      <c r="S621" s="10">
        <v>74</v>
      </c>
      <c r="T621" s="10">
        <v>23</v>
      </c>
      <c r="U621" s="10">
        <v>0</v>
      </c>
      <c r="V621" s="10">
        <v>41</v>
      </c>
      <c r="W621" s="10">
        <v>23</v>
      </c>
    </row>
    <row r="622" spans="1:23" ht="30.75">
      <c r="A622" s="2" t="s">
        <v>1077</v>
      </c>
      <c r="B622" s="2" t="s">
        <v>1078</v>
      </c>
      <c r="C622">
        <v>1</v>
      </c>
      <c r="D622" s="5">
        <v>43595</v>
      </c>
      <c r="E622">
        <v>24529</v>
      </c>
      <c r="F622">
        <v>0</v>
      </c>
      <c r="G622">
        <v>2864791672</v>
      </c>
      <c r="H622" t="str">
        <f t="shared" si="9"/>
        <v>yes</v>
      </c>
      <c r="I622">
        <v>533</v>
      </c>
      <c r="J622">
        <v>167</v>
      </c>
      <c r="K622" s="1">
        <v>3595</v>
      </c>
      <c r="L622">
        <v>6</v>
      </c>
      <c r="N622">
        <v>98</v>
      </c>
      <c r="O622" t="s">
        <v>53</v>
      </c>
      <c r="P622" t="s">
        <v>41</v>
      </c>
      <c r="Q622" s="10">
        <v>82</v>
      </c>
      <c r="R622" s="10">
        <v>54</v>
      </c>
      <c r="S622" s="10">
        <v>59</v>
      </c>
      <c r="T622" s="10">
        <v>69</v>
      </c>
      <c r="U622" s="10">
        <v>0</v>
      </c>
      <c r="V622" s="10">
        <v>18</v>
      </c>
      <c r="W622" s="10">
        <v>10</v>
      </c>
    </row>
    <row r="623" spans="1:23" ht="30.75">
      <c r="A623" s="2" t="s">
        <v>1077</v>
      </c>
      <c r="B623" s="2" t="s">
        <v>1079</v>
      </c>
      <c r="C623">
        <v>1</v>
      </c>
      <c r="D623" s="5">
        <v>42901</v>
      </c>
      <c r="E623">
        <v>14749</v>
      </c>
      <c r="F623">
        <v>0</v>
      </c>
      <c r="G623">
        <v>2288695111</v>
      </c>
      <c r="H623" t="str">
        <f t="shared" si="9"/>
        <v>yes</v>
      </c>
      <c r="I623">
        <v>188</v>
      </c>
      <c r="J623">
        <v>34</v>
      </c>
      <c r="K623">
        <v>710</v>
      </c>
      <c r="L623">
        <v>0</v>
      </c>
      <c r="M623">
        <v>5</v>
      </c>
      <c r="N623">
        <v>84</v>
      </c>
      <c r="O623" t="s">
        <v>25</v>
      </c>
      <c r="P623" t="s">
        <v>41</v>
      </c>
      <c r="Q623" s="10">
        <v>44</v>
      </c>
      <c r="R623" s="10">
        <v>22</v>
      </c>
      <c r="S623" s="10">
        <v>48</v>
      </c>
      <c r="T623" s="10">
        <v>38</v>
      </c>
      <c r="U623" s="10">
        <v>0</v>
      </c>
      <c r="V623" s="10">
        <v>33</v>
      </c>
      <c r="W623" s="10">
        <v>24</v>
      </c>
    </row>
    <row r="624" spans="1:23" ht="30.75">
      <c r="A624" s="2" t="s">
        <v>1080</v>
      </c>
      <c r="B624" s="2" t="s">
        <v>1081</v>
      </c>
      <c r="C624">
        <v>2</v>
      </c>
      <c r="D624" s="5">
        <v>44224</v>
      </c>
      <c r="E624">
        <v>8087</v>
      </c>
      <c r="F624">
        <v>0</v>
      </c>
      <c r="G624">
        <v>720825549</v>
      </c>
      <c r="H624" t="str">
        <f t="shared" si="9"/>
        <v>yes</v>
      </c>
      <c r="I624">
        <v>92</v>
      </c>
      <c r="J624">
        <v>34</v>
      </c>
      <c r="K624">
        <v>131</v>
      </c>
      <c r="L624">
        <v>0</v>
      </c>
      <c r="M624">
        <v>0</v>
      </c>
      <c r="N624">
        <v>102</v>
      </c>
      <c r="O624" t="s">
        <v>63</v>
      </c>
      <c r="P624" t="s">
        <v>26</v>
      </c>
      <c r="Q624" s="10">
        <v>89</v>
      </c>
      <c r="R624" s="10">
        <v>77</v>
      </c>
      <c r="S624" s="10">
        <v>82</v>
      </c>
      <c r="T624" s="10">
        <v>3</v>
      </c>
      <c r="U624" s="10">
        <v>0</v>
      </c>
      <c r="V624" s="10">
        <v>17</v>
      </c>
      <c r="W624" s="10">
        <v>11</v>
      </c>
    </row>
    <row r="625" spans="1:23">
      <c r="A625" s="2" t="s">
        <v>1082</v>
      </c>
      <c r="B625" s="2" t="s">
        <v>1083</v>
      </c>
      <c r="C625">
        <v>1</v>
      </c>
      <c r="D625" s="5">
        <v>41487</v>
      </c>
      <c r="E625">
        <v>27221</v>
      </c>
      <c r="F625">
        <v>0</v>
      </c>
      <c r="G625">
        <v>2086124197</v>
      </c>
      <c r="H625" t="str">
        <f t="shared" si="9"/>
        <v>yes</v>
      </c>
      <c r="I625">
        <v>308</v>
      </c>
      <c r="J625">
        <v>118</v>
      </c>
      <c r="K625" s="1">
        <v>4534</v>
      </c>
      <c r="L625">
        <v>2</v>
      </c>
      <c r="M625">
        <v>77</v>
      </c>
      <c r="N625">
        <v>120</v>
      </c>
      <c r="O625" t="s">
        <v>63</v>
      </c>
      <c r="P625" t="s">
        <v>26</v>
      </c>
      <c r="Q625" s="10">
        <v>42</v>
      </c>
      <c r="R625" s="10">
        <v>33</v>
      </c>
      <c r="S625" s="10">
        <v>26</v>
      </c>
      <c r="T625" s="10">
        <v>92</v>
      </c>
      <c r="U625" s="10">
        <v>0</v>
      </c>
      <c r="V625" s="10">
        <v>13</v>
      </c>
      <c r="W625" s="10">
        <v>3</v>
      </c>
    </row>
    <row r="626" spans="1:23" ht="60.75">
      <c r="A626" s="2" t="s">
        <v>1084</v>
      </c>
      <c r="B626" s="2" t="s">
        <v>1085</v>
      </c>
      <c r="C626">
        <v>1</v>
      </c>
      <c r="D626" s="5">
        <v>33491</v>
      </c>
      <c r="E626">
        <v>49991</v>
      </c>
      <c r="F626">
        <v>9</v>
      </c>
      <c r="G626">
        <v>1690192927</v>
      </c>
      <c r="H626" t="str">
        <f t="shared" si="9"/>
        <v>yes</v>
      </c>
      <c r="I626">
        <v>265</v>
      </c>
      <c r="J626">
        <v>121</v>
      </c>
      <c r="K626" s="1">
        <v>12367</v>
      </c>
      <c r="L626">
        <v>4</v>
      </c>
      <c r="M626">
        <v>160</v>
      </c>
      <c r="N626">
        <v>117</v>
      </c>
      <c r="O626" t="s">
        <v>29</v>
      </c>
      <c r="P626" t="s">
        <v>26</v>
      </c>
      <c r="Q626" s="10">
        <v>52</v>
      </c>
      <c r="R626" s="10">
        <v>73</v>
      </c>
      <c r="S626" s="10">
        <v>91</v>
      </c>
      <c r="T626" s="10">
        <v>0</v>
      </c>
      <c r="U626" s="10">
        <v>0</v>
      </c>
      <c r="V626" s="10">
        <v>11</v>
      </c>
      <c r="W626" s="10">
        <v>7</v>
      </c>
    </row>
    <row r="627" spans="1:23" ht="30.75">
      <c r="A627" s="2" t="s">
        <v>1086</v>
      </c>
      <c r="B627" s="2" t="s">
        <v>1087</v>
      </c>
      <c r="C627">
        <v>1</v>
      </c>
      <c r="D627" s="5">
        <v>43531</v>
      </c>
      <c r="E627">
        <v>6646</v>
      </c>
      <c r="F627">
        <v>0</v>
      </c>
      <c r="G627">
        <v>991336132</v>
      </c>
      <c r="H627" t="str">
        <f t="shared" si="9"/>
        <v>yes</v>
      </c>
      <c r="I627">
        <v>107</v>
      </c>
      <c r="J627">
        <v>47</v>
      </c>
      <c r="K627">
        <v>584</v>
      </c>
      <c r="L627">
        <v>1</v>
      </c>
      <c r="N627">
        <v>72</v>
      </c>
      <c r="O627" t="s">
        <v>37</v>
      </c>
      <c r="P627" t="s">
        <v>41</v>
      </c>
      <c r="Q627" s="10">
        <v>45</v>
      </c>
      <c r="R627" s="10">
        <v>27</v>
      </c>
      <c r="S627" s="10">
        <v>33</v>
      </c>
      <c r="T627" s="10">
        <v>82</v>
      </c>
      <c r="U627" s="10">
        <v>0</v>
      </c>
      <c r="V627" s="10">
        <v>14</v>
      </c>
      <c r="W627" s="10">
        <v>4</v>
      </c>
    </row>
    <row r="628" spans="1:23" ht="45.75">
      <c r="A628" s="2" t="s">
        <v>1088</v>
      </c>
      <c r="B628" s="2" t="s">
        <v>1089</v>
      </c>
      <c r="C628">
        <v>2</v>
      </c>
      <c r="D628" s="5">
        <v>44442</v>
      </c>
      <c r="E628">
        <v>5403</v>
      </c>
      <c r="F628">
        <v>6</v>
      </c>
      <c r="G628">
        <v>593917618</v>
      </c>
      <c r="H628" t="str">
        <f t="shared" si="9"/>
        <v>yes</v>
      </c>
      <c r="I628">
        <v>118</v>
      </c>
      <c r="J628">
        <v>116</v>
      </c>
      <c r="K628">
        <v>96</v>
      </c>
      <c r="L628">
        <v>0</v>
      </c>
      <c r="M628">
        <v>3</v>
      </c>
      <c r="N628">
        <v>168</v>
      </c>
      <c r="O628" t="s">
        <v>29</v>
      </c>
      <c r="P628" t="s">
        <v>26</v>
      </c>
      <c r="Q628" s="10">
        <v>67</v>
      </c>
      <c r="R628" s="10">
        <v>29</v>
      </c>
      <c r="S628" s="10">
        <v>47</v>
      </c>
      <c r="T628" s="10">
        <v>5</v>
      </c>
      <c r="U628" s="10">
        <v>0</v>
      </c>
      <c r="V628" s="10">
        <v>22</v>
      </c>
      <c r="W628" s="10">
        <v>26</v>
      </c>
    </row>
    <row r="629" spans="1:23">
      <c r="A629" s="2" t="s">
        <v>1088</v>
      </c>
      <c r="B629" s="2" t="s">
        <v>1090</v>
      </c>
      <c r="C629">
        <v>2</v>
      </c>
      <c r="D629" s="5">
        <v>44511</v>
      </c>
      <c r="E629">
        <v>755</v>
      </c>
      <c r="F629">
        <v>4</v>
      </c>
      <c r="G629">
        <v>200972675</v>
      </c>
      <c r="H629" t="str">
        <f t="shared" si="9"/>
        <v>yes</v>
      </c>
      <c r="I629">
        <v>22</v>
      </c>
      <c r="J629">
        <v>3</v>
      </c>
      <c r="K629">
        <v>0</v>
      </c>
      <c r="L629">
        <v>0</v>
      </c>
      <c r="M629">
        <v>0</v>
      </c>
      <c r="N629">
        <v>94</v>
      </c>
      <c r="O629" t="s">
        <v>29</v>
      </c>
      <c r="P629" t="s">
        <v>26</v>
      </c>
      <c r="Q629" s="10">
        <v>52</v>
      </c>
      <c r="R629" s="10">
        <v>68</v>
      </c>
      <c r="S629" s="10">
        <v>69</v>
      </c>
      <c r="T629" s="10">
        <v>13</v>
      </c>
      <c r="U629" s="10">
        <v>0</v>
      </c>
      <c r="V629" s="10">
        <v>33</v>
      </c>
      <c r="W629" s="10">
        <v>8</v>
      </c>
    </row>
    <row r="630" spans="1:23" ht="30.75">
      <c r="A630" s="2" t="s">
        <v>1091</v>
      </c>
      <c r="B630" s="2" t="s">
        <v>1092</v>
      </c>
      <c r="C630">
        <v>1</v>
      </c>
      <c r="D630" s="5">
        <v>44571</v>
      </c>
      <c r="E630">
        <v>254</v>
      </c>
      <c r="F630">
        <v>0</v>
      </c>
      <c r="G630">
        <v>71014967</v>
      </c>
      <c r="H630" t="str">
        <f t="shared" si="9"/>
        <v>no</v>
      </c>
      <c r="I630">
        <v>0</v>
      </c>
      <c r="J630">
        <v>4</v>
      </c>
      <c r="K630">
        <v>23</v>
      </c>
      <c r="L630">
        <v>0</v>
      </c>
      <c r="M630">
        <v>0</v>
      </c>
      <c r="N630">
        <v>145</v>
      </c>
      <c r="O630" t="s">
        <v>63</v>
      </c>
      <c r="P630" t="s">
        <v>26</v>
      </c>
      <c r="Q630" s="10">
        <v>41</v>
      </c>
      <c r="R630" s="10">
        <v>65</v>
      </c>
      <c r="S630" s="10">
        <v>88</v>
      </c>
      <c r="T630" s="10">
        <v>0</v>
      </c>
      <c r="U630" s="10">
        <v>0</v>
      </c>
      <c r="V630" s="10">
        <v>26</v>
      </c>
      <c r="W630" s="10">
        <v>5</v>
      </c>
    </row>
    <row r="631" spans="1:23" ht="45.75">
      <c r="A631" s="2" t="s">
        <v>1093</v>
      </c>
      <c r="B631" s="2" t="s">
        <v>1094</v>
      </c>
      <c r="C631">
        <v>2</v>
      </c>
      <c r="D631" s="5">
        <v>44435</v>
      </c>
      <c r="E631">
        <v>6308</v>
      </c>
      <c r="F631">
        <v>5</v>
      </c>
      <c r="G631">
        <v>560222750</v>
      </c>
      <c r="H631" t="str">
        <f t="shared" si="9"/>
        <v>yes</v>
      </c>
      <c r="I631">
        <v>114</v>
      </c>
      <c r="J631">
        <v>15</v>
      </c>
      <c r="K631">
        <v>63</v>
      </c>
      <c r="L631">
        <v>0</v>
      </c>
      <c r="M631">
        <v>2</v>
      </c>
      <c r="N631">
        <v>134</v>
      </c>
      <c r="O631" t="s">
        <v>29</v>
      </c>
      <c r="P631" t="s">
        <v>26</v>
      </c>
      <c r="Q631" s="10">
        <v>71</v>
      </c>
      <c r="R631" s="10">
        <v>14</v>
      </c>
      <c r="S631" s="10">
        <v>61</v>
      </c>
      <c r="T631" s="10">
        <v>1</v>
      </c>
      <c r="U631" s="10">
        <v>0</v>
      </c>
      <c r="V631" s="10">
        <v>23</v>
      </c>
      <c r="W631" s="10">
        <v>33</v>
      </c>
    </row>
    <row r="632" spans="1:23">
      <c r="A632" s="2" t="s">
        <v>1095</v>
      </c>
      <c r="B632" s="2" t="s">
        <v>1096</v>
      </c>
      <c r="C632">
        <v>1</v>
      </c>
      <c r="D632" s="5">
        <v>37887</v>
      </c>
      <c r="E632">
        <v>51979</v>
      </c>
      <c r="F632">
        <v>15</v>
      </c>
      <c r="G632">
        <v>1806617704</v>
      </c>
      <c r="H632" t="str">
        <f t="shared" si="9"/>
        <v>yes</v>
      </c>
      <c r="I632">
        <v>306</v>
      </c>
      <c r="J632">
        <v>99</v>
      </c>
      <c r="K632" s="1">
        <v>5063</v>
      </c>
      <c r="L632">
        <v>2</v>
      </c>
      <c r="M632">
        <v>120</v>
      </c>
      <c r="N632">
        <v>148</v>
      </c>
      <c r="O632" t="s">
        <v>29</v>
      </c>
      <c r="P632" t="s">
        <v>26</v>
      </c>
      <c r="Q632" s="10">
        <v>35</v>
      </c>
      <c r="R632" s="10">
        <v>24</v>
      </c>
      <c r="S632" s="10">
        <v>93</v>
      </c>
      <c r="T632" s="10">
        <v>0</v>
      </c>
      <c r="U632" s="10">
        <v>0</v>
      </c>
      <c r="V632" s="10">
        <v>10</v>
      </c>
      <c r="W632" s="10">
        <v>8</v>
      </c>
    </row>
    <row r="633" spans="1:23" ht="60.75">
      <c r="A633" s="2" t="s">
        <v>1097</v>
      </c>
      <c r="B633" s="2" t="s">
        <v>1098</v>
      </c>
      <c r="C633">
        <v>1</v>
      </c>
      <c r="D633" s="5">
        <v>44571</v>
      </c>
      <c r="E633">
        <v>246</v>
      </c>
      <c r="F633">
        <v>0</v>
      </c>
      <c r="G633">
        <v>77337771</v>
      </c>
      <c r="H633" t="str">
        <f t="shared" si="9"/>
        <v>no</v>
      </c>
      <c r="I633">
        <v>2</v>
      </c>
      <c r="J633">
        <v>12</v>
      </c>
      <c r="K633">
        <v>10</v>
      </c>
      <c r="L633">
        <v>0</v>
      </c>
      <c r="M633">
        <v>0</v>
      </c>
      <c r="N633">
        <v>127</v>
      </c>
      <c r="O633" t="s">
        <v>98</v>
      </c>
      <c r="P633" t="s">
        <v>41</v>
      </c>
      <c r="Q633" s="10">
        <v>60</v>
      </c>
      <c r="R633" s="10">
        <v>40</v>
      </c>
      <c r="S633" s="10">
        <v>89</v>
      </c>
      <c r="T633" s="10">
        <v>9</v>
      </c>
      <c r="U633" s="10">
        <v>0</v>
      </c>
      <c r="V633" s="10">
        <v>60</v>
      </c>
      <c r="W633" s="10">
        <v>6</v>
      </c>
    </row>
    <row r="634" spans="1:23">
      <c r="A634" s="2" t="s">
        <v>1099</v>
      </c>
      <c r="B634" s="2" t="s">
        <v>1100</v>
      </c>
      <c r="C634">
        <v>3</v>
      </c>
      <c r="D634" s="5">
        <v>44371</v>
      </c>
      <c r="E634">
        <v>6556</v>
      </c>
      <c r="F634">
        <v>0</v>
      </c>
      <c r="G634">
        <v>528544703</v>
      </c>
      <c r="H634" t="str">
        <f t="shared" si="9"/>
        <v>yes</v>
      </c>
      <c r="I634">
        <v>93</v>
      </c>
      <c r="J634">
        <v>5</v>
      </c>
      <c r="K634">
        <v>67</v>
      </c>
      <c r="L634">
        <v>1</v>
      </c>
      <c r="M634">
        <v>0</v>
      </c>
      <c r="N634">
        <v>172</v>
      </c>
      <c r="O634" t="s">
        <v>53</v>
      </c>
      <c r="P634" t="s">
        <v>41</v>
      </c>
      <c r="Q634" s="10">
        <v>74</v>
      </c>
      <c r="R634" s="10">
        <v>79</v>
      </c>
      <c r="S634" s="10">
        <v>66</v>
      </c>
      <c r="T634" s="10">
        <v>11</v>
      </c>
      <c r="U634" s="10">
        <v>0</v>
      </c>
      <c r="V634" s="10">
        <v>8</v>
      </c>
      <c r="W634" s="10">
        <v>16</v>
      </c>
    </row>
    <row r="635" spans="1:23">
      <c r="A635" s="2" t="s">
        <v>1101</v>
      </c>
      <c r="B635" s="2" t="s">
        <v>1102</v>
      </c>
      <c r="C635">
        <v>1</v>
      </c>
      <c r="D635" s="5">
        <v>43776</v>
      </c>
      <c r="E635">
        <v>5728</v>
      </c>
      <c r="F635">
        <v>0</v>
      </c>
      <c r="G635">
        <v>865640097</v>
      </c>
      <c r="H635" t="str">
        <f t="shared" si="9"/>
        <v>yes</v>
      </c>
      <c r="I635">
        <v>85</v>
      </c>
      <c r="J635">
        <v>87</v>
      </c>
      <c r="K635">
        <v>179</v>
      </c>
      <c r="L635">
        <v>0</v>
      </c>
      <c r="M635">
        <v>12</v>
      </c>
      <c r="N635">
        <v>90</v>
      </c>
      <c r="O635" t="s">
        <v>25</v>
      </c>
      <c r="P635" t="s">
        <v>26</v>
      </c>
      <c r="Q635" s="10">
        <v>75</v>
      </c>
      <c r="R635" s="10">
        <v>19</v>
      </c>
      <c r="S635" s="10">
        <v>46</v>
      </c>
      <c r="T635" s="10">
        <v>21</v>
      </c>
      <c r="U635" s="10">
        <v>4</v>
      </c>
      <c r="V635" s="10">
        <v>34</v>
      </c>
      <c r="W635" s="10">
        <v>8</v>
      </c>
    </row>
    <row r="636" spans="1:23">
      <c r="A636" s="2" t="s">
        <v>1101</v>
      </c>
      <c r="B636" s="2" t="s">
        <v>1103</v>
      </c>
      <c r="C636">
        <v>2</v>
      </c>
      <c r="D636" s="5">
        <v>43370</v>
      </c>
      <c r="E636">
        <v>16636</v>
      </c>
      <c r="F636">
        <v>12</v>
      </c>
      <c r="G636">
        <v>2159346687</v>
      </c>
      <c r="H636" t="str">
        <f t="shared" si="9"/>
        <v>yes</v>
      </c>
      <c r="I636">
        <v>368</v>
      </c>
      <c r="J636">
        <v>155</v>
      </c>
      <c r="K636" s="1">
        <v>2854</v>
      </c>
      <c r="L636">
        <v>6</v>
      </c>
      <c r="M636">
        <v>121</v>
      </c>
      <c r="N636">
        <v>96</v>
      </c>
      <c r="O636" t="s">
        <v>72</v>
      </c>
      <c r="P636" t="s">
        <v>26</v>
      </c>
      <c r="Q636" s="10">
        <v>57</v>
      </c>
      <c r="R636" s="10">
        <v>30</v>
      </c>
      <c r="S636" s="10">
        <v>40</v>
      </c>
      <c r="T636" s="10">
        <v>38</v>
      </c>
      <c r="U636" s="10">
        <v>0</v>
      </c>
      <c r="V636" s="10">
        <v>26</v>
      </c>
      <c r="W636" s="10">
        <v>3</v>
      </c>
    </row>
    <row r="637" spans="1:23">
      <c r="A637" s="2" t="s">
        <v>1101</v>
      </c>
      <c r="B637" s="2" t="s">
        <v>1104</v>
      </c>
      <c r="C637">
        <v>1</v>
      </c>
      <c r="D637" s="5">
        <v>44571</v>
      </c>
      <c r="E637">
        <v>461</v>
      </c>
      <c r="F637">
        <v>0</v>
      </c>
      <c r="G637">
        <v>211372494</v>
      </c>
      <c r="H637" t="str">
        <f t="shared" si="9"/>
        <v>yes</v>
      </c>
      <c r="I637">
        <v>10</v>
      </c>
      <c r="J637">
        <v>56</v>
      </c>
      <c r="K637">
        <v>17</v>
      </c>
      <c r="L637">
        <v>0</v>
      </c>
      <c r="M637">
        <v>0</v>
      </c>
      <c r="N637">
        <v>138</v>
      </c>
      <c r="O637" t="s">
        <v>72</v>
      </c>
      <c r="P637" t="s">
        <v>41</v>
      </c>
      <c r="Q637" s="10">
        <v>74</v>
      </c>
      <c r="R637" s="10">
        <v>65</v>
      </c>
      <c r="S637" s="10">
        <v>67</v>
      </c>
      <c r="T637" s="10">
        <v>46</v>
      </c>
      <c r="U637" s="10">
        <v>0</v>
      </c>
      <c r="V637" s="10">
        <v>36</v>
      </c>
      <c r="W637" s="10">
        <v>4</v>
      </c>
    </row>
    <row r="638" spans="1:23" ht="60.75">
      <c r="A638" s="2" t="s">
        <v>1101</v>
      </c>
      <c r="B638" s="2" t="s">
        <v>1105</v>
      </c>
      <c r="C638">
        <v>2</v>
      </c>
      <c r="D638" s="5">
        <v>44314</v>
      </c>
      <c r="E638">
        <v>4893</v>
      </c>
      <c r="F638">
        <v>4</v>
      </c>
      <c r="G638">
        <v>651732901</v>
      </c>
      <c r="H638" t="str">
        <f t="shared" si="9"/>
        <v>yes</v>
      </c>
      <c r="I638">
        <v>143</v>
      </c>
      <c r="J638">
        <v>24</v>
      </c>
      <c r="K638">
        <v>110</v>
      </c>
      <c r="L638">
        <v>0</v>
      </c>
      <c r="M638">
        <v>70</v>
      </c>
      <c r="N638">
        <v>120</v>
      </c>
      <c r="O638" t="s">
        <v>72</v>
      </c>
      <c r="P638" t="s">
        <v>26</v>
      </c>
      <c r="Q638" s="10">
        <v>72</v>
      </c>
      <c r="R638" s="10">
        <v>67</v>
      </c>
      <c r="S638" s="10">
        <v>72</v>
      </c>
      <c r="T638" s="10">
        <v>0</v>
      </c>
      <c r="U638" s="10">
        <v>0</v>
      </c>
      <c r="V638" s="10">
        <v>13</v>
      </c>
      <c r="W638" s="10">
        <v>4</v>
      </c>
    </row>
    <row r="639" spans="1:23" ht="30.75">
      <c r="A639" s="2" t="s">
        <v>1101</v>
      </c>
      <c r="B639" s="2" t="s">
        <v>1106</v>
      </c>
      <c r="C639">
        <v>1</v>
      </c>
      <c r="D639" s="5">
        <v>44386</v>
      </c>
      <c r="E639">
        <v>1801</v>
      </c>
      <c r="F639">
        <v>2</v>
      </c>
      <c r="G639">
        <v>608334048</v>
      </c>
      <c r="H639" t="str">
        <f t="shared" si="9"/>
        <v>yes</v>
      </c>
      <c r="I639">
        <v>77</v>
      </c>
      <c r="J639">
        <v>134</v>
      </c>
      <c r="K639">
        <v>74</v>
      </c>
      <c r="L639">
        <v>0</v>
      </c>
      <c r="M639">
        <v>2</v>
      </c>
      <c r="N639">
        <v>125</v>
      </c>
      <c r="O639" t="s">
        <v>37</v>
      </c>
      <c r="P639" t="s">
        <v>26</v>
      </c>
      <c r="Q639" s="10">
        <v>70</v>
      </c>
      <c r="R639" s="10">
        <v>65</v>
      </c>
      <c r="S639" s="10">
        <v>74</v>
      </c>
      <c r="T639" s="10">
        <v>1</v>
      </c>
      <c r="U639" s="10">
        <v>0</v>
      </c>
      <c r="V639" s="10">
        <v>34</v>
      </c>
      <c r="W639" s="10">
        <v>4</v>
      </c>
    </row>
    <row r="640" spans="1:23" ht="76.5">
      <c r="A640" s="2" t="s">
        <v>1101</v>
      </c>
      <c r="B640" s="2" t="s">
        <v>1107</v>
      </c>
      <c r="C640">
        <v>4</v>
      </c>
      <c r="D640" s="5">
        <v>44211</v>
      </c>
      <c r="E640">
        <v>12043</v>
      </c>
      <c r="F640">
        <v>0</v>
      </c>
      <c r="G640">
        <v>863756573</v>
      </c>
      <c r="H640" t="str">
        <f t="shared" si="9"/>
        <v>yes</v>
      </c>
      <c r="I640">
        <v>209</v>
      </c>
      <c r="J640">
        <v>54</v>
      </c>
      <c r="K640">
        <v>710</v>
      </c>
      <c r="L640">
        <v>0</v>
      </c>
      <c r="M640">
        <v>18</v>
      </c>
      <c r="N640">
        <v>123</v>
      </c>
      <c r="O640" t="s">
        <v>51</v>
      </c>
      <c r="P640" t="s">
        <v>26</v>
      </c>
      <c r="Q640" s="10">
        <v>82</v>
      </c>
      <c r="R640" s="10">
        <v>80</v>
      </c>
      <c r="S640" s="10">
        <v>86</v>
      </c>
      <c r="T640" s="10">
        <v>1</v>
      </c>
      <c r="U640" s="10">
        <v>0</v>
      </c>
      <c r="V640" s="10">
        <v>30</v>
      </c>
      <c r="W640" s="10">
        <v>13</v>
      </c>
    </row>
    <row r="641" spans="1:23">
      <c r="A641" s="2" t="s">
        <v>1101</v>
      </c>
      <c r="B641" s="2" t="s">
        <v>1108</v>
      </c>
      <c r="C641">
        <v>1</v>
      </c>
      <c r="D641" s="5">
        <v>44295</v>
      </c>
      <c r="E641">
        <v>4731</v>
      </c>
      <c r="F641">
        <v>0</v>
      </c>
      <c r="G641">
        <v>797402345</v>
      </c>
      <c r="H641" t="str">
        <f t="shared" si="9"/>
        <v>yes</v>
      </c>
      <c r="I641">
        <v>141</v>
      </c>
      <c r="J641">
        <v>12</v>
      </c>
      <c r="K641">
        <v>78</v>
      </c>
      <c r="L641">
        <v>0</v>
      </c>
      <c r="M641">
        <v>0</v>
      </c>
      <c r="N641">
        <v>81</v>
      </c>
      <c r="O641" t="s">
        <v>53</v>
      </c>
      <c r="P641" t="s">
        <v>26</v>
      </c>
      <c r="Q641" s="10">
        <v>79</v>
      </c>
      <c r="R641" s="10">
        <v>44</v>
      </c>
      <c r="S641" s="10">
        <v>54</v>
      </c>
      <c r="T641" s="10">
        <v>41</v>
      </c>
      <c r="U641" s="10">
        <v>0</v>
      </c>
      <c r="V641" s="10">
        <v>13</v>
      </c>
      <c r="W641" s="10">
        <v>24</v>
      </c>
    </row>
    <row r="642" spans="1:23">
      <c r="A642" s="2" t="s">
        <v>1109</v>
      </c>
      <c r="B642" s="2" t="s">
        <v>1110</v>
      </c>
      <c r="C642">
        <v>2</v>
      </c>
      <c r="D642" s="5">
        <v>37402</v>
      </c>
      <c r="E642">
        <v>22923</v>
      </c>
      <c r="F642">
        <v>0</v>
      </c>
      <c r="G642">
        <v>1695712020</v>
      </c>
      <c r="H642" t="str">
        <f t="shared" ref="H642:H705" si="10">IF(G642&gt;$Z$2,$Z$4,$Z$5)</f>
        <v>yes</v>
      </c>
      <c r="I642">
        <v>78</v>
      </c>
      <c r="J642">
        <v>46</v>
      </c>
      <c r="K642" s="1">
        <v>2515</v>
      </c>
      <c r="L642">
        <v>1</v>
      </c>
      <c r="M642">
        <v>0</v>
      </c>
      <c r="N642">
        <v>171</v>
      </c>
      <c r="O642" t="s">
        <v>29</v>
      </c>
      <c r="P642" t="s">
        <v>26</v>
      </c>
      <c r="Q642" s="10">
        <v>55</v>
      </c>
      <c r="R642" s="10">
        <v>10</v>
      </c>
      <c r="S642" s="10">
        <v>85</v>
      </c>
      <c r="T642" s="10">
        <v>7</v>
      </c>
      <c r="U642" s="10">
        <v>0</v>
      </c>
      <c r="V642" s="10">
        <v>8</v>
      </c>
      <c r="W642" s="10">
        <v>20</v>
      </c>
    </row>
    <row r="643" spans="1:23">
      <c r="A643" s="2" t="s">
        <v>1111</v>
      </c>
      <c r="B643" s="2" t="s">
        <v>1112</v>
      </c>
      <c r="C643">
        <v>1</v>
      </c>
      <c r="D643" s="5">
        <v>43728</v>
      </c>
      <c r="E643">
        <v>9974</v>
      </c>
      <c r="F643">
        <v>2</v>
      </c>
      <c r="G643">
        <v>1759567999</v>
      </c>
      <c r="H643" t="str">
        <f t="shared" si="10"/>
        <v>yes</v>
      </c>
      <c r="I643">
        <v>272</v>
      </c>
      <c r="J643">
        <v>67</v>
      </c>
      <c r="K643" s="1">
        <v>1066</v>
      </c>
      <c r="L643">
        <v>1</v>
      </c>
      <c r="M643">
        <v>19</v>
      </c>
      <c r="N643">
        <v>91</v>
      </c>
      <c r="O643" t="s">
        <v>25</v>
      </c>
      <c r="P643" t="s">
        <v>26</v>
      </c>
      <c r="Q643" s="10">
        <v>77</v>
      </c>
      <c r="R643" s="10">
        <v>60</v>
      </c>
      <c r="S643" s="10">
        <v>32</v>
      </c>
      <c r="T643" s="10">
        <v>84</v>
      </c>
      <c r="U643" s="10">
        <v>0</v>
      </c>
      <c r="V643" s="10">
        <v>8</v>
      </c>
      <c r="W643" s="10">
        <v>5</v>
      </c>
    </row>
    <row r="644" spans="1:23">
      <c r="A644" s="2" t="s">
        <v>1113</v>
      </c>
      <c r="B644" s="2" t="s">
        <v>1114</v>
      </c>
      <c r="C644">
        <v>8</v>
      </c>
      <c r="D644" s="5">
        <v>44420</v>
      </c>
      <c r="E644">
        <v>1560</v>
      </c>
      <c r="F644">
        <v>0</v>
      </c>
      <c r="G644">
        <v>223319934</v>
      </c>
      <c r="H644" t="str">
        <f t="shared" si="10"/>
        <v>yes</v>
      </c>
      <c r="I644">
        <v>72</v>
      </c>
      <c r="J644">
        <v>0</v>
      </c>
      <c r="K644">
        <v>0</v>
      </c>
      <c r="L644">
        <v>0</v>
      </c>
      <c r="M644">
        <v>0</v>
      </c>
      <c r="N644">
        <v>84</v>
      </c>
      <c r="O644" t="s">
        <v>72</v>
      </c>
      <c r="P644" t="s">
        <v>41</v>
      </c>
      <c r="Q644" s="10">
        <v>56</v>
      </c>
      <c r="R644" s="10">
        <v>61</v>
      </c>
      <c r="S644" s="10">
        <v>76</v>
      </c>
      <c r="T644" s="10">
        <v>10</v>
      </c>
      <c r="U644" s="10">
        <v>0</v>
      </c>
      <c r="V644" s="10">
        <v>14</v>
      </c>
      <c r="W644" s="10">
        <v>11</v>
      </c>
    </row>
    <row r="645" spans="1:23" ht="30.75">
      <c r="A645" s="2" t="s">
        <v>1113</v>
      </c>
      <c r="B645" s="2" t="s">
        <v>1115</v>
      </c>
      <c r="C645">
        <v>2</v>
      </c>
      <c r="D645" s="5">
        <v>44568</v>
      </c>
      <c r="E645">
        <v>620</v>
      </c>
      <c r="F645">
        <v>0</v>
      </c>
      <c r="G645">
        <v>54937991</v>
      </c>
      <c r="H645" t="str">
        <f t="shared" si="10"/>
        <v>no</v>
      </c>
      <c r="I645">
        <v>17</v>
      </c>
      <c r="J645">
        <v>3</v>
      </c>
      <c r="K645">
        <v>3</v>
      </c>
      <c r="L645">
        <v>0</v>
      </c>
      <c r="M645">
        <v>0</v>
      </c>
      <c r="N645">
        <v>115</v>
      </c>
      <c r="O645" t="s">
        <v>32</v>
      </c>
      <c r="P645" t="s">
        <v>41</v>
      </c>
      <c r="Q645" s="10">
        <v>90</v>
      </c>
      <c r="R645" s="10">
        <v>74</v>
      </c>
      <c r="S645" s="10">
        <v>54</v>
      </c>
      <c r="T645" s="10">
        <v>16</v>
      </c>
      <c r="U645" s="10">
        <v>0</v>
      </c>
      <c r="V645" s="10">
        <v>13</v>
      </c>
      <c r="W645" s="10">
        <v>28</v>
      </c>
    </row>
    <row r="646" spans="1:23" ht="60.75">
      <c r="A646" s="2" t="s">
        <v>1116</v>
      </c>
      <c r="B646" s="2" t="s">
        <v>1117</v>
      </c>
      <c r="C646">
        <v>2</v>
      </c>
      <c r="D646" s="5">
        <v>44559</v>
      </c>
      <c r="E646">
        <v>3270</v>
      </c>
      <c r="F646">
        <v>0</v>
      </c>
      <c r="G646">
        <v>226897599</v>
      </c>
      <c r="H646" t="str">
        <f t="shared" si="10"/>
        <v>yes</v>
      </c>
      <c r="I646">
        <v>89</v>
      </c>
      <c r="J646">
        <v>21</v>
      </c>
      <c r="K646">
        <v>65</v>
      </c>
      <c r="L646">
        <v>0</v>
      </c>
      <c r="M646">
        <v>0</v>
      </c>
      <c r="N646">
        <v>125</v>
      </c>
      <c r="P646" t="s">
        <v>26</v>
      </c>
      <c r="Q646" s="10">
        <v>69</v>
      </c>
      <c r="R646" s="10">
        <v>70</v>
      </c>
      <c r="S646" s="10">
        <v>89</v>
      </c>
      <c r="T646" s="10">
        <v>4</v>
      </c>
      <c r="U646" s="10">
        <v>0</v>
      </c>
      <c r="V646" s="10">
        <v>49</v>
      </c>
      <c r="W646" s="10">
        <v>3</v>
      </c>
    </row>
    <row r="647" spans="1:23" ht="30.75">
      <c r="A647" s="2" t="s">
        <v>1118</v>
      </c>
      <c r="B647" s="2" t="s">
        <v>1119</v>
      </c>
      <c r="C647">
        <v>2</v>
      </c>
      <c r="D647" s="5">
        <v>44483</v>
      </c>
      <c r="E647">
        <v>580</v>
      </c>
      <c r="F647">
        <v>0</v>
      </c>
      <c r="G647">
        <v>258316038</v>
      </c>
      <c r="H647" t="str">
        <f t="shared" si="10"/>
        <v>yes</v>
      </c>
      <c r="I647">
        <v>24</v>
      </c>
      <c r="J647">
        <v>92</v>
      </c>
      <c r="K647">
        <v>93</v>
      </c>
      <c r="L647">
        <v>0</v>
      </c>
      <c r="M647">
        <v>0</v>
      </c>
      <c r="N647">
        <v>122</v>
      </c>
      <c r="O647" t="s">
        <v>53</v>
      </c>
      <c r="P647" t="s">
        <v>41</v>
      </c>
      <c r="Q647" s="10">
        <v>80</v>
      </c>
      <c r="R647" s="10">
        <v>62</v>
      </c>
      <c r="S647" s="10">
        <v>69</v>
      </c>
      <c r="T647" s="10">
        <v>28</v>
      </c>
      <c r="U647" s="10">
        <v>0</v>
      </c>
      <c r="V647" s="10">
        <v>13</v>
      </c>
      <c r="W647" s="10">
        <v>7</v>
      </c>
    </row>
    <row r="648" spans="1:23">
      <c r="A648" s="2" t="s">
        <v>1120</v>
      </c>
      <c r="B648" s="2" t="s">
        <v>1121</v>
      </c>
      <c r="C648">
        <v>2</v>
      </c>
      <c r="D648" s="5">
        <v>44315</v>
      </c>
      <c r="E648">
        <v>3406</v>
      </c>
      <c r="F648">
        <v>16</v>
      </c>
      <c r="G648">
        <v>596152090</v>
      </c>
      <c r="H648" t="str">
        <f t="shared" si="10"/>
        <v>yes</v>
      </c>
      <c r="I648">
        <v>61</v>
      </c>
      <c r="J648">
        <v>23</v>
      </c>
      <c r="K648">
        <v>70</v>
      </c>
      <c r="L648">
        <v>1</v>
      </c>
      <c r="M648">
        <v>0</v>
      </c>
      <c r="N648">
        <v>92</v>
      </c>
      <c r="O648" t="s">
        <v>51</v>
      </c>
      <c r="P648" t="s">
        <v>26</v>
      </c>
      <c r="Q648" s="10">
        <v>85</v>
      </c>
      <c r="R648" s="10">
        <v>92</v>
      </c>
      <c r="S648" s="10">
        <v>54</v>
      </c>
      <c r="T648" s="10">
        <v>16</v>
      </c>
      <c r="U648" s="10">
        <v>0</v>
      </c>
      <c r="V648" s="10">
        <v>29</v>
      </c>
      <c r="W648" s="10">
        <v>7</v>
      </c>
    </row>
    <row r="649" spans="1:23">
      <c r="A649" s="2" t="s">
        <v>1122</v>
      </c>
      <c r="B649" s="2" t="s">
        <v>1123</v>
      </c>
      <c r="C649">
        <v>3</v>
      </c>
      <c r="D649" s="5">
        <v>44518</v>
      </c>
      <c r="E649">
        <v>903</v>
      </c>
      <c r="F649">
        <v>0</v>
      </c>
      <c r="G649">
        <v>177129919</v>
      </c>
      <c r="H649" t="str">
        <f t="shared" si="10"/>
        <v>no</v>
      </c>
      <c r="I649">
        <v>30</v>
      </c>
      <c r="J649">
        <v>26</v>
      </c>
      <c r="K649">
        <v>15</v>
      </c>
      <c r="L649">
        <v>0</v>
      </c>
      <c r="M649">
        <v>0</v>
      </c>
      <c r="N649">
        <v>90</v>
      </c>
      <c r="O649" t="s">
        <v>53</v>
      </c>
      <c r="P649" t="s">
        <v>41</v>
      </c>
      <c r="Q649" s="10">
        <v>63</v>
      </c>
      <c r="R649" s="10">
        <v>75</v>
      </c>
      <c r="S649" s="10">
        <v>75</v>
      </c>
      <c r="T649" s="10">
        <v>17</v>
      </c>
      <c r="U649" s="10">
        <v>0</v>
      </c>
      <c r="V649" s="10">
        <v>11</v>
      </c>
      <c r="W649" s="10">
        <v>8</v>
      </c>
    </row>
    <row r="650" spans="1:23">
      <c r="A650" s="2" t="s">
        <v>1124</v>
      </c>
      <c r="B650" s="2" t="s">
        <v>1125</v>
      </c>
      <c r="C650">
        <v>2</v>
      </c>
      <c r="D650" s="5">
        <v>44602</v>
      </c>
      <c r="E650">
        <v>6809</v>
      </c>
      <c r="F650">
        <v>28</v>
      </c>
      <c r="G650">
        <v>716591492</v>
      </c>
      <c r="H650" t="str">
        <f t="shared" si="10"/>
        <v>yes</v>
      </c>
      <c r="I650">
        <v>151</v>
      </c>
      <c r="J650">
        <v>102</v>
      </c>
      <c r="K650">
        <v>175</v>
      </c>
      <c r="L650">
        <v>5</v>
      </c>
      <c r="M650">
        <v>29</v>
      </c>
      <c r="N650">
        <v>94</v>
      </c>
      <c r="O650" t="s">
        <v>98</v>
      </c>
      <c r="P650" t="s">
        <v>41</v>
      </c>
      <c r="Q650" s="10">
        <v>84</v>
      </c>
      <c r="R650" s="10">
        <v>90</v>
      </c>
      <c r="S650" s="10">
        <v>70</v>
      </c>
      <c r="T650" s="10">
        <v>9</v>
      </c>
      <c r="U650" s="10">
        <v>0</v>
      </c>
      <c r="V650" s="10">
        <v>14</v>
      </c>
      <c r="W650" s="10">
        <v>8</v>
      </c>
    </row>
    <row r="651" spans="1:23">
      <c r="A651" s="2" t="s">
        <v>1126</v>
      </c>
      <c r="B651" s="2" t="s">
        <v>1127</v>
      </c>
      <c r="C651">
        <v>2</v>
      </c>
      <c r="D651" s="5">
        <v>36161</v>
      </c>
      <c r="E651">
        <v>33966</v>
      </c>
      <c r="F651">
        <v>0</v>
      </c>
      <c r="G651">
        <v>1210599487</v>
      </c>
      <c r="H651" t="str">
        <f t="shared" si="10"/>
        <v>yes</v>
      </c>
      <c r="I651">
        <v>141</v>
      </c>
      <c r="J651">
        <v>78</v>
      </c>
      <c r="K651" s="1">
        <v>6591</v>
      </c>
      <c r="L651">
        <v>1</v>
      </c>
      <c r="M651">
        <v>0</v>
      </c>
      <c r="N651">
        <v>93</v>
      </c>
      <c r="O651" t="s">
        <v>25</v>
      </c>
      <c r="P651" t="s">
        <v>26</v>
      </c>
      <c r="Q651" s="10">
        <v>81</v>
      </c>
      <c r="R651" s="10">
        <v>53</v>
      </c>
      <c r="S651" s="10">
        <v>78</v>
      </c>
      <c r="T651" s="10">
        <v>18</v>
      </c>
      <c r="U651" s="10">
        <v>0</v>
      </c>
      <c r="V651" s="10">
        <v>6</v>
      </c>
      <c r="W651" s="10">
        <v>24</v>
      </c>
    </row>
    <row r="652" spans="1:23" ht="45.75">
      <c r="A652" s="2" t="s">
        <v>1128</v>
      </c>
      <c r="B652" s="2" t="s">
        <v>1129</v>
      </c>
      <c r="C652">
        <v>1</v>
      </c>
      <c r="D652" s="5">
        <v>44603</v>
      </c>
      <c r="E652">
        <v>590</v>
      </c>
      <c r="F652">
        <v>5</v>
      </c>
      <c r="G652">
        <v>246376690</v>
      </c>
      <c r="H652" t="str">
        <f t="shared" si="10"/>
        <v>yes</v>
      </c>
      <c r="I652">
        <v>4</v>
      </c>
      <c r="J652">
        <v>113</v>
      </c>
      <c r="K652">
        <v>20</v>
      </c>
      <c r="L652">
        <v>0</v>
      </c>
      <c r="M652">
        <v>1</v>
      </c>
      <c r="N652">
        <v>130</v>
      </c>
      <c r="O652" t="s">
        <v>51</v>
      </c>
      <c r="P652" t="s">
        <v>41</v>
      </c>
      <c r="Q652" s="10">
        <v>51</v>
      </c>
      <c r="R652" s="10">
        <v>50</v>
      </c>
      <c r="S652" s="10">
        <v>76</v>
      </c>
      <c r="T652" s="10">
        <v>30</v>
      </c>
      <c r="U652" s="10">
        <v>0</v>
      </c>
      <c r="V652" s="10">
        <v>10</v>
      </c>
      <c r="W652" s="10">
        <v>7</v>
      </c>
    </row>
    <row r="653" spans="1:23">
      <c r="A653" s="2" t="s">
        <v>1130</v>
      </c>
      <c r="B653" s="2" t="s">
        <v>1131</v>
      </c>
      <c r="C653">
        <v>1</v>
      </c>
      <c r="D653" s="5">
        <v>44603</v>
      </c>
      <c r="E653">
        <v>3766</v>
      </c>
      <c r="F653">
        <v>0</v>
      </c>
      <c r="G653">
        <v>496311364</v>
      </c>
      <c r="H653" t="str">
        <f t="shared" si="10"/>
        <v>yes</v>
      </c>
      <c r="I653">
        <v>76</v>
      </c>
      <c r="J653">
        <v>0</v>
      </c>
      <c r="K653">
        <v>102</v>
      </c>
      <c r="L653">
        <v>0</v>
      </c>
      <c r="M653">
        <v>2</v>
      </c>
      <c r="N653">
        <v>180</v>
      </c>
      <c r="O653" t="s">
        <v>72</v>
      </c>
      <c r="P653" t="s">
        <v>41</v>
      </c>
      <c r="Q653" s="10">
        <v>35</v>
      </c>
      <c r="R653" s="10">
        <v>23</v>
      </c>
      <c r="S653" s="10">
        <v>61</v>
      </c>
      <c r="T653" s="10">
        <v>23</v>
      </c>
      <c r="U653" s="10">
        <v>0</v>
      </c>
      <c r="V653" s="10">
        <v>19</v>
      </c>
      <c r="W653" s="10">
        <v>6</v>
      </c>
    </row>
    <row r="654" spans="1:23" ht="60.75">
      <c r="A654" s="2" t="s">
        <v>1132</v>
      </c>
      <c r="B654" s="2" t="s">
        <v>1133</v>
      </c>
      <c r="C654">
        <v>2</v>
      </c>
      <c r="D654" s="5">
        <v>44603</v>
      </c>
      <c r="E654">
        <v>1430</v>
      </c>
      <c r="F654">
        <v>0</v>
      </c>
      <c r="G654">
        <v>146789379</v>
      </c>
      <c r="H654" t="str">
        <f t="shared" si="10"/>
        <v>no</v>
      </c>
      <c r="I654">
        <v>46</v>
      </c>
      <c r="J654">
        <v>1</v>
      </c>
      <c r="K654">
        <v>34</v>
      </c>
      <c r="L654">
        <v>0</v>
      </c>
      <c r="M654">
        <v>0</v>
      </c>
      <c r="N654">
        <v>134</v>
      </c>
      <c r="P654" t="s">
        <v>26</v>
      </c>
      <c r="Q654" s="10">
        <v>53</v>
      </c>
      <c r="R654" s="10">
        <v>31</v>
      </c>
      <c r="S654" s="10">
        <v>31</v>
      </c>
      <c r="T654" s="10">
        <v>92</v>
      </c>
      <c r="U654" s="10">
        <v>0</v>
      </c>
      <c r="V654" s="10">
        <v>28</v>
      </c>
      <c r="W654" s="10">
        <v>3</v>
      </c>
    </row>
    <row r="655" spans="1:23" ht="30.75">
      <c r="A655" s="2" t="s">
        <v>1134</v>
      </c>
      <c r="B655" s="2" t="s">
        <v>1135</v>
      </c>
      <c r="C655">
        <v>2</v>
      </c>
      <c r="D655" s="5">
        <v>36161</v>
      </c>
      <c r="E655">
        <v>31762</v>
      </c>
      <c r="F655">
        <v>0</v>
      </c>
      <c r="G655">
        <v>843309044</v>
      </c>
      <c r="H655" t="str">
        <f t="shared" si="10"/>
        <v>yes</v>
      </c>
      <c r="I655">
        <v>142</v>
      </c>
      <c r="J655">
        <v>40</v>
      </c>
      <c r="K655" s="1">
        <v>5451</v>
      </c>
      <c r="L655">
        <v>1</v>
      </c>
      <c r="M655">
        <v>953</v>
      </c>
      <c r="N655">
        <v>95</v>
      </c>
      <c r="O655" t="s">
        <v>196</v>
      </c>
      <c r="P655" t="s">
        <v>41</v>
      </c>
      <c r="Q655" s="10">
        <v>92</v>
      </c>
      <c r="R655" s="10">
        <v>31</v>
      </c>
      <c r="S655" s="10">
        <v>89</v>
      </c>
      <c r="T655" s="10">
        <v>3</v>
      </c>
      <c r="U655" s="10">
        <v>0</v>
      </c>
      <c r="V655" s="10">
        <v>8</v>
      </c>
      <c r="W655" s="10">
        <v>25</v>
      </c>
    </row>
    <row r="656" spans="1:23">
      <c r="A656" s="2" t="s">
        <v>1136</v>
      </c>
      <c r="B656" s="2" t="s">
        <v>1137</v>
      </c>
      <c r="C656">
        <v>1</v>
      </c>
      <c r="D656" s="5">
        <v>44580</v>
      </c>
      <c r="E656">
        <v>4049</v>
      </c>
      <c r="F656">
        <v>0</v>
      </c>
      <c r="G656">
        <v>500340342</v>
      </c>
      <c r="H656" t="str">
        <f t="shared" si="10"/>
        <v>yes</v>
      </c>
      <c r="I656">
        <v>119</v>
      </c>
      <c r="J656">
        <v>6</v>
      </c>
      <c r="K656">
        <v>85</v>
      </c>
      <c r="L656">
        <v>1</v>
      </c>
      <c r="M656">
        <v>1</v>
      </c>
      <c r="N656">
        <v>184</v>
      </c>
      <c r="O656" t="s">
        <v>53</v>
      </c>
      <c r="P656" t="s">
        <v>26</v>
      </c>
      <c r="Q656" s="10">
        <v>69</v>
      </c>
      <c r="R656" s="10">
        <v>91</v>
      </c>
      <c r="S656" s="10">
        <v>63</v>
      </c>
      <c r="T656" s="10">
        <v>11</v>
      </c>
      <c r="U656" s="10">
        <v>0</v>
      </c>
      <c r="V656" s="10">
        <v>9</v>
      </c>
      <c r="W656" s="10">
        <v>31</v>
      </c>
    </row>
    <row r="657" spans="1:23">
      <c r="A657" s="2" t="s">
        <v>1136</v>
      </c>
      <c r="B657" s="2" t="s">
        <v>1138</v>
      </c>
      <c r="C657">
        <v>3</v>
      </c>
      <c r="D657" s="5">
        <v>44603</v>
      </c>
      <c r="E657">
        <v>2096</v>
      </c>
      <c r="F657">
        <v>0</v>
      </c>
      <c r="G657">
        <v>107255472</v>
      </c>
      <c r="H657" t="str">
        <f t="shared" si="10"/>
        <v>no</v>
      </c>
      <c r="I657">
        <v>34</v>
      </c>
      <c r="J657">
        <v>3</v>
      </c>
      <c r="K657">
        <v>30</v>
      </c>
      <c r="L657">
        <v>0</v>
      </c>
      <c r="M657">
        <v>0</v>
      </c>
      <c r="N657">
        <v>147</v>
      </c>
      <c r="O657" t="s">
        <v>63</v>
      </c>
      <c r="P657" t="s">
        <v>41</v>
      </c>
      <c r="Q657" s="10">
        <v>47</v>
      </c>
      <c r="R657" s="10">
        <v>50</v>
      </c>
      <c r="S657" s="10">
        <v>80</v>
      </c>
      <c r="T657" s="10">
        <v>10</v>
      </c>
      <c r="U657" s="10">
        <v>0</v>
      </c>
      <c r="V657" s="10">
        <v>32</v>
      </c>
      <c r="W657" s="10">
        <v>38</v>
      </c>
    </row>
    <row r="658" spans="1:23">
      <c r="A658" s="2" t="s">
        <v>1139</v>
      </c>
      <c r="B658" s="2" t="s">
        <v>1140</v>
      </c>
      <c r="C658">
        <v>2</v>
      </c>
      <c r="D658" s="5">
        <v>44594</v>
      </c>
      <c r="E658">
        <v>1175</v>
      </c>
      <c r="F658">
        <v>0</v>
      </c>
      <c r="G658">
        <v>135079152</v>
      </c>
      <c r="H658" t="str">
        <f t="shared" si="10"/>
        <v>no</v>
      </c>
      <c r="I658">
        <v>34</v>
      </c>
      <c r="J658">
        <v>1</v>
      </c>
      <c r="K658">
        <v>31</v>
      </c>
      <c r="L658">
        <v>0</v>
      </c>
      <c r="M658">
        <v>0</v>
      </c>
      <c r="N658">
        <v>123</v>
      </c>
      <c r="O658" t="s">
        <v>72</v>
      </c>
      <c r="P658" t="s">
        <v>26</v>
      </c>
      <c r="Q658" s="10">
        <v>52</v>
      </c>
      <c r="R658" s="10">
        <v>44</v>
      </c>
      <c r="S658" s="10">
        <v>60</v>
      </c>
      <c r="T658" s="10">
        <v>40</v>
      </c>
      <c r="U658" s="10">
        <v>0</v>
      </c>
      <c r="V658" s="10">
        <v>26</v>
      </c>
      <c r="W658" s="10">
        <v>3</v>
      </c>
    </row>
    <row r="659" spans="1:23" ht="60.75">
      <c r="A659" s="2" t="s">
        <v>1141</v>
      </c>
      <c r="B659" s="2" t="s">
        <v>1142</v>
      </c>
      <c r="C659">
        <v>1</v>
      </c>
      <c r="D659" s="5">
        <v>40909</v>
      </c>
      <c r="E659">
        <v>29499</v>
      </c>
      <c r="F659">
        <v>11</v>
      </c>
      <c r="G659">
        <v>822239726</v>
      </c>
      <c r="H659" t="str">
        <f t="shared" si="10"/>
        <v>yes</v>
      </c>
      <c r="I659">
        <v>124</v>
      </c>
      <c r="J659">
        <v>27</v>
      </c>
      <c r="K659">
        <v>587</v>
      </c>
      <c r="L659">
        <v>0</v>
      </c>
      <c r="M659">
        <v>4</v>
      </c>
      <c r="N659">
        <v>123</v>
      </c>
      <c r="O659" t="s">
        <v>128</v>
      </c>
      <c r="P659" t="s">
        <v>41</v>
      </c>
      <c r="Q659" s="10">
        <v>91</v>
      </c>
      <c r="R659" s="10">
        <v>49</v>
      </c>
      <c r="S659" s="10">
        <v>61</v>
      </c>
      <c r="T659" s="10">
        <v>3</v>
      </c>
      <c r="U659" s="10">
        <v>0</v>
      </c>
      <c r="V659" s="10">
        <v>17</v>
      </c>
      <c r="W659" s="10">
        <v>22</v>
      </c>
    </row>
    <row r="660" spans="1:23">
      <c r="A660" s="2" t="s">
        <v>1143</v>
      </c>
      <c r="B660" s="2" t="s">
        <v>1144</v>
      </c>
      <c r="C660">
        <v>1</v>
      </c>
      <c r="D660" s="5">
        <v>37257</v>
      </c>
      <c r="E660">
        <v>30427</v>
      </c>
      <c r="F660">
        <v>7</v>
      </c>
      <c r="G660">
        <v>1202722675</v>
      </c>
      <c r="H660" t="str">
        <f t="shared" si="10"/>
        <v>yes</v>
      </c>
      <c r="I660">
        <v>235</v>
      </c>
      <c r="J660">
        <v>106</v>
      </c>
      <c r="K660" s="1">
        <v>5221</v>
      </c>
      <c r="L660">
        <v>1</v>
      </c>
      <c r="M660">
        <v>35</v>
      </c>
      <c r="N660">
        <v>90</v>
      </c>
      <c r="O660" t="s">
        <v>53</v>
      </c>
      <c r="P660" t="s">
        <v>41</v>
      </c>
      <c r="Q660" s="10">
        <v>90</v>
      </c>
      <c r="R660" s="10">
        <v>79</v>
      </c>
      <c r="S660" s="10">
        <v>71</v>
      </c>
      <c r="T660" s="10">
        <v>26</v>
      </c>
      <c r="U660" s="10">
        <v>0</v>
      </c>
      <c r="V660" s="10">
        <v>7</v>
      </c>
      <c r="W660" s="10">
        <v>37</v>
      </c>
    </row>
    <row r="661" spans="1:23" ht="30.75">
      <c r="A661" s="2" t="s">
        <v>1143</v>
      </c>
      <c r="B661" s="2" t="s">
        <v>1145</v>
      </c>
      <c r="C661">
        <v>1</v>
      </c>
      <c r="D661" s="5">
        <v>44596</v>
      </c>
      <c r="E661">
        <v>2711</v>
      </c>
      <c r="F661">
        <v>0</v>
      </c>
      <c r="G661">
        <v>343197054</v>
      </c>
      <c r="H661" t="str">
        <f t="shared" si="10"/>
        <v>yes</v>
      </c>
      <c r="I661">
        <v>105</v>
      </c>
      <c r="J661">
        <v>12</v>
      </c>
      <c r="K661">
        <v>51</v>
      </c>
      <c r="L661">
        <v>0</v>
      </c>
      <c r="M661">
        <v>12</v>
      </c>
      <c r="N661">
        <v>160</v>
      </c>
      <c r="O661" t="s">
        <v>51</v>
      </c>
      <c r="P661" t="s">
        <v>41</v>
      </c>
      <c r="Q661" s="10">
        <v>61</v>
      </c>
      <c r="R661" s="10">
        <v>65</v>
      </c>
      <c r="S661" s="10">
        <v>64</v>
      </c>
      <c r="T661" s="10">
        <v>1</v>
      </c>
      <c r="U661" s="10">
        <v>0</v>
      </c>
      <c r="V661" s="10">
        <v>12</v>
      </c>
      <c r="W661" s="10">
        <v>4</v>
      </c>
    </row>
    <row r="662" spans="1:23" ht="30.75">
      <c r="A662" s="2" t="s">
        <v>1146</v>
      </c>
      <c r="B662" s="2" t="s">
        <v>1147</v>
      </c>
      <c r="C662">
        <v>1</v>
      </c>
      <c r="D662" s="5">
        <v>41502</v>
      </c>
      <c r="E662">
        <v>4310</v>
      </c>
      <c r="F662">
        <v>0</v>
      </c>
      <c r="G662">
        <v>240769997</v>
      </c>
      <c r="H662" t="str">
        <f t="shared" si="10"/>
        <v>yes</v>
      </c>
      <c r="I662">
        <v>13</v>
      </c>
      <c r="J662">
        <v>0</v>
      </c>
      <c r="K662">
        <v>113</v>
      </c>
      <c r="L662">
        <v>1</v>
      </c>
      <c r="M662">
        <v>3</v>
      </c>
      <c r="N662">
        <v>115</v>
      </c>
      <c r="O662" t="s">
        <v>29</v>
      </c>
      <c r="P662" t="s">
        <v>26</v>
      </c>
      <c r="Q662" s="10">
        <v>60</v>
      </c>
      <c r="R662" s="10">
        <v>37</v>
      </c>
      <c r="S662" s="10">
        <v>71</v>
      </c>
      <c r="T662" s="10">
        <v>8</v>
      </c>
      <c r="U662" s="10">
        <v>0</v>
      </c>
      <c r="V662" s="10">
        <v>48</v>
      </c>
      <c r="W662" s="10">
        <v>4</v>
      </c>
    </row>
    <row r="663" spans="1:23" ht="60.75">
      <c r="A663" s="2" t="s">
        <v>1148</v>
      </c>
      <c r="B663" s="2" t="s">
        <v>1149</v>
      </c>
      <c r="C663">
        <v>2</v>
      </c>
      <c r="D663" s="5">
        <v>43681</v>
      </c>
      <c r="E663">
        <v>5342</v>
      </c>
      <c r="F663">
        <v>0</v>
      </c>
      <c r="G663">
        <v>426204830</v>
      </c>
      <c r="H663" t="str">
        <f t="shared" si="10"/>
        <v>yes</v>
      </c>
      <c r="I663">
        <v>33</v>
      </c>
      <c r="J663">
        <v>123</v>
      </c>
      <c r="K663">
        <v>7</v>
      </c>
      <c r="L663">
        <v>0</v>
      </c>
      <c r="M663">
        <v>4</v>
      </c>
      <c r="N663">
        <v>141</v>
      </c>
      <c r="O663" t="s">
        <v>196</v>
      </c>
      <c r="P663" t="s">
        <v>26</v>
      </c>
      <c r="Q663" s="10">
        <v>37</v>
      </c>
      <c r="R663" s="10">
        <v>17</v>
      </c>
      <c r="S663" s="10">
        <v>67</v>
      </c>
      <c r="T663" s="10">
        <v>2</v>
      </c>
      <c r="U663" s="10">
        <v>0</v>
      </c>
      <c r="V663" s="10">
        <v>34</v>
      </c>
      <c r="W663" s="10">
        <v>9</v>
      </c>
    </row>
    <row r="664" spans="1:23" ht="30.75">
      <c r="A664" s="2" t="s">
        <v>1150</v>
      </c>
      <c r="B664" s="2" t="s">
        <v>1151</v>
      </c>
      <c r="C664">
        <v>1</v>
      </c>
      <c r="D664" s="5">
        <v>42587</v>
      </c>
      <c r="E664">
        <v>2393</v>
      </c>
      <c r="F664">
        <v>0</v>
      </c>
      <c r="G664">
        <v>421135627</v>
      </c>
      <c r="H664" t="str">
        <f t="shared" si="10"/>
        <v>yes</v>
      </c>
      <c r="I664">
        <v>22</v>
      </c>
      <c r="J664">
        <v>13</v>
      </c>
      <c r="K664">
        <v>65</v>
      </c>
      <c r="L664">
        <v>0</v>
      </c>
      <c r="M664">
        <v>6</v>
      </c>
      <c r="N664">
        <v>160</v>
      </c>
      <c r="O664" t="s">
        <v>37</v>
      </c>
      <c r="P664" t="s">
        <v>26</v>
      </c>
      <c r="Q664" s="10">
        <v>31</v>
      </c>
      <c r="R664" s="10">
        <v>30</v>
      </c>
      <c r="S664" s="10">
        <v>88</v>
      </c>
      <c r="T664" s="10">
        <v>7</v>
      </c>
      <c r="U664" s="10">
        <v>0</v>
      </c>
      <c r="V664" s="10">
        <v>8</v>
      </c>
      <c r="W664" s="10">
        <v>8</v>
      </c>
    </row>
    <row r="665" spans="1:23" ht="45.75">
      <c r="A665" s="2" t="s">
        <v>1152</v>
      </c>
      <c r="B665" s="2" t="s">
        <v>1153</v>
      </c>
      <c r="C665">
        <v>1</v>
      </c>
      <c r="D665" s="5">
        <v>43742</v>
      </c>
      <c r="E665">
        <v>3444</v>
      </c>
      <c r="F665">
        <v>7</v>
      </c>
      <c r="G665">
        <v>554875730</v>
      </c>
      <c r="H665" t="str">
        <f t="shared" si="10"/>
        <v>yes</v>
      </c>
      <c r="I665">
        <v>24</v>
      </c>
      <c r="J665">
        <v>85</v>
      </c>
      <c r="K665">
        <v>102</v>
      </c>
      <c r="L665">
        <v>0</v>
      </c>
      <c r="M665">
        <v>1</v>
      </c>
      <c r="N665">
        <v>145</v>
      </c>
      <c r="O665" t="s">
        <v>25</v>
      </c>
      <c r="P665" t="s">
        <v>26</v>
      </c>
      <c r="Q665" s="10">
        <v>57</v>
      </c>
      <c r="R665" s="10">
        <v>23</v>
      </c>
      <c r="S665" s="10">
        <v>66</v>
      </c>
      <c r="T665" s="10">
        <v>4</v>
      </c>
      <c r="U665" s="10">
        <v>6</v>
      </c>
      <c r="V665" s="10">
        <v>15</v>
      </c>
      <c r="W665" s="10">
        <v>4</v>
      </c>
    </row>
    <row r="666" spans="1:23" ht="60.75">
      <c r="A666" s="2" t="s">
        <v>1154</v>
      </c>
      <c r="B666" s="2" t="s">
        <v>1155</v>
      </c>
      <c r="C666">
        <v>1</v>
      </c>
      <c r="D666" s="5">
        <v>43637</v>
      </c>
      <c r="E666">
        <v>5443</v>
      </c>
      <c r="F666">
        <v>0</v>
      </c>
      <c r="G666">
        <v>467727006</v>
      </c>
      <c r="H666" t="str">
        <f t="shared" si="10"/>
        <v>yes</v>
      </c>
      <c r="I666">
        <v>45</v>
      </c>
      <c r="J666">
        <v>1</v>
      </c>
      <c r="K666">
        <v>80</v>
      </c>
      <c r="L666">
        <v>0</v>
      </c>
      <c r="M666">
        <v>12</v>
      </c>
      <c r="N666">
        <v>89</v>
      </c>
      <c r="P666" t="s">
        <v>41</v>
      </c>
      <c r="Q666" s="10">
        <v>46</v>
      </c>
      <c r="R666" s="10">
        <v>43</v>
      </c>
      <c r="S666" s="10">
        <v>43</v>
      </c>
      <c r="T666" s="10">
        <v>23</v>
      </c>
      <c r="U666" s="10">
        <v>8</v>
      </c>
      <c r="V666" s="10">
        <v>8</v>
      </c>
      <c r="W666" s="10">
        <v>22</v>
      </c>
    </row>
    <row r="667" spans="1:23">
      <c r="A667" s="2" t="s">
        <v>1156</v>
      </c>
      <c r="B667" s="2" t="s">
        <v>1157</v>
      </c>
      <c r="C667">
        <v>3</v>
      </c>
      <c r="D667" s="5">
        <v>44036</v>
      </c>
      <c r="E667">
        <v>272</v>
      </c>
      <c r="F667">
        <v>4</v>
      </c>
      <c r="G667">
        <v>327498031</v>
      </c>
      <c r="H667" t="str">
        <f t="shared" si="10"/>
        <v>yes</v>
      </c>
      <c r="I667">
        <v>7</v>
      </c>
      <c r="J667">
        <v>21</v>
      </c>
      <c r="K667">
        <v>2</v>
      </c>
      <c r="L667">
        <v>0</v>
      </c>
      <c r="M667">
        <v>0</v>
      </c>
      <c r="N667">
        <v>95</v>
      </c>
      <c r="O667" t="s">
        <v>32</v>
      </c>
      <c r="P667" t="s">
        <v>41</v>
      </c>
      <c r="Q667" s="10">
        <v>84</v>
      </c>
      <c r="R667" s="10">
        <v>49</v>
      </c>
      <c r="S667" s="10">
        <v>72</v>
      </c>
      <c r="T667" s="10">
        <v>8</v>
      </c>
      <c r="U667" s="10">
        <v>0</v>
      </c>
      <c r="V667" s="10">
        <v>15</v>
      </c>
      <c r="W667" s="10">
        <v>8</v>
      </c>
    </row>
    <row r="668" spans="1:23" ht="30.75">
      <c r="A668" s="2" t="s">
        <v>1158</v>
      </c>
      <c r="B668" s="2" t="s">
        <v>1159</v>
      </c>
      <c r="C668">
        <v>1</v>
      </c>
      <c r="D668" s="5">
        <v>44540</v>
      </c>
      <c r="E668">
        <v>975</v>
      </c>
      <c r="F668">
        <v>0</v>
      </c>
      <c r="G668">
        <v>185408548</v>
      </c>
      <c r="H668" t="str">
        <f t="shared" si="10"/>
        <v>no</v>
      </c>
      <c r="I668">
        <v>11</v>
      </c>
      <c r="J668">
        <v>0</v>
      </c>
      <c r="K668">
        <v>10</v>
      </c>
      <c r="L668">
        <v>0</v>
      </c>
      <c r="M668">
        <v>0</v>
      </c>
      <c r="N668">
        <v>160</v>
      </c>
      <c r="O668" t="s">
        <v>51</v>
      </c>
      <c r="P668" t="s">
        <v>26</v>
      </c>
      <c r="Q668" s="10">
        <v>60</v>
      </c>
      <c r="R668" s="10">
        <v>47</v>
      </c>
      <c r="S668" s="10">
        <v>62</v>
      </c>
      <c r="T668" s="10">
        <v>3</v>
      </c>
      <c r="U668" s="10">
        <v>0</v>
      </c>
      <c r="V668" s="10">
        <v>38</v>
      </c>
      <c r="W668" s="10">
        <v>4</v>
      </c>
    </row>
    <row r="669" spans="1:23" ht="91.5">
      <c r="A669" s="2" t="s">
        <v>1160</v>
      </c>
      <c r="B669" s="2" t="s">
        <v>1161</v>
      </c>
      <c r="C669">
        <v>7</v>
      </c>
      <c r="D669" s="5">
        <v>44575</v>
      </c>
      <c r="E669">
        <v>1034</v>
      </c>
      <c r="F669">
        <v>1</v>
      </c>
      <c r="G669">
        <v>245400167</v>
      </c>
      <c r="H669" t="str">
        <f t="shared" si="10"/>
        <v>yes</v>
      </c>
      <c r="I669">
        <v>19</v>
      </c>
      <c r="J669">
        <v>5</v>
      </c>
      <c r="K669">
        <v>12</v>
      </c>
      <c r="L669">
        <v>0</v>
      </c>
      <c r="M669">
        <v>0</v>
      </c>
      <c r="N669">
        <v>174</v>
      </c>
      <c r="O669" t="s">
        <v>32</v>
      </c>
      <c r="P669" t="s">
        <v>41</v>
      </c>
      <c r="Q669" s="10">
        <v>67</v>
      </c>
      <c r="R669" s="10">
        <v>74</v>
      </c>
      <c r="S669" s="10">
        <v>75</v>
      </c>
      <c r="T669" s="10">
        <v>44</v>
      </c>
      <c r="U669" s="10">
        <v>0</v>
      </c>
      <c r="V669" s="10">
        <v>7</v>
      </c>
      <c r="W669" s="10">
        <v>30</v>
      </c>
    </row>
    <row r="670" spans="1:23" ht="60.75">
      <c r="A670" s="2" t="s">
        <v>1162</v>
      </c>
      <c r="B670" s="2" t="s">
        <v>1163</v>
      </c>
      <c r="C670">
        <v>3</v>
      </c>
      <c r="D670" s="5">
        <v>35061</v>
      </c>
      <c r="E670">
        <v>18773</v>
      </c>
      <c r="F670">
        <v>0</v>
      </c>
      <c r="G670">
        <v>579395142</v>
      </c>
      <c r="H670" t="str">
        <f t="shared" si="10"/>
        <v>yes</v>
      </c>
      <c r="I670">
        <v>128</v>
      </c>
      <c r="J670">
        <v>17</v>
      </c>
      <c r="K670" s="1">
        <v>1663</v>
      </c>
      <c r="L670">
        <v>0</v>
      </c>
      <c r="M670">
        <v>0</v>
      </c>
      <c r="N670">
        <v>92</v>
      </c>
      <c r="O670" t="s">
        <v>72</v>
      </c>
      <c r="P670" t="s">
        <v>26</v>
      </c>
      <c r="Q670" s="10">
        <v>77</v>
      </c>
      <c r="R670" s="10">
        <v>76</v>
      </c>
      <c r="S670" s="10">
        <v>84</v>
      </c>
      <c r="T670" s="10">
        <v>3</v>
      </c>
      <c r="U670" s="10">
        <v>0</v>
      </c>
      <c r="V670" s="10">
        <v>38</v>
      </c>
      <c r="W670" s="10">
        <v>4</v>
      </c>
    </row>
    <row r="671" spans="1:23" ht="30.75">
      <c r="A671" s="2" t="s">
        <v>1164</v>
      </c>
      <c r="B671" s="2" t="s">
        <v>1165</v>
      </c>
      <c r="C671">
        <v>2</v>
      </c>
      <c r="D671" s="5">
        <v>36161</v>
      </c>
      <c r="E671">
        <v>19067</v>
      </c>
      <c r="F671">
        <v>0</v>
      </c>
      <c r="G671">
        <v>675039469</v>
      </c>
      <c r="H671" t="str">
        <f t="shared" si="10"/>
        <v>yes</v>
      </c>
      <c r="I671">
        <v>78</v>
      </c>
      <c r="J671">
        <v>15</v>
      </c>
      <c r="K671" s="1">
        <v>1674</v>
      </c>
      <c r="L671">
        <v>0</v>
      </c>
      <c r="M671">
        <v>3</v>
      </c>
      <c r="N671">
        <v>134</v>
      </c>
      <c r="O671" t="s">
        <v>63</v>
      </c>
      <c r="P671" t="s">
        <v>26</v>
      </c>
      <c r="Q671" s="10">
        <v>93</v>
      </c>
      <c r="R671" s="10">
        <v>61</v>
      </c>
      <c r="S671" s="10">
        <v>74</v>
      </c>
      <c r="T671" s="10">
        <v>9</v>
      </c>
      <c r="U671" s="10">
        <v>0</v>
      </c>
      <c r="V671" s="10">
        <v>17</v>
      </c>
      <c r="W671" s="10">
        <v>8</v>
      </c>
    </row>
    <row r="672" spans="1:23" ht="45.75">
      <c r="A672" s="2" t="s">
        <v>1166</v>
      </c>
      <c r="B672" s="2" t="s">
        <v>1167</v>
      </c>
      <c r="C672">
        <v>2</v>
      </c>
      <c r="D672" s="5">
        <v>44519</v>
      </c>
      <c r="E672">
        <v>3541</v>
      </c>
      <c r="F672">
        <v>2</v>
      </c>
      <c r="G672">
        <v>252871192</v>
      </c>
      <c r="H672" t="str">
        <f t="shared" si="10"/>
        <v>yes</v>
      </c>
      <c r="I672">
        <v>57</v>
      </c>
      <c r="J672">
        <v>13</v>
      </c>
      <c r="K672">
        <v>50</v>
      </c>
      <c r="L672">
        <v>1</v>
      </c>
      <c r="M672">
        <v>7</v>
      </c>
      <c r="N672">
        <v>172</v>
      </c>
      <c r="O672" t="s">
        <v>25</v>
      </c>
      <c r="P672" t="s">
        <v>41</v>
      </c>
      <c r="Q672" s="10">
        <v>31</v>
      </c>
      <c r="R672" s="10">
        <v>4</v>
      </c>
      <c r="S672" s="10">
        <v>86</v>
      </c>
      <c r="T672" s="10">
        <v>1</v>
      </c>
      <c r="U672" s="10">
        <v>0</v>
      </c>
      <c r="V672" s="10">
        <v>28</v>
      </c>
      <c r="W672" s="10">
        <v>17</v>
      </c>
    </row>
    <row r="673" spans="1:23">
      <c r="A673" s="2" t="s">
        <v>1168</v>
      </c>
      <c r="B673" s="2" t="s">
        <v>1169</v>
      </c>
      <c r="C673">
        <v>1</v>
      </c>
      <c r="D673" s="5">
        <v>44547</v>
      </c>
      <c r="E673">
        <v>1492</v>
      </c>
      <c r="F673">
        <v>0</v>
      </c>
      <c r="G673">
        <v>231996128</v>
      </c>
      <c r="H673" t="str">
        <f t="shared" si="10"/>
        <v>yes</v>
      </c>
      <c r="I673">
        <v>44</v>
      </c>
      <c r="J673">
        <v>63</v>
      </c>
      <c r="K673">
        <v>91</v>
      </c>
      <c r="L673">
        <v>0</v>
      </c>
      <c r="M673">
        <v>24</v>
      </c>
      <c r="N673">
        <v>80</v>
      </c>
      <c r="O673" t="s">
        <v>37</v>
      </c>
      <c r="P673" t="s">
        <v>26</v>
      </c>
      <c r="Q673" s="10">
        <v>76</v>
      </c>
      <c r="R673" s="10">
        <v>92</v>
      </c>
      <c r="S673" s="10">
        <v>62</v>
      </c>
      <c r="T673" s="10">
        <v>6</v>
      </c>
      <c r="U673" s="10">
        <v>0</v>
      </c>
      <c r="V673" s="10">
        <v>8</v>
      </c>
      <c r="W673" s="10">
        <v>13</v>
      </c>
    </row>
    <row r="674" spans="1:23">
      <c r="A674" s="2" t="s">
        <v>1170</v>
      </c>
      <c r="B674" s="2" t="s">
        <v>1171</v>
      </c>
      <c r="C674">
        <v>1</v>
      </c>
      <c r="D674" s="5">
        <v>42824</v>
      </c>
      <c r="E674">
        <v>33206</v>
      </c>
      <c r="F674">
        <v>1</v>
      </c>
      <c r="G674">
        <v>1929770265</v>
      </c>
      <c r="H674" t="str">
        <f t="shared" si="10"/>
        <v>yes</v>
      </c>
      <c r="I674">
        <v>284</v>
      </c>
      <c r="J674">
        <v>114</v>
      </c>
      <c r="K674" s="1">
        <v>1481</v>
      </c>
      <c r="L674">
        <v>0</v>
      </c>
      <c r="M674">
        <v>5</v>
      </c>
      <c r="N674">
        <v>150</v>
      </c>
      <c r="O674" t="s">
        <v>29</v>
      </c>
      <c r="P674" t="s">
        <v>41</v>
      </c>
      <c r="Q674" s="10">
        <v>91</v>
      </c>
      <c r="R674" s="10">
        <v>42</v>
      </c>
      <c r="S674" s="10">
        <v>60</v>
      </c>
      <c r="T674" s="10">
        <v>0</v>
      </c>
      <c r="U674" s="10">
        <v>0</v>
      </c>
      <c r="V674" s="10">
        <v>9</v>
      </c>
      <c r="W674" s="10">
        <v>12</v>
      </c>
    </row>
    <row r="675" spans="1:23">
      <c r="A675" s="2" t="s">
        <v>1170</v>
      </c>
      <c r="B675" s="2" t="s">
        <v>1172</v>
      </c>
      <c r="C675">
        <v>2</v>
      </c>
      <c r="D675" s="5">
        <v>36485</v>
      </c>
      <c r="E675">
        <v>17115</v>
      </c>
      <c r="F675">
        <v>0</v>
      </c>
      <c r="G675">
        <v>918915401</v>
      </c>
      <c r="H675" t="str">
        <f t="shared" si="10"/>
        <v>yes</v>
      </c>
      <c r="I675">
        <v>83</v>
      </c>
      <c r="J675">
        <v>63</v>
      </c>
      <c r="K675" s="1">
        <v>4180</v>
      </c>
      <c r="L675">
        <v>0</v>
      </c>
      <c r="M675">
        <v>0</v>
      </c>
      <c r="N675">
        <v>80</v>
      </c>
      <c r="O675" t="s">
        <v>53</v>
      </c>
      <c r="P675" t="s">
        <v>41</v>
      </c>
      <c r="Q675" s="10">
        <v>78</v>
      </c>
      <c r="R675" s="10">
        <v>53</v>
      </c>
      <c r="S675" s="10">
        <v>74</v>
      </c>
      <c r="T675" s="10">
        <v>4</v>
      </c>
      <c r="U675" s="10">
        <v>0</v>
      </c>
      <c r="V675" s="10">
        <v>45</v>
      </c>
      <c r="W675" s="10">
        <v>21</v>
      </c>
    </row>
    <row r="676" spans="1:23">
      <c r="A676" s="2" t="s">
        <v>1170</v>
      </c>
      <c r="B676" s="2" t="s">
        <v>1173</v>
      </c>
      <c r="C676">
        <v>2</v>
      </c>
      <c r="D676" s="5">
        <v>43846</v>
      </c>
      <c r="E676">
        <v>6955</v>
      </c>
      <c r="F676">
        <v>0</v>
      </c>
      <c r="G676">
        <v>1180896317</v>
      </c>
      <c r="H676" t="str">
        <f t="shared" si="10"/>
        <v>yes</v>
      </c>
      <c r="I676">
        <v>65</v>
      </c>
      <c r="J676">
        <v>45</v>
      </c>
      <c r="K676">
        <v>398</v>
      </c>
      <c r="L676">
        <v>0</v>
      </c>
      <c r="M676">
        <v>1</v>
      </c>
      <c r="N676">
        <v>166</v>
      </c>
      <c r="O676" t="s">
        <v>128</v>
      </c>
      <c r="P676" t="s">
        <v>41</v>
      </c>
      <c r="Q676" s="10">
        <v>81</v>
      </c>
      <c r="R676" s="10">
        <v>83</v>
      </c>
      <c r="S676" s="10">
        <v>75</v>
      </c>
      <c r="T676" s="10">
        <v>14</v>
      </c>
      <c r="U676" s="10">
        <v>0</v>
      </c>
      <c r="V676" s="10">
        <v>29</v>
      </c>
      <c r="W676" s="10">
        <v>34</v>
      </c>
    </row>
    <row r="677" spans="1:23" ht="30.75">
      <c r="A677" s="2" t="s">
        <v>1174</v>
      </c>
      <c r="B677" s="2" t="s">
        <v>1175</v>
      </c>
      <c r="C677">
        <v>1</v>
      </c>
      <c r="D677" s="5">
        <v>43012</v>
      </c>
      <c r="E677">
        <v>2742</v>
      </c>
      <c r="F677">
        <v>0</v>
      </c>
      <c r="G677">
        <v>498960285</v>
      </c>
      <c r="H677" t="str">
        <f t="shared" si="10"/>
        <v>yes</v>
      </c>
      <c r="I677">
        <v>5</v>
      </c>
      <c r="J677">
        <v>1</v>
      </c>
      <c r="K677">
        <v>62</v>
      </c>
      <c r="L677">
        <v>0</v>
      </c>
      <c r="M677">
        <v>0</v>
      </c>
      <c r="N677">
        <v>120</v>
      </c>
      <c r="O677" t="s">
        <v>63</v>
      </c>
      <c r="P677" t="s">
        <v>26</v>
      </c>
      <c r="Q677" s="10">
        <v>67</v>
      </c>
      <c r="R677" s="10">
        <v>8</v>
      </c>
      <c r="S677" s="10">
        <v>54</v>
      </c>
      <c r="T677" s="10">
        <v>27</v>
      </c>
      <c r="U677" s="10">
        <v>0</v>
      </c>
      <c r="V677" s="10">
        <v>8</v>
      </c>
      <c r="W677" s="10">
        <v>4</v>
      </c>
    </row>
    <row r="678" spans="1:23" ht="30.75">
      <c r="A678" s="2" t="s">
        <v>1176</v>
      </c>
      <c r="B678" s="2" t="s">
        <v>1177</v>
      </c>
      <c r="C678">
        <v>1</v>
      </c>
      <c r="D678" s="5">
        <v>43890</v>
      </c>
      <c r="E678">
        <v>4214</v>
      </c>
      <c r="F678">
        <v>11</v>
      </c>
      <c r="G678">
        <v>685071800</v>
      </c>
      <c r="H678" t="str">
        <f t="shared" si="10"/>
        <v>yes</v>
      </c>
      <c r="I678">
        <v>21</v>
      </c>
      <c r="J678">
        <v>20</v>
      </c>
      <c r="K678">
        <v>40</v>
      </c>
      <c r="L678">
        <v>0</v>
      </c>
      <c r="M678">
        <v>0</v>
      </c>
      <c r="N678">
        <v>92</v>
      </c>
      <c r="P678" t="s">
        <v>26</v>
      </c>
      <c r="Q678" s="10">
        <v>86</v>
      </c>
      <c r="R678" s="10">
        <v>89</v>
      </c>
      <c r="S678" s="10">
        <v>79</v>
      </c>
      <c r="T678" s="10">
        <v>17</v>
      </c>
      <c r="U678" s="10">
        <v>0</v>
      </c>
      <c r="V678" s="10">
        <v>11</v>
      </c>
      <c r="W678" s="10">
        <v>6</v>
      </c>
    </row>
    <row r="679" spans="1:23" ht="30.75">
      <c r="A679" s="2" t="s">
        <v>1178</v>
      </c>
      <c r="B679" s="2" t="s">
        <v>1179</v>
      </c>
      <c r="C679">
        <v>1</v>
      </c>
      <c r="D679" s="5">
        <v>44589</v>
      </c>
      <c r="E679">
        <v>2026</v>
      </c>
      <c r="F679">
        <v>0</v>
      </c>
      <c r="G679">
        <v>258714692</v>
      </c>
      <c r="H679" t="str">
        <f t="shared" si="10"/>
        <v>yes</v>
      </c>
      <c r="I679">
        <v>47</v>
      </c>
      <c r="J679">
        <v>3</v>
      </c>
      <c r="K679">
        <v>42</v>
      </c>
      <c r="L679">
        <v>12</v>
      </c>
      <c r="M679">
        <v>6</v>
      </c>
      <c r="N679">
        <v>85</v>
      </c>
      <c r="O679" t="s">
        <v>63</v>
      </c>
      <c r="P679" t="s">
        <v>41</v>
      </c>
      <c r="Q679" s="10">
        <v>74</v>
      </c>
      <c r="R679" s="10">
        <v>61</v>
      </c>
      <c r="S679" s="10">
        <v>52</v>
      </c>
      <c r="T679" s="10">
        <v>30</v>
      </c>
      <c r="U679" s="10">
        <v>0</v>
      </c>
      <c r="V679" s="10">
        <v>26</v>
      </c>
      <c r="W679" s="10">
        <v>9</v>
      </c>
    </row>
    <row r="680" spans="1:23" ht="30.75">
      <c r="A680" s="2" t="s">
        <v>1180</v>
      </c>
      <c r="B680" s="2">
        <v>212</v>
      </c>
      <c r="C680">
        <v>2</v>
      </c>
      <c r="D680" s="5">
        <v>44576</v>
      </c>
      <c r="E680">
        <v>352</v>
      </c>
      <c r="F680">
        <v>0</v>
      </c>
      <c r="G680">
        <v>143139338</v>
      </c>
      <c r="H680" t="str">
        <f t="shared" si="10"/>
        <v>no</v>
      </c>
      <c r="I680">
        <v>10</v>
      </c>
      <c r="J680">
        <v>0</v>
      </c>
      <c r="K680">
        <v>39</v>
      </c>
      <c r="L680">
        <v>0</v>
      </c>
      <c r="M680">
        <v>0</v>
      </c>
      <c r="N680">
        <v>154</v>
      </c>
      <c r="O680" t="s">
        <v>51</v>
      </c>
      <c r="P680" t="s">
        <v>41</v>
      </c>
      <c r="Q680" s="10">
        <v>79</v>
      </c>
      <c r="R680" s="10">
        <v>86</v>
      </c>
      <c r="S680" s="10">
        <v>52</v>
      </c>
      <c r="T680" s="10">
        <v>66</v>
      </c>
      <c r="U680" s="10">
        <v>0</v>
      </c>
      <c r="V680" s="10">
        <v>9</v>
      </c>
      <c r="W680" s="10">
        <v>7</v>
      </c>
    </row>
    <row r="681" spans="1:23" ht="45.75">
      <c r="A681" s="2" t="s">
        <v>1181</v>
      </c>
      <c r="B681" s="2" t="s">
        <v>1182</v>
      </c>
      <c r="C681">
        <v>2</v>
      </c>
      <c r="D681" s="5">
        <v>44491</v>
      </c>
      <c r="E681">
        <v>1517</v>
      </c>
      <c r="F681">
        <v>0</v>
      </c>
      <c r="G681">
        <v>209768491</v>
      </c>
      <c r="H681" t="str">
        <f t="shared" si="10"/>
        <v>yes</v>
      </c>
      <c r="I681">
        <v>42</v>
      </c>
      <c r="J681">
        <v>7</v>
      </c>
      <c r="K681">
        <v>15</v>
      </c>
      <c r="L681">
        <v>0</v>
      </c>
      <c r="M681">
        <v>4</v>
      </c>
      <c r="N681">
        <v>92</v>
      </c>
      <c r="O681" t="s">
        <v>51</v>
      </c>
      <c r="P681" t="s">
        <v>41</v>
      </c>
      <c r="Q681" s="10">
        <v>73</v>
      </c>
      <c r="R681" s="10">
        <v>37</v>
      </c>
      <c r="S681" s="10">
        <v>74</v>
      </c>
      <c r="T681" s="10">
        <v>28</v>
      </c>
      <c r="U681" s="10">
        <v>0</v>
      </c>
      <c r="V681" s="10">
        <v>14</v>
      </c>
      <c r="W681" s="10">
        <v>6</v>
      </c>
    </row>
    <row r="682" spans="1:23">
      <c r="A682" s="2" t="s">
        <v>1183</v>
      </c>
      <c r="B682" s="2" t="s">
        <v>1184</v>
      </c>
      <c r="C682">
        <v>2</v>
      </c>
      <c r="D682" s="5">
        <v>44603</v>
      </c>
      <c r="E682">
        <v>847</v>
      </c>
      <c r="F682">
        <v>0</v>
      </c>
      <c r="G682">
        <v>64714573</v>
      </c>
      <c r="H682" t="str">
        <f t="shared" si="10"/>
        <v>no</v>
      </c>
      <c r="I682">
        <v>25</v>
      </c>
      <c r="J682">
        <v>0</v>
      </c>
      <c r="K682">
        <v>14</v>
      </c>
      <c r="L682">
        <v>0</v>
      </c>
      <c r="M682">
        <v>0</v>
      </c>
      <c r="N682">
        <v>140</v>
      </c>
      <c r="O682" t="s">
        <v>25</v>
      </c>
      <c r="P682" t="s">
        <v>26</v>
      </c>
      <c r="Q682" s="10">
        <v>89</v>
      </c>
      <c r="R682" s="10">
        <v>75</v>
      </c>
      <c r="S682" s="10">
        <v>70</v>
      </c>
      <c r="T682" s="10">
        <v>6</v>
      </c>
      <c r="U682" s="10">
        <v>0</v>
      </c>
      <c r="V682" s="10">
        <v>13</v>
      </c>
      <c r="W682" s="10">
        <v>5</v>
      </c>
    </row>
    <row r="683" spans="1:23">
      <c r="A683" s="2" t="s">
        <v>1185</v>
      </c>
      <c r="B683" s="2" t="s">
        <v>1186</v>
      </c>
      <c r="C683">
        <v>1</v>
      </c>
      <c r="D683" s="5">
        <v>44603</v>
      </c>
      <c r="E683">
        <v>910</v>
      </c>
      <c r="F683">
        <v>0</v>
      </c>
      <c r="G683">
        <v>50746620</v>
      </c>
      <c r="H683" t="str">
        <f t="shared" si="10"/>
        <v>no</v>
      </c>
      <c r="I683">
        <v>20</v>
      </c>
      <c r="J683">
        <v>3</v>
      </c>
      <c r="K683">
        <v>24</v>
      </c>
      <c r="L683">
        <v>0</v>
      </c>
      <c r="M683">
        <v>0</v>
      </c>
      <c r="N683">
        <v>89</v>
      </c>
      <c r="O683" t="s">
        <v>29</v>
      </c>
      <c r="P683" t="s">
        <v>26</v>
      </c>
      <c r="Q683" s="10">
        <v>65</v>
      </c>
      <c r="R683" s="10">
        <v>60</v>
      </c>
      <c r="S683" s="10">
        <v>60</v>
      </c>
      <c r="T683" s="10">
        <v>11</v>
      </c>
      <c r="U683" s="10">
        <v>0</v>
      </c>
      <c r="V683" s="10">
        <v>10</v>
      </c>
      <c r="W683" s="10">
        <v>40</v>
      </c>
    </row>
    <row r="684" spans="1:23">
      <c r="A684" s="2" t="s">
        <v>1187</v>
      </c>
      <c r="B684" s="2" t="s">
        <v>1188</v>
      </c>
      <c r="C684">
        <v>1</v>
      </c>
      <c r="D684" s="5">
        <v>44589</v>
      </c>
      <c r="E684">
        <v>601</v>
      </c>
      <c r="F684">
        <v>0</v>
      </c>
      <c r="G684">
        <v>154119539</v>
      </c>
      <c r="H684" t="str">
        <f t="shared" si="10"/>
        <v>no</v>
      </c>
      <c r="I684">
        <v>28</v>
      </c>
      <c r="J684">
        <v>73</v>
      </c>
      <c r="K684">
        <v>64</v>
      </c>
      <c r="L684">
        <v>0</v>
      </c>
      <c r="M684">
        <v>0</v>
      </c>
      <c r="N684">
        <v>135</v>
      </c>
      <c r="O684" t="s">
        <v>32</v>
      </c>
      <c r="P684" t="s">
        <v>41</v>
      </c>
      <c r="Q684" s="10">
        <v>89</v>
      </c>
      <c r="R684" s="10">
        <v>89</v>
      </c>
      <c r="S684" s="10">
        <v>86</v>
      </c>
      <c r="T684" s="10">
        <v>16</v>
      </c>
      <c r="U684" s="10">
        <v>0</v>
      </c>
      <c r="V684" s="10">
        <v>8</v>
      </c>
      <c r="W684" s="10">
        <v>5</v>
      </c>
    </row>
    <row r="685" spans="1:23">
      <c r="A685" s="2" t="s">
        <v>1187</v>
      </c>
      <c r="B685" s="2" t="s">
        <v>1189</v>
      </c>
      <c r="C685">
        <v>1</v>
      </c>
      <c r="D685" s="5">
        <v>44519</v>
      </c>
      <c r="E685">
        <v>1800</v>
      </c>
      <c r="F685">
        <v>0</v>
      </c>
      <c r="G685">
        <v>181328253</v>
      </c>
      <c r="H685" t="str">
        <f t="shared" si="10"/>
        <v>no</v>
      </c>
      <c r="I685">
        <v>43</v>
      </c>
      <c r="J685">
        <v>36</v>
      </c>
      <c r="K685">
        <v>46</v>
      </c>
      <c r="L685">
        <v>13</v>
      </c>
      <c r="M685">
        <v>4</v>
      </c>
      <c r="N685">
        <v>140</v>
      </c>
      <c r="O685" t="s">
        <v>63</v>
      </c>
      <c r="P685" t="s">
        <v>41</v>
      </c>
      <c r="Q685" s="10">
        <v>51</v>
      </c>
      <c r="R685" s="10">
        <v>66</v>
      </c>
      <c r="S685" s="10">
        <v>53</v>
      </c>
      <c r="T685" s="10">
        <v>60</v>
      </c>
      <c r="U685" s="10">
        <v>0</v>
      </c>
      <c r="V685" s="10">
        <v>11</v>
      </c>
      <c r="W685" s="10">
        <v>18</v>
      </c>
    </row>
    <row r="686" spans="1:23">
      <c r="A686" s="2" t="s">
        <v>1187</v>
      </c>
      <c r="B686" s="2" t="s">
        <v>1190</v>
      </c>
      <c r="C686">
        <v>1</v>
      </c>
      <c r="D686" s="5">
        <v>42209</v>
      </c>
      <c r="E686">
        <v>1930</v>
      </c>
      <c r="F686">
        <v>0</v>
      </c>
      <c r="G686">
        <v>370068639</v>
      </c>
      <c r="H686" t="str">
        <f t="shared" si="10"/>
        <v>yes</v>
      </c>
      <c r="I686">
        <v>3</v>
      </c>
      <c r="J686">
        <v>0</v>
      </c>
      <c r="K686">
        <v>28</v>
      </c>
      <c r="L686">
        <v>0</v>
      </c>
      <c r="M686">
        <v>1</v>
      </c>
      <c r="N686">
        <v>82</v>
      </c>
      <c r="O686" t="s">
        <v>196</v>
      </c>
      <c r="P686" t="s">
        <v>26</v>
      </c>
      <c r="Q686" s="10">
        <v>47</v>
      </c>
      <c r="R686" s="10">
        <v>44</v>
      </c>
      <c r="S686" s="10">
        <v>76</v>
      </c>
      <c r="T686" s="10">
        <v>8</v>
      </c>
      <c r="U686" s="10">
        <v>91</v>
      </c>
      <c r="V686" s="10">
        <v>9</v>
      </c>
      <c r="W686" s="10">
        <v>3</v>
      </c>
    </row>
    <row r="687" spans="1:23" ht="30.75">
      <c r="A687" s="2" t="s">
        <v>1187</v>
      </c>
      <c r="B687" s="2" t="s">
        <v>1191</v>
      </c>
      <c r="C687">
        <v>1</v>
      </c>
      <c r="D687" s="5">
        <v>41640</v>
      </c>
      <c r="E687">
        <v>33032</v>
      </c>
      <c r="F687">
        <v>0</v>
      </c>
      <c r="G687">
        <v>2280566092</v>
      </c>
      <c r="H687" t="str">
        <f t="shared" si="10"/>
        <v>yes</v>
      </c>
      <c r="I687">
        <v>363</v>
      </c>
      <c r="J687">
        <v>129</v>
      </c>
      <c r="K687" s="1">
        <v>3895</v>
      </c>
      <c r="L687">
        <v>0</v>
      </c>
      <c r="M687">
        <v>28</v>
      </c>
      <c r="N687">
        <v>79</v>
      </c>
      <c r="O687" t="s">
        <v>51</v>
      </c>
      <c r="P687" t="s">
        <v>26</v>
      </c>
      <c r="Q687" s="10">
        <v>78</v>
      </c>
      <c r="R687" s="10">
        <v>58</v>
      </c>
      <c r="S687" s="10">
        <v>45</v>
      </c>
      <c r="T687" s="10">
        <v>47</v>
      </c>
      <c r="U687" s="10">
        <v>0</v>
      </c>
      <c r="V687" s="10">
        <v>18</v>
      </c>
      <c r="W687" s="10">
        <v>3</v>
      </c>
    </row>
    <row r="688" spans="1:23" ht="45.75">
      <c r="A688" s="2" t="s">
        <v>1192</v>
      </c>
      <c r="B688" s="2" t="s">
        <v>1193</v>
      </c>
      <c r="C688">
        <v>1</v>
      </c>
      <c r="D688" s="5">
        <v>43742</v>
      </c>
      <c r="E688">
        <v>6332</v>
      </c>
      <c r="F688">
        <v>0</v>
      </c>
      <c r="G688">
        <v>563902868</v>
      </c>
      <c r="H688" t="str">
        <f t="shared" si="10"/>
        <v>yes</v>
      </c>
      <c r="I688">
        <v>47</v>
      </c>
      <c r="J688">
        <v>116</v>
      </c>
      <c r="K688">
        <v>266</v>
      </c>
      <c r="L688">
        <v>0</v>
      </c>
      <c r="M688">
        <v>0</v>
      </c>
      <c r="N688">
        <v>88</v>
      </c>
      <c r="O688" t="s">
        <v>32</v>
      </c>
      <c r="P688" t="s">
        <v>26</v>
      </c>
      <c r="Q688" s="10">
        <v>31</v>
      </c>
      <c r="R688" s="10">
        <v>31</v>
      </c>
      <c r="S688" s="10">
        <v>63</v>
      </c>
      <c r="T688" s="10">
        <v>47</v>
      </c>
      <c r="U688" s="10">
        <v>27</v>
      </c>
      <c r="V688" s="10">
        <v>21</v>
      </c>
      <c r="W688" s="10">
        <v>12</v>
      </c>
    </row>
    <row r="689" spans="1:23" ht="91.5">
      <c r="A689" s="2" t="s">
        <v>1194</v>
      </c>
      <c r="B689" s="2" t="s">
        <v>1195</v>
      </c>
      <c r="C689">
        <v>1</v>
      </c>
      <c r="D689" s="5">
        <v>44554</v>
      </c>
      <c r="E689">
        <v>509</v>
      </c>
      <c r="F689">
        <v>9</v>
      </c>
      <c r="G689">
        <v>317622165</v>
      </c>
      <c r="H689" t="str">
        <f t="shared" si="10"/>
        <v>yes</v>
      </c>
      <c r="I689">
        <v>8</v>
      </c>
      <c r="J689">
        <v>106</v>
      </c>
      <c r="K689">
        <v>6</v>
      </c>
      <c r="L689">
        <v>0</v>
      </c>
      <c r="M689">
        <v>8</v>
      </c>
      <c r="N689">
        <v>139</v>
      </c>
      <c r="O689" t="s">
        <v>32</v>
      </c>
      <c r="P689" t="s">
        <v>26</v>
      </c>
      <c r="Q689" s="10">
        <v>44</v>
      </c>
      <c r="R689" s="10">
        <v>18</v>
      </c>
      <c r="S689" s="10">
        <v>38</v>
      </c>
      <c r="T689" s="10">
        <v>70</v>
      </c>
      <c r="U689" s="10">
        <v>0</v>
      </c>
      <c r="V689" s="10">
        <v>12</v>
      </c>
      <c r="W689" s="10">
        <v>4</v>
      </c>
    </row>
    <row r="690" spans="1:23" ht="30.75">
      <c r="A690" s="2" t="s">
        <v>1196</v>
      </c>
      <c r="B690" s="2" t="s">
        <v>1197</v>
      </c>
      <c r="C690">
        <v>2</v>
      </c>
      <c r="D690" s="5">
        <v>44575</v>
      </c>
      <c r="E690">
        <v>971</v>
      </c>
      <c r="F690">
        <v>2</v>
      </c>
      <c r="G690">
        <v>291709698</v>
      </c>
      <c r="H690" t="str">
        <f t="shared" si="10"/>
        <v>yes</v>
      </c>
      <c r="I690">
        <v>35</v>
      </c>
      <c r="J690">
        <v>104</v>
      </c>
      <c r="K690">
        <v>93</v>
      </c>
      <c r="L690">
        <v>1</v>
      </c>
      <c r="M690">
        <v>0</v>
      </c>
      <c r="N690">
        <v>124</v>
      </c>
      <c r="P690" t="s">
        <v>41</v>
      </c>
      <c r="Q690" s="10">
        <v>73</v>
      </c>
      <c r="R690" s="10">
        <v>68</v>
      </c>
      <c r="S690" s="10">
        <v>83</v>
      </c>
      <c r="T690" s="10">
        <v>55</v>
      </c>
      <c r="U690" s="10">
        <v>0</v>
      </c>
      <c r="V690" s="10">
        <v>90</v>
      </c>
      <c r="W690" s="10">
        <v>7</v>
      </c>
    </row>
    <row r="691" spans="1:23">
      <c r="A691" s="2" t="s">
        <v>1198</v>
      </c>
      <c r="B691" s="2" t="s">
        <v>1199</v>
      </c>
      <c r="C691">
        <v>1</v>
      </c>
      <c r="D691" s="5">
        <v>43742</v>
      </c>
      <c r="E691">
        <v>2578</v>
      </c>
      <c r="F691">
        <v>0</v>
      </c>
      <c r="G691">
        <v>203680270</v>
      </c>
      <c r="H691" t="str">
        <f t="shared" si="10"/>
        <v>yes</v>
      </c>
      <c r="I691">
        <v>8</v>
      </c>
      <c r="J691">
        <v>67</v>
      </c>
      <c r="K691">
        <v>66</v>
      </c>
      <c r="L691">
        <v>0</v>
      </c>
      <c r="M691">
        <v>0</v>
      </c>
      <c r="N691">
        <v>80</v>
      </c>
      <c r="O691" t="s">
        <v>63</v>
      </c>
      <c r="P691" t="s">
        <v>41</v>
      </c>
      <c r="Q691" s="10">
        <v>39</v>
      </c>
      <c r="R691" s="10">
        <v>45</v>
      </c>
      <c r="S691" s="10">
        <v>55</v>
      </c>
      <c r="T691" s="10">
        <v>73</v>
      </c>
      <c r="U691" s="10">
        <v>0</v>
      </c>
      <c r="V691" s="10">
        <v>9</v>
      </c>
      <c r="W691" s="10">
        <v>21</v>
      </c>
    </row>
    <row r="692" spans="1:23" ht="30.75">
      <c r="A692" s="2" t="s">
        <v>1200</v>
      </c>
      <c r="B692" s="2" t="s">
        <v>1201</v>
      </c>
      <c r="C692">
        <v>2</v>
      </c>
      <c r="D692" s="5">
        <v>44596</v>
      </c>
      <c r="E692">
        <v>1064</v>
      </c>
      <c r="F692">
        <v>0</v>
      </c>
      <c r="G692">
        <v>81350745</v>
      </c>
      <c r="H692" t="str">
        <f t="shared" si="10"/>
        <v>no</v>
      </c>
      <c r="I692">
        <v>42</v>
      </c>
      <c r="J692">
        <v>1</v>
      </c>
      <c r="K692">
        <v>26</v>
      </c>
      <c r="L692">
        <v>0</v>
      </c>
      <c r="M692">
        <v>0</v>
      </c>
      <c r="N692">
        <v>120</v>
      </c>
      <c r="O692" t="s">
        <v>29</v>
      </c>
      <c r="P692" t="s">
        <v>41</v>
      </c>
      <c r="Q692" s="10">
        <v>84</v>
      </c>
      <c r="R692" s="10">
        <v>54</v>
      </c>
      <c r="S692" s="10">
        <v>51</v>
      </c>
      <c r="T692" s="10">
        <v>47</v>
      </c>
      <c r="U692" s="10">
        <v>0</v>
      </c>
      <c r="V692" s="10">
        <v>12</v>
      </c>
      <c r="W692" s="10">
        <v>40</v>
      </c>
    </row>
    <row r="693" spans="1:23">
      <c r="A693" s="2" t="s">
        <v>1200</v>
      </c>
      <c r="B693" s="2" t="s">
        <v>1202</v>
      </c>
      <c r="C693">
        <v>1</v>
      </c>
      <c r="D693" s="5">
        <v>43742</v>
      </c>
      <c r="E693">
        <v>3618</v>
      </c>
      <c r="F693">
        <v>0</v>
      </c>
      <c r="G693">
        <v>282883169</v>
      </c>
      <c r="H693" t="str">
        <f t="shared" si="10"/>
        <v>yes</v>
      </c>
      <c r="I693">
        <v>21</v>
      </c>
      <c r="J693">
        <v>86</v>
      </c>
      <c r="K693">
        <v>138</v>
      </c>
      <c r="L693">
        <v>0</v>
      </c>
      <c r="M693">
        <v>2</v>
      </c>
      <c r="N693">
        <v>80</v>
      </c>
      <c r="O693" t="s">
        <v>98</v>
      </c>
      <c r="P693" t="s">
        <v>41</v>
      </c>
      <c r="Q693" s="10">
        <v>56</v>
      </c>
      <c r="R693" s="10">
        <v>19</v>
      </c>
      <c r="S693" s="10">
        <v>46</v>
      </c>
      <c r="T693" s="10">
        <v>92</v>
      </c>
      <c r="U693" s="10">
        <v>72</v>
      </c>
      <c r="V693" s="10">
        <v>11</v>
      </c>
      <c r="W693" s="10">
        <v>3</v>
      </c>
    </row>
    <row r="694" spans="1:23" ht="30.75">
      <c r="A694" s="2" t="s">
        <v>1203</v>
      </c>
      <c r="B694" s="2" t="s">
        <v>1204</v>
      </c>
      <c r="C694">
        <v>2</v>
      </c>
      <c r="D694" s="5">
        <v>44596</v>
      </c>
      <c r="E694">
        <v>1040</v>
      </c>
      <c r="F694">
        <v>0</v>
      </c>
      <c r="G694">
        <v>64787943</v>
      </c>
      <c r="H694" t="str">
        <f t="shared" si="10"/>
        <v>no</v>
      </c>
      <c r="I694">
        <v>8</v>
      </c>
      <c r="J694">
        <v>0</v>
      </c>
      <c r="K694">
        <v>29</v>
      </c>
      <c r="L694">
        <v>0</v>
      </c>
      <c r="M694">
        <v>0</v>
      </c>
      <c r="N694">
        <v>117</v>
      </c>
      <c r="O694" t="s">
        <v>29</v>
      </c>
      <c r="P694" t="s">
        <v>26</v>
      </c>
      <c r="Q694" s="10">
        <v>92</v>
      </c>
      <c r="R694" s="10">
        <v>62</v>
      </c>
      <c r="S694" s="10">
        <v>86</v>
      </c>
      <c r="T694" s="10">
        <v>11</v>
      </c>
      <c r="U694" s="10">
        <v>0</v>
      </c>
      <c r="V694" s="10">
        <v>24</v>
      </c>
      <c r="W694" s="10">
        <v>24</v>
      </c>
    </row>
    <row r="695" spans="1:23" ht="30.75">
      <c r="A695" s="2" t="s">
        <v>1203</v>
      </c>
      <c r="B695" s="2" t="s">
        <v>1205</v>
      </c>
      <c r="C695">
        <v>2</v>
      </c>
      <c r="D695" s="5">
        <v>43635</v>
      </c>
      <c r="E695">
        <v>15010</v>
      </c>
      <c r="F695">
        <v>2</v>
      </c>
      <c r="G695">
        <v>2484812918</v>
      </c>
      <c r="H695" t="str">
        <f t="shared" si="10"/>
        <v>yes</v>
      </c>
      <c r="I695">
        <v>453</v>
      </c>
      <c r="J695">
        <v>50</v>
      </c>
      <c r="K695" s="1">
        <v>1785</v>
      </c>
      <c r="L695">
        <v>1</v>
      </c>
      <c r="M695">
        <v>8</v>
      </c>
      <c r="N695">
        <v>117</v>
      </c>
      <c r="O695" t="s">
        <v>37</v>
      </c>
      <c r="P695" t="s">
        <v>41</v>
      </c>
      <c r="Q695" s="10">
        <v>76</v>
      </c>
      <c r="R695" s="10">
        <v>77</v>
      </c>
      <c r="S695" s="10">
        <v>52</v>
      </c>
      <c r="T695" s="10">
        <v>4</v>
      </c>
      <c r="U695" s="10">
        <v>0</v>
      </c>
      <c r="V695" s="10">
        <v>8</v>
      </c>
      <c r="W695" s="10">
        <v>3</v>
      </c>
    </row>
    <row r="696" spans="1:23" ht="30.75">
      <c r="A696" s="2" t="s">
        <v>1206</v>
      </c>
      <c r="B696" s="2" t="s">
        <v>1207</v>
      </c>
      <c r="C696">
        <v>2</v>
      </c>
      <c r="D696" s="5">
        <v>43601</v>
      </c>
      <c r="E696">
        <v>4708</v>
      </c>
      <c r="F696">
        <v>0</v>
      </c>
      <c r="G696">
        <v>461437791</v>
      </c>
      <c r="H696" t="str">
        <f t="shared" si="10"/>
        <v>yes</v>
      </c>
      <c r="I696">
        <v>13</v>
      </c>
      <c r="J696">
        <v>7</v>
      </c>
      <c r="K696">
        <v>55</v>
      </c>
      <c r="L696">
        <v>0</v>
      </c>
      <c r="M696">
        <v>1</v>
      </c>
      <c r="N696">
        <v>140</v>
      </c>
      <c r="O696" t="s">
        <v>32</v>
      </c>
      <c r="P696" t="s">
        <v>41</v>
      </c>
      <c r="Q696" s="10">
        <v>62</v>
      </c>
      <c r="R696" s="10">
        <v>46</v>
      </c>
      <c r="S696" s="10">
        <v>73</v>
      </c>
      <c r="T696" s="10">
        <v>10</v>
      </c>
      <c r="U696" s="10">
        <v>0</v>
      </c>
      <c r="V696" s="10">
        <v>67</v>
      </c>
      <c r="W696" s="10">
        <v>11</v>
      </c>
    </row>
    <row r="697" spans="1:23" ht="45.75">
      <c r="A697" s="2" t="s">
        <v>1208</v>
      </c>
      <c r="B697" s="2" t="s">
        <v>1209</v>
      </c>
      <c r="C697">
        <v>1</v>
      </c>
      <c r="D697" s="5">
        <v>43805</v>
      </c>
      <c r="E697">
        <v>13454</v>
      </c>
      <c r="F697">
        <v>1</v>
      </c>
      <c r="G697">
        <v>1439191367</v>
      </c>
      <c r="H697" t="str">
        <f t="shared" si="10"/>
        <v>yes</v>
      </c>
      <c r="I697">
        <v>246</v>
      </c>
      <c r="J697">
        <v>71</v>
      </c>
      <c r="K697">
        <v>519</v>
      </c>
      <c r="L697">
        <v>2</v>
      </c>
      <c r="M697">
        <v>5</v>
      </c>
      <c r="N697">
        <v>99</v>
      </c>
      <c r="O697" t="s">
        <v>63</v>
      </c>
      <c r="P697" t="s">
        <v>26</v>
      </c>
      <c r="Q697" s="10">
        <v>68</v>
      </c>
      <c r="R697" s="10">
        <v>57</v>
      </c>
      <c r="S697" s="10">
        <v>77</v>
      </c>
      <c r="T697" s="10">
        <v>2</v>
      </c>
      <c r="U697" s="10">
        <v>0</v>
      </c>
      <c r="V697" s="10">
        <v>10</v>
      </c>
      <c r="W697" s="10">
        <v>5</v>
      </c>
    </row>
    <row r="698" spans="1:23">
      <c r="A698" s="2" t="s">
        <v>1210</v>
      </c>
      <c r="B698" s="2" t="s">
        <v>1211</v>
      </c>
      <c r="C698">
        <v>2</v>
      </c>
      <c r="D698" s="5">
        <v>43890</v>
      </c>
      <c r="E698">
        <v>4890</v>
      </c>
      <c r="F698">
        <v>20</v>
      </c>
      <c r="G698">
        <v>759208783</v>
      </c>
      <c r="H698" t="str">
        <f t="shared" si="10"/>
        <v>yes</v>
      </c>
      <c r="I698">
        <v>52</v>
      </c>
      <c r="J698">
        <v>42</v>
      </c>
      <c r="K698">
        <v>100</v>
      </c>
      <c r="L698">
        <v>0</v>
      </c>
      <c r="M698">
        <v>0</v>
      </c>
      <c r="N698">
        <v>93</v>
      </c>
      <c r="O698" t="s">
        <v>29</v>
      </c>
      <c r="P698" t="s">
        <v>26</v>
      </c>
      <c r="Q698" s="10">
        <v>74</v>
      </c>
      <c r="R698" s="10">
        <v>59</v>
      </c>
      <c r="S698" s="10">
        <v>87</v>
      </c>
      <c r="T698" s="10">
        <v>3</v>
      </c>
      <c r="U698" s="10">
        <v>0</v>
      </c>
      <c r="V698" s="10">
        <v>8</v>
      </c>
      <c r="W698" s="10">
        <v>5</v>
      </c>
    </row>
    <row r="699" spans="1:23" ht="60.75">
      <c r="A699" s="2" t="s">
        <v>1210</v>
      </c>
      <c r="B699" s="2" t="s">
        <v>1212</v>
      </c>
      <c r="C699">
        <v>1</v>
      </c>
      <c r="D699" s="5">
        <v>33505</v>
      </c>
      <c r="E699">
        <v>9514</v>
      </c>
      <c r="F699">
        <v>0</v>
      </c>
      <c r="G699">
        <v>368646862</v>
      </c>
      <c r="H699" t="str">
        <f t="shared" si="10"/>
        <v>yes</v>
      </c>
      <c r="I699">
        <v>45</v>
      </c>
      <c r="J699">
        <v>27</v>
      </c>
      <c r="K699" s="1">
        <v>1197</v>
      </c>
      <c r="L699">
        <v>0</v>
      </c>
      <c r="M699">
        <v>43</v>
      </c>
      <c r="N699">
        <v>106</v>
      </c>
      <c r="O699" t="s">
        <v>63</v>
      </c>
      <c r="P699" t="s">
        <v>26</v>
      </c>
      <c r="Q699" s="10">
        <v>44</v>
      </c>
      <c r="R699" s="10">
        <v>8</v>
      </c>
      <c r="S699" s="10">
        <v>20</v>
      </c>
      <c r="T699" s="10">
        <v>74</v>
      </c>
      <c r="U699" s="10">
        <v>42</v>
      </c>
      <c r="V699" s="10">
        <v>11</v>
      </c>
      <c r="W699" s="10">
        <v>3</v>
      </c>
    </row>
    <row r="700" spans="1:23">
      <c r="A700" s="2" t="s">
        <v>1213</v>
      </c>
      <c r="B700" s="2" t="s">
        <v>1214</v>
      </c>
      <c r="C700">
        <v>2</v>
      </c>
      <c r="D700" s="5">
        <v>44631</v>
      </c>
      <c r="E700">
        <v>3501</v>
      </c>
      <c r="F700">
        <v>0</v>
      </c>
      <c r="G700">
        <v>299634472</v>
      </c>
      <c r="H700" t="str">
        <f t="shared" si="10"/>
        <v>yes</v>
      </c>
      <c r="I700">
        <v>69</v>
      </c>
      <c r="J700">
        <v>2</v>
      </c>
      <c r="K700">
        <v>51</v>
      </c>
      <c r="L700">
        <v>11</v>
      </c>
      <c r="M700">
        <v>0</v>
      </c>
      <c r="N700">
        <v>124</v>
      </c>
      <c r="O700" t="s">
        <v>72</v>
      </c>
      <c r="P700" t="s">
        <v>26</v>
      </c>
      <c r="Q700" s="10">
        <v>81</v>
      </c>
      <c r="R700" s="10">
        <v>68</v>
      </c>
      <c r="S700" s="10">
        <v>63</v>
      </c>
      <c r="T700" s="10">
        <v>17</v>
      </c>
      <c r="U700" s="10">
        <v>0</v>
      </c>
      <c r="V700" s="10">
        <v>10</v>
      </c>
      <c r="W700" s="10">
        <v>22</v>
      </c>
    </row>
    <row r="701" spans="1:23" ht="45.75">
      <c r="A701" s="2" t="s">
        <v>1215</v>
      </c>
      <c r="B701" s="2" t="s">
        <v>1216</v>
      </c>
      <c r="C701">
        <v>2</v>
      </c>
      <c r="D701" s="5">
        <v>44624</v>
      </c>
      <c r="E701">
        <v>6111</v>
      </c>
      <c r="F701">
        <v>4</v>
      </c>
      <c r="G701">
        <v>756907987</v>
      </c>
      <c r="H701" t="str">
        <f t="shared" si="10"/>
        <v>yes</v>
      </c>
      <c r="I701">
        <v>185</v>
      </c>
      <c r="J701">
        <v>40</v>
      </c>
      <c r="K701">
        <v>492</v>
      </c>
      <c r="L701">
        <v>9</v>
      </c>
      <c r="M701">
        <v>35</v>
      </c>
      <c r="N701">
        <v>95</v>
      </c>
      <c r="O701" t="s">
        <v>63</v>
      </c>
      <c r="P701" t="s">
        <v>26</v>
      </c>
      <c r="Q701" s="10">
        <v>76</v>
      </c>
      <c r="R701" s="10">
        <v>96</v>
      </c>
      <c r="S701" s="10">
        <v>70</v>
      </c>
      <c r="T701" s="10">
        <v>18</v>
      </c>
      <c r="U701" s="10">
        <v>0</v>
      </c>
      <c r="V701" s="10">
        <v>33</v>
      </c>
      <c r="W701" s="10">
        <v>4</v>
      </c>
    </row>
    <row r="702" spans="1:23" ht="30.75">
      <c r="A702" s="2" t="s">
        <v>1217</v>
      </c>
      <c r="B702" s="2" t="s">
        <v>1218</v>
      </c>
      <c r="C702">
        <v>1</v>
      </c>
      <c r="D702" s="5">
        <v>44582</v>
      </c>
      <c r="E702">
        <v>5415</v>
      </c>
      <c r="F702">
        <v>32</v>
      </c>
      <c r="G702">
        <v>682475162</v>
      </c>
      <c r="H702" t="str">
        <f t="shared" si="10"/>
        <v>yes</v>
      </c>
      <c r="I702">
        <v>46</v>
      </c>
      <c r="J702">
        <v>16</v>
      </c>
      <c r="K702">
        <v>53</v>
      </c>
      <c r="L702">
        <v>1</v>
      </c>
      <c r="M702">
        <v>2</v>
      </c>
      <c r="N702">
        <v>96</v>
      </c>
      <c r="O702" t="s">
        <v>128</v>
      </c>
      <c r="P702" t="s">
        <v>41</v>
      </c>
      <c r="Q702" s="10">
        <v>87</v>
      </c>
      <c r="R702" s="10">
        <v>82</v>
      </c>
      <c r="S702" s="10">
        <v>53</v>
      </c>
      <c r="T702" s="10">
        <v>10</v>
      </c>
      <c r="U702" s="10">
        <v>0</v>
      </c>
      <c r="V702" s="10">
        <v>5</v>
      </c>
      <c r="W702" s="10">
        <v>8</v>
      </c>
    </row>
    <row r="703" spans="1:23">
      <c r="A703" s="2" t="s">
        <v>1219</v>
      </c>
      <c r="B703" s="2" t="s">
        <v>1220</v>
      </c>
      <c r="C703">
        <v>1</v>
      </c>
      <c r="D703" s="5">
        <v>44511</v>
      </c>
      <c r="E703">
        <v>4673</v>
      </c>
      <c r="F703">
        <v>2</v>
      </c>
      <c r="G703">
        <v>546191065</v>
      </c>
      <c r="H703" t="str">
        <f t="shared" si="10"/>
        <v>yes</v>
      </c>
      <c r="I703">
        <v>123</v>
      </c>
      <c r="J703">
        <v>113</v>
      </c>
      <c r="K703">
        <v>180</v>
      </c>
      <c r="L703">
        <v>1</v>
      </c>
      <c r="M703">
        <v>4</v>
      </c>
      <c r="N703">
        <v>92</v>
      </c>
      <c r="O703" t="s">
        <v>98</v>
      </c>
      <c r="P703" t="s">
        <v>41</v>
      </c>
      <c r="Q703" s="10">
        <v>81</v>
      </c>
      <c r="R703" s="10">
        <v>40</v>
      </c>
      <c r="S703" s="10">
        <v>73</v>
      </c>
      <c r="T703" s="10">
        <v>15</v>
      </c>
      <c r="U703" s="10">
        <v>0</v>
      </c>
      <c r="V703" s="10">
        <v>9</v>
      </c>
      <c r="W703" s="10">
        <v>8</v>
      </c>
    </row>
    <row r="704" spans="1:23" ht="30.75">
      <c r="A704" s="2" t="s">
        <v>1221</v>
      </c>
      <c r="B704" s="2" t="s">
        <v>1222</v>
      </c>
      <c r="C704">
        <v>1</v>
      </c>
      <c r="D704" s="5">
        <v>44623</v>
      </c>
      <c r="E704">
        <v>1856</v>
      </c>
      <c r="F704">
        <v>3</v>
      </c>
      <c r="G704">
        <v>229473310</v>
      </c>
      <c r="H704" t="str">
        <f t="shared" si="10"/>
        <v>yes</v>
      </c>
      <c r="I704">
        <v>29</v>
      </c>
      <c r="J704">
        <v>40</v>
      </c>
      <c r="K704">
        <v>31</v>
      </c>
      <c r="L704">
        <v>1</v>
      </c>
      <c r="M704">
        <v>1</v>
      </c>
      <c r="N704">
        <v>124</v>
      </c>
      <c r="O704" t="s">
        <v>72</v>
      </c>
      <c r="P704" t="s">
        <v>26</v>
      </c>
      <c r="Q704" s="10">
        <v>95</v>
      </c>
      <c r="R704" s="10">
        <v>36</v>
      </c>
      <c r="S704" s="10">
        <v>37</v>
      </c>
      <c r="T704" s="10">
        <v>35</v>
      </c>
      <c r="U704" s="10">
        <v>0</v>
      </c>
      <c r="V704" s="10">
        <v>10</v>
      </c>
      <c r="W704" s="10">
        <v>28</v>
      </c>
    </row>
    <row r="705" spans="1:23" ht="30.75">
      <c r="A705" s="2" t="s">
        <v>1223</v>
      </c>
      <c r="B705" s="2" t="s">
        <v>1224</v>
      </c>
      <c r="C705">
        <v>1</v>
      </c>
      <c r="D705" s="5">
        <v>44623</v>
      </c>
      <c r="E705">
        <v>200</v>
      </c>
      <c r="F705">
        <v>2</v>
      </c>
      <c r="G705">
        <v>202677468</v>
      </c>
      <c r="H705" t="str">
        <f t="shared" si="10"/>
        <v>yes</v>
      </c>
      <c r="I705">
        <v>12</v>
      </c>
      <c r="J705">
        <v>4</v>
      </c>
      <c r="K705">
        <v>0</v>
      </c>
      <c r="L705">
        <v>0</v>
      </c>
      <c r="M705">
        <v>0</v>
      </c>
      <c r="N705">
        <v>72</v>
      </c>
      <c r="O705" t="s">
        <v>53</v>
      </c>
      <c r="P705" t="s">
        <v>26</v>
      </c>
      <c r="Q705" s="10">
        <v>64</v>
      </c>
      <c r="R705" s="10">
        <v>76</v>
      </c>
      <c r="S705" s="10">
        <v>44</v>
      </c>
      <c r="T705" s="10">
        <v>70</v>
      </c>
      <c r="U705" s="10">
        <v>9</v>
      </c>
      <c r="V705" s="10">
        <v>12</v>
      </c>
      <c r="W705" s="10">
        <v>4</v>
      </c>
    </row>
    <row r="706" spans="1:23" ht="76.5">
      <c r="A706" s="2" t="s">
        <v>1225</v>
      </c>
      <c r="B706" s="2" t="s">
        <v>1226</v>
      </c>
      <c r="C706">
        <v>1</v>
      </c>
      <c r="D706" s="5">
        <v>44596</v>
      </c>
      <c r="E706">
        <v>1888</v>
      </c>
      <c r="F706">
        <v>0</v>
      </c>
      <c r="G706">
        <v>121913181</v>
      </c>
      <c r="H706" t="str">
        <f t="shared" ref="H706:H769" si="11">IF(G706&gt;$Z$2,$Z$4,$Z$5)</f>
        <v>no</v>
      </c>
      <c r="I706">
        <v>26</v>
      </c>
      <c r="J706">
        <v>1</v>
      </c>
      <c r="K706">
        <v>58</v>
      </c>
      <c r="L706">
        <v>0</v>
      </c>
      <c r="M706">
        <v>0</v>
      </c>
      <c r="N706">
        <v>71</v>
      </c>
      <c r="P706" t="s">
        <v>41</v>
      </c>
      <c r="Q706" s="10">
        <v>28</v>
      </c>
      <c r="R706" s="10">
        <v>26</v>
      </c>
      <c r="S706" s="10">
        <v>20</v>
      </c>
      <c r="T706" s="10">
        <v>19</v>
      </c>
      <c r="U706" s="10">
        <v>0</v>
      </c>
      <c r="V706" s="10">
        <v>30</v>
      </c>
      <c r="W706" s="10">
        <v>3</v>
      </c>
    </row>
    <row r="707" spans="1:23" ht="30.75">
      <c r="A707" s="2" t="s">
        <v>1227</v>
      </c>
      <c r="B707" s="2" t="s">
        <v>1228</v>
      </c>
      <c r="C707">
        <v>2</v>
      </c>
      <c r="D707" s="5">
        <v>44593</v>
      </c>
      <c r="E707">
        <v>911</v>
      </c>
      <c r="F707">
        <v>2</v>
      </c>
      <c r="G707">
        <v>208166039</v>
      </c>
      <c r="H707" t="str">
        <f t="shared" si="11"/>
        <v>yes</v>
      </c>
      <c r="I707">
        <v>45</v>
      </c>
      <c r="J707">
        <v>0</v>
      </c>
      <c r="K707">
        <v>99</v>
      </c>
      <c r="L707">
        <v>1</v>
      </c>
      <c r="M707">
        <v>1</v>
      </c>
      <c r="N707">
        <v>135</v>
      </c>
      <c r="O707" t="s">
        <v>37</v>
      </c>
      <c r="P707" t="s">
        <v>41</v>
      </c>
      <c r="Q707" s="10">
        <v>78</v>
      </c>
      <c r="R707" s="10">
        <v>55</v>
      </c>
      <c r="S707" s="10">
        <v>57</v>
      </c>
      <c r="T707" s="10">
        <v>4</v>
      </c>
      <c r="U707" s="10">
        <v>0</v>
      </c>
      <c r="V707" s="10">
        <v>10</v>
      </c>
      <c r="W707" s="10">
        <v>8</v>
      </c>
    </row>
    <row r="708" spans="1:23" ht="76.5">
      <c r="A708" s="2" t="s">
        <v>1229</v>
      </c>
      <c r="B708" s="2" t="s">
        <v>1230</v>
      </c>
      <c r="C708">
        <v>1</v>
      </c>
      <c r="D708" s="5">
        <v>38111</v>
      </c>
      <c r="E708">
        <v>2954</v>
      </c>
      <c r="F708">
        <v>2</v>
      </c>
      <c r="G708">
        <v>527033089</v>
      </c>
      <c r="H708" t="str">
        <f t="shared" si="11"/>
        <v>yes</v>
      </c>
      <c r="I708">
        <v>18</v>
      </c>
      <c r="J708">
        <v>82</v>
      </c>
      <c r="K708">
        <v>0</v>
      </c>
      <c r="L708">
        <v>0</v>
      </c>
      <c r="M708">
        <v>5</v>
      </c>
      <c r="N708">
        <v>95</v>
      </c>
      <c r="O708" t="s">
        <v>128</v>
      </c>
      <c r="P708" t="s">
        <v>26</v>
      </c>
      <c r="Q708" s="10">
        <v>81</v>
      </c>
      <c r="R708" s="10">
        <v>56</v>
      </c>
      <c r="S708" s="10">
        <v>70</v>
      </c>
      <c r="T708" s="10">
        <v>4</v>
      </c>
      <c r="U708" s="10">
        <v>0</v>
      </c>
      <c r="V708" s="10">
        <v>5</v>
      </c>
      <c r="W708" s="10">
        <v>24</v>
      </c>
    </row>
    <row r="709" spans="1:23" ht="60.75">
      <c r="A709" s="2" t="s">
        <v>1231</v>
      </c>
      <c r="B709" s="2" t="s">
        <v>1232</v>
      </c>
      <c r="C709">
        <v>2</v>
      </c>
      <c r="D709" s="5">
        <v>44623</v>
      </c>
      <c r="E709">
        <v>461</v>
      </c>
      <c r="F709">
        <v>0</v>
      </c>
      <c r="G709">
        <v>94616487</v>
      </c>
      <c r="H709" t="str">
        <f t="shared" si="11"/>
        <v>no</v>
      </c>
      <c r="I709">
        <v>7</v>
      </c>
      <c r="J709">
        <v>11</v>
      </c>
      <c r="K709">
        <v>13</v>
      </c>
      <c r="L709">
        <v>0</v>
      </c>
      <c r="M709">
        <v>0</v>
      </c>
      <c r="N709">
        <v>71</v>
      </c>
      <c r="O709" t="s">
        <v>29</v>
      </c>
      <c r="P709" t="s">
        <v>41</v>
      </c>
      <c r="Q709" s="10">
        <v>59</v>
      </c>
      <c r="R709" s="10">
        <v>70</v>
      </c>
      <c r="S709" s="10">
        <v>74</v>
      </c>
      <c r="T709" s="10">
        <v>56</v>
      </c>
      <c r="U709" s="10">
        <v>0</v>
      </c>
      <c r="V709" s="10">
        <v>11</v>
      </c>
      <c r="W709" s="10">
        <v>40</v>
      </c>
    </row>
    <row r="710" spans="1:23">
      <c r="A710" s="2" t="s">
        <v>1233</v>
      </c>
      <c r="B710" s="2" t="s">
        <v>1234</v>
      </c>
      <c r="C710">
        <v>1</v>
      </c>
      <c r="D710" s="5">
        <v>44316</v>
      </c>
      <c r="E710">
        <v>2844</v>
      </c>
      <c r="F710">
        <v>2</v>
      </c>
      <c r="G710">
        <v>394030335</v>
      </c>
      <c r="H710" t="str">
        <f t="shared" si="11"/>
        <v>yes</v>
      </c>
      <c r="I710">
        <v>29</v>
      </c>
      <c r="J710">
        <v>2</v>
      </c>
      <c r="K710">
        <v>35</v>
      </c>
      <c r="L710">
        <v>1</v>
      </c>
      <c r="M710">
        <v>0</v>
      </c>
      <c r="N710">
        <v>180</v>
      </c>
      <c r="O710" t="s">
        <v>128</v>
      </c>
      <c r="P710" t="s">
        <v>41</v>
      </c>
      <c r="Q710" s="10">
        <v>80</v>
      </c>
      <c r="R710" s="10">
        <v>71</v>
      </c>
      <c r="S710" s="10">
        <v>68</v>
      </c>
      <c r="T710" s="10">
        <v>6</v>
      </c>
      <c r="U710" s="10">
        <v>0</v>
      </c>
      <c r="V710" s="10">
        <v>10</v>
      </c>
      <c r="W710" s="10">
        <v>37</v>
      </c>
    </row>
    <row r="711" spans="1:23" ht="30.75">
      <c r="A711" s="2" t="s">
        <v>1235</v>
      </c>
      <c r="B711" s="2" t="s">
        <v>1236</v>
      </c>
      <c r="C711">
        <v>1</v>
      </c>
      <c r="D711" s="5">
        <v>44610</v>
      </c>
      <c r="E711">
        <v>2939</v>
      </c>
      <c r="F711">
        <v>0</v>
      </c>
      <c r="G711">
        <v>193443895</v>
      </c>
      <c r="H711" t="str">
        <f t="shared" si="11"/>
        <v>no</v>
      </c>
      <c r="I711">
        <v>42</v>
      </c>
      <c r="J711">
        <v>0</v>
      </c>
      <c r="K711">
        <v>24</v>
      </c>
      <c r="L711">
        <v>0</v>
      </c>
      <c r="M711">
        <v>0</v>
      </c>
      <c r="N711">
        <v>150</v>
      </c>
      <c r="O711" t="s">
        <v>98</v>
      </c>
      <c r="P711" t="s">
        <v>41</v>
      </c>
      <c r="Q711" s="10">
        <v>65</v>
      </c>
      <c r="R711" s="10">
        <v>11</v>
      </c>
      <c r="S711" s="10">
        <v>58</v>
      </c>
      <c r="T711" s="10">
        <v>0</v>
      </c>
      <c r="U711" s="10">
        <v>0</v>
      </c>
      <c r="V711" s="10">
        <v>12</v>
      </c>
      <c r="W711" s="10">
        <v>9</v>
      </c>
    </row>
    <row r="712" spans="1:23">
      <c r="A712" s="2" t="s">
        <v>1237</v>
      </c>
      <c r="B712" s="2" t="s">
        <v>1238</v>
      </c>
      <c r="C712">
        <v>1</v>
      </c>
      <c r="D712" s="5">
        <v>44610</v>
      </c>
      <c r="E712">
        <v>695</v>
      </c>
      <c r="F712">
        <v>11</v>
      </c>
      <c r="G712">
        <v>299648208</v>
      </c>
      <c r="H712" t="str">
        <f t="shared" si="11"/>
        <v>yes</v>
      </c>
      <c r="I712">
        <v>16</v>
      </c>
      <c r="J712">
        <v>41</v>
      </c>
      <c r="K712">
        <v>13</v>
      </c>
      <c r="L712">
        <v>1</v>
      </c>
      <c r="M712">
        <v>1</v>
      </c>
      <c r="N712">
        <v>189</v>
      </c>
      <c r="O712" t="s">
        <v>63</v>
      </c>
      <c r="P712" t="s">
        <v>26</v>
      </c>
      <c r="Q712" s="10">
        <v>55</v>
      </c>
      <c r="R712" s="10">
        <v>86</v>
      </c>
      <c r="S712" s="10">
        <v>44</v>
      </c>
      <c r="T712" s="10">
        <v>40</v>
      </c>
      <c r="U712" s="10">
        <v>0</v>
      </c>
      <c r="V712" s="10">
        <v>7</v>
      </c>
      <c r="W712" s="10">
        <v>4</v>
      </c>
    </row>
    <row r="713" spans="1:23">
      <c r="A713" s="2" t="s">
        <v>1237</v>
      </c>
      <c r="B713" s="2" t="s">
        <v>1239</v>
      </c>
      <c r="C713">
        <v>1</v>
      </c>
      <c r="D713" s="5">
        <v>44607</v>
      </c>
      <c r="E713">
        <v>328</v>
      </c>
      <c r="F713">
        <v>0</v>
      </c>
      <c r="G713">
        <v>182978249</v>
      </c>
      <c r="H713" t="str">
        <f t="shared" si="11"/>
        <v>no</v>
      </c>
      <c r="I713">
        <v>10</v>
      </c>
      <c r="J713">
        <v>21</v>
      </c>
      <c r="K713">
        <v>7</v>
      </c>
      <c r="L713">
        <v>0</v>
      </c>
      <c r="M713">
        <v>9</v>
      </c>
      <c r="N713">
        <v>85</v>
      </c>
      <c r="P713" t="s">
        <v>26</v>
      </c>
      <c r="Q713" s="10">
        <v>72</v>
      </c>
      <c r="R713" s="10">
        <v>55</v>
      </c>
      <c r="S713" s="10">
        <v>64</v>
      </c>
      <c r="T713" s="10">
        <v>49</v>
      </c>
      <c r="U713" s="10">
        <v>0</v>
      </c>
      <c r="V713" s="10">
        <v>7</v>
      </c>
      <c r="W713" s="10">
        <v>4</v>
      </c>
    </row>
    <row r="714" spans="1:23" ht="30.75">
      <c r="A714" s="2" t="s">
        <v>1240</v>
      </c>
      <c r="B714" s="2" t="s">
        <v>1241</v>
      </c>
      <c r="C714">
        <v>1</v>
      </c>
      <c r="D714" s="5">
        <v>44610</v>
      </c>
      <c r="E714">
        <v>866</v>
      </c>
      <c r="F714">
        <v>16</v>
      </c>
      <c r="G714">
        <v>319757142</v>
      </c>
      <c r="H714" t="str">
        <f t="shared" si="11"/>
        <v>yes</v>
      </c>
      <c r="I714">
        <v>27</v>
      </c>
      <c r="J714">
        <v>84</v>
      </c>
      <c r="K714">
        <v>32</v>
      </c>
      <c r="L714">
        <v>7</v>
      </c>
      <c r="M714">
        <v>11</v>
      </c>
      <c r="N714">
        <v>140</v>
      </c>
      <c r="O714" t="s">
        <v>72</v>
      </c>
      <c r="P714" t="s">
        <v>26</v>
      </c>
      <c r="Q714" s="10">
        <v>59</v>
      </c>
      <c r="R714" s="10">
        <v>73</v>
      </c>
      <c r="S714" s="10">
        <v>45</v>
      </c>
      <c r="T714" s="10">
        <v>44</v>
      </c>
      <c r="U714" s="10">
        <v>0</v>
      </c>
      <c r="V714" s="10">
        <v>34</v>
      </c>
      <c r="W714" s="10">
        <v>3</v>
      </c>
    </row>
    <row r="715" spans="1:23" ht="30.75">
      <c r="A715" s="2" t="s">
        <v>1242</v>
      </c>
      <c r="B715" s="2" t="s">
        <v>1243</v>
      </c>
      <c r="C715">
        <v>2</v>
      </c>
      <c r="D715" s="5">
        <v>41471</v>
      </c>
      <c r="E715">
        <v>1550</v>
      </c>
      <c r="F715">
        <v>0</v>
      </c>
      <c r="G715">
        <v>109091573</v>
      </c>
      <c r="H715" t="str">
        <f t="shared" si="11"/>
        <v>no</v>
      </c>
      <c r="I715">
        <v>0</v>
      </c>
      <c r="J715">
        <v>0</v>
      </c>
      <c r="K715">
        <v>14</v>
      </c>
      <c r="L715">
        <v>0</v>
      </c>
      <c r="M715">
        <v>0</v>
      </c>
      <c r="N715">
        <v>81</v>
      </c>
      <c r="P715" t="s">
        <v>26</v>
      </c>
      <c r="Q715" s="10">
        <v>77</v>
      </c>
      <c r="R715" s="10">
        <v>68</v>
      </c>
      <c r="S715" s="10">
        <v>70</v>
      </c>
      <c r="T715" s="10">
        <v>6</v>
      </c>
      <c r="U715" s="10">
        <v>0</v>
      </c>
      <c r="V715" s="10">
        <v>17</v>
      </c>
      <c r="W715" s="10">
        <v>20</v>
      </c>
    </row>
    <row r="716" spans="1:23">
      <c r="A716" s="2" t="s">
        <v>1242</v>
      </c>
      <c r="B716" s="2" t="s">
        <v>1244</v>
      </c>
      <c r="C716">
        <v>2</v>
      </c>
      <c r="D716" s="5">
        <v>44617</v>
      </c>
      <c r="E716">
        <v>1729</v>
      </c>
      <c r="F716">
        <v>0</v>
      </c>
      <c r="G716">
        <v>153240879</v>
      </c>
      <c r="H716" t="str">
        <f t="shared" si="11"/>
        <v>no</v>
      </c>
      <c r="I716">
        <v>26</v>
      </c>
      <c r="J716">
        <v>1</v>
      </c>
      <c r="K716">
        <v>19</v>
      </c>
      <c r="L716">
        <v>0</v>
      </c>
      <c r="M716">
        <v>0</v>
      </c>
      <c r="N716">
        <v>104</v>
      </c>
      <c r="O716" t="s">
        <v>51</v>
      </c>
      <c r="P716" t="s">
        <v>41</v>
      </c>
      <c r="Q716" s="10">
        <v>80</v>
      </c>
      <c r="R716" s="10">
        <v>24</v>
      </c>
      <c r="S716" s="10">
        <v>65</v>
      </c>
      <c r="T716" s="10">
        <v>2</v>
      </c>
      <c r="U716" s="10">
        <v>0</v>
      </c>
      <c r="V716" s="10">
        <v>9</v>
      </c>
      <c r="W716" s="10">
        <v>4</v>
      </c>
    </row>
    <row r="717" spans="1:23" ht="45.75">
      <c r="A717" s="2" t="s">
        <v>1245</v>
      </c>
      <c r="B717" s="2" t="s">
        <v>1246</v>
      </c>
      <c r="C717">
        <v>1</v>
      </c>
      <c r="D717" s="5">
        <v>44442</v>
      </c>
      <c r="E717">
        <v>2005</v>
      </c>
      <c r="F717">
        <v>0</v>
      </c>
      <c r="G717">
        <v>346127840</v>
      </c>
      <c r="H717" t="str">
        <f t="shared" si="11"/>
        <v>yes</v>
      </c>
      <c r="I717">
        <v>16</v>
      </c>
      <c r="J717">
        <v>5</v>
      </c>
      <c r="K717">
        <v>43</v>
      </c>
      <c r="L717">
        <v>0</v>
      </c>
      <c r="M717">
        <v>7</v>
      </c>
      <c r="N717">
        <v>129</v>
      </c>
      <c r="O717" t="s">
        <v>25</v>
      </c>
      <c r="P717" t="s">
        <v>26</v>
      </c>
      <c r="Q717" s="10">
        <v>42</v>
      </c>
      <c r="R717" s="10">
        <v>33</v>
      </c>
      <c r="S717" s="10">
        <v>44</v>
      </c>
      <c r="T717" s="10">
        <v>62</v>
      </c>
      <c r="U717" s="10">
        <v>0</v>
      </c>
      <c r="V717" s="10">
        <v>8</v>
      </c>
      <c r="W717" s="10">
        <v>6</v>
      </c>
    </row>
    <row r="718" spans="1:23">
      <c r="A718" s="2" t="s">
        <v>1247</v>
      </c>
      <c r="B718" s="2" t="s">
        <v>1248</v>
      </c>
      <c r="C718">
        <v>1</v>
      </c>
      <c r="D718" s="5">
        <v>43890</v>
      </c>
      <c r="E718">
        <v>1188</v>
      </c>
      <c r="F718">
        <v>0</v>
      </c>
      <c r="G718">
        <v>312622938</v>
      </c>
      <c r="H718" t="str">
        <f t="shared" si="11"/>
        <v>yes</v>
      </c>
      <c r="I718">
        <v>13</v>
      </c>
      <c r="J718">
        <v>1</v>
      </c>
      <c r="K718">
        <v>15</v>
      </c>
      <c r="L718">
        <v>0</v>
      </c>
      <c r="M718">
        <v>1</v>
      </c>
      <c r="N718">
        <v>94</v>
      </c>
      <c r="O718" t="s">
        <v>29</v>
      </c>
      <c r="P718" t="s">
        <v>41</v>
      </c>
      <c r="Q718" s="10">
        <v>76</v>
      </c>
      <c r="R718" s="10">
        <v>81</v>
      </c>
      <c r="S718" s="10">
        <v>80</v>
      </c>
      <c r="T718" s="10">
        <v>20</v>
      </c>
      <c r="U718" s="10">
        <v>0</v>
      </c>
      <c r="V718" s="10">
        <v>25</v>
      </c>
      <c r="W718" s="10">
        <v>4</v>
      </c>
    </row>
    <row r="719" spans="1:23" ht="60.75">
      <c r="A719" s="2" t="s">
        <v>1247</v>
      </c>
      <c r="B719" s="2" t="s">
        <v>1249</v>
      </c>
      <c r="C719">
        <v>1</v>
      </c>
      <c r="D719" s="5">
        <v>27698</v>
      </c>
      <c r="E719">
        <v>40112</v>
      </c>
      <c r="F719">
        <v>3</v>
      </c>
      <c r="G719">
        <v>2197010679</v>
      </c>
      <c r="H719" t="str">
        <f t="shared" si="11"/>
        <v>yes</v>
      </c>
      <c r="I719">
        <v>321</v>
      </c>
      <c r="J719">
        <v>162</v>
      </c>
      <c r="K719" s="1">
        <v>5691</v>
      </c>
      <c r="L719">
        <v>8</v>
      </c>
      <c r="M719">
        <v>17</v>
      </c>
      <c r="N719">
        <v>71</v>
      </c>
      <c r="P719" t="s">
        <v>41</v>
      </c>
      <c r="Q719" s="10">
        <v>41</v>
      </c>
      <c r="R719" s="10">
        <v>23</v>
      </c>
      <c r="S719" s="10">
        <v>40</v>
      </c>
      <c r="T719" s="10">
        <v>27</v>
      </c>
      <c r="U719" s="10">
        <v>0</v>
      </c>
      <c r="V719" s="10">
        <v>30</v>
      </c>
      <c r="W719" s="10">
        <v>5</v>
      </c>
    </row>
    <row r="720" spans="1:23" ht="30.75">
      <c r="A720" s="2" t="s">
        <v>1250</v>
      </c>
      <c r="B720" s="2" t="s">
        <v>1251</v>
      </c>
      <c r="C720">
        <v>1</v>
      </c>
      <c r="D720" s="5">
        <v>43175</v>
      </c>
      <c r="E720">
        <v>3659</v>
      </c>
      <c r="F720">
        <v>0</v>
      </c>
      <c r="G720">
        <v>1200808494</v>
      </c>
      <c r="H720" t="str">
        <f t="shared" si="11"/>
        <v>yes</v>
      </c>
      <c r="I720">
        <v>11</v>
      </c>
      <c r="J720">
        <v>10</v>
      </c>
      <c r="K720">
        <v>267</v>
      </c>
      <c r="L720">
        <v>0</v>
      </c>
      <c r="M720">
        <v>7</v>
      </c>
      <c r="N720">
        <v>146</v>
      </c>
      <c r="O720" t="s">
        <v>37</v>
      </c>
      <c r="P720" t="s">
        <v>41</v>
      </c>
      <c r="Q720" s="10">
        <v>59</v>
      </c>
      <c r="R720" s="10">
        <v>23</v>
      </c>
      <c r="S720" s="10">
        <v>46</v>
      </c>
      <c r="T720" s="10">
        <v>66</v>
      </c>
      <c r="U720" s="10">
        <v>0</v>
      </c>
      <c r="V720" s="10">
        <v>15</v>
      </c>
      <c r="W720" s="10">
        <v>6</v>
      </c>
    </row>
    <row r="721" spans="1:23" ht="91.5">
      <c r="A721" s="2" t="s">
        <v>1252</v>
      </c>
      <c r="B721" s="2" t="s">
        <v>1253</v>
      </c>
      <c r="C721">
        <v>1</v>
      </c>
      <c r="D721" s="5">
        <v>43917</v>
      </c>
      <c r="E721">
        <v>9833</v>
      </c>
      <c r="F721">
        <v>0</v>
      </c>
      <c r="G721">
        <v>797196073</v>
      </c>
      <c r="H721" t="str">
        <f t="shared" si="11"/>
        <v>yes</v>
      </c>
      <c r="I721">
        <v>233</v>
      </c>
      <c r="J721">
        <v>82</v>
      </c>
      <c r="K721">
        <v>531</v>
      </c>
      <c r="L721">
        <v>1</v>
      </c>
      <c r="M721">
        <v>1</v>
      </c>
      <c r="N721">
        <v>103</v>
      </c>
      <c r="O721" t="s">
        <v>53</v>
      </c>
      <c r="P721" t="s">
        <v>41</v>
      </c>
      <c r="Q721" s="10">
        <v>69</v>
      </c>
      <c r="R721" s="10">
        <v>90</v>
      </c>
      <c r="S721" s="10">
        <v>88</v>
      </c>
      <c r="T721" s="10">
        <v>5</v>
      </c>
      <c r="U721" s="10">
        <v>0</v>
      </c>
      <c r="V721" s="10">
        <v>29</v>
      </c>
      <c r="W721" s="10">
        <v>8</v>
      </c>
    </row>
    <row r="722" spans="1:23" ht="30.75">
      <c r="A722" s="2" t="s">
        <v>1254</v>
      </c>
      <c r="B722" s="2" t="s">
        <v>1255</v>
      </c>
      <c r="C722">
        <v>1</v>
      </c>
      <c r="D722" s="5">
        <v>41275</v>
      </c>
      <c r="E722">
        <v>50887</v>
      </c>
      <c r="F722">
        <v>34</v>
      </c>
      <c r="G722">
        <v>1970673297</v>
      </c>
      <c r="H722" t="str">
        <f t="shared" si="11"/>
        <v>yes</v>
      </c>
      <c r="I722">
        <v>315</v>
      </c>
      <c r="J722">
        <v>160</v>
      </c>
      <c r="K722" s="1">
        <v>6284</v>
      </c>
      <c r="L722">
        <v>1</v>
      </c>
      <c r="M722">
        <v>46</v>
      </c>
      <c r="N722">
        <v>124</v>
      </c>
      <c r="O722" t="s">
        <v>51</v>
      </c>
      <c r="P722" t="s">
        <v>26</v>
      </c>
      <c r="Q722" s="10">
        <v>53</v>
      </c>
      <c r="R722" s="10">
        <v>66</v>
      </c>
      <c r="S722" s="10">
        <v>78</v>
      </c>
      <c r="T722" s="10">
        <v>0</v>
      </c>
      <c r="U722" s="10">
        <v>0</v>
      </c>
      <c r="V722" s="10">
        <v>16</v>
      </c>
      <c r="W722" s="10">
        <v>5</v>
      </c>
    </row>
    <row r="723" spans="1:23" ht="30.75">
      <c r="A723" s="2" t="s">
        <v>1256</v>
      </c>
      <c r="B723" s="2" t="s">
        <v>1257</v>
      </c>
      <c r="C723">
        <v>1</v>
      </c>
      <c r="D723" s="5">
        <v>44337</v>
      </c>
      <c r="E723">
        <v>3257</v>
      </c>
      <c r="F723">
        <v>0</v>
      </c>
      <c r="G723">
        <v>665765558</v>
      </c>
      <c r="H723" t="str">
        <f t="shared" si="11"/>
        <v>yes</v>
      </c>
      <c r="I723">
        <v>10</v>
      </c>
      <c r="J723">
        <v>0</v>
      </c>
      <c r="K723">
        <v>70</v>
      </c>
      <c r="L723">
        <v>0</v>
      </c>
      <c r="M723">
        <v>0</v>
      </c>
      <c r="N723">
        <v>164</v>
      </c>
      <c r="O723" t="s">
        <v>128</v>
      </c>
      <c r="P723" t="s">
        <v>41</v>
      </c>
      <c r="Q723" s="10">
        <v>70</v>
      </c>
      <c r="R723" s="10">
        <v>71</v>
      </c>
      <c r="S723" s="10">
        <v>58</v>
      </c>
      <c r="T723" s="10">
        <v>24</v>
      </c>
      <c r="U723" s="10">
        <v>0</v>
      </c>
      <c r="V723" s="10">
        <v>7</v>
      </c>
      <c r="W723" s="10">
        <v>13</v>
      </c>
    </row>
    <row r="724" spans="1:23" ht="30.75">
      <c r="A724" s="2" t="s">
        <v>1258</v>
      </c>
      <c r="B724" s="2" t="s">
        <v>1259</v>
      </c>
      <c r="C724">
        <v>1</v>
      </c>
      <c r="D724" s="5">
        <v>44449</v>
      </c>
      <c r="E724">
        <v>1473</v>
      </c>
      <c r="F724">
        <v>0</v>
      </c>
      <c r="G724">
        <v>263779030</v>
      </c>
      <c r="H724" t="str">
        <f t="shared" si="11"/>
        <v>yes</v>
      </c>
      <c r="I724">
        <v>2</v>
      </c>
      <c r="J724">
        <v>0</v>
      </c>
      <c r="K724">
        <v>12</v>
      </c>
      <c r="L724">
        <v>0</v>
      </c>
      <c r="M724">
        <v>10</v>
      </c>
      <c r="N724">
        <v>138</v>
      </c>
      <c r="O724" t="s">
        <v>51</v>
      </c>
      <c r="P724" t="s">
        <v>26</v>
      </c>
      <c r="Q724" s="10">
        <v>69</v>
      </c>
      <c r="R724" s="10">
        <v>35</v>
      </c>
      <c r="S724" s="10">
        <v>57</v>
      </c>
      <c r="T724" s="10">
        <v>12</v>
      </c>
      <c r="U724" s="10">
        <v>0</v>
      </c>
      <c r="V724" s="10">
        <v>10</v>
      </c>
      <c r="W724" s="10">
        <v>9</v>
      </c>
    </row>
    <row r="725" spans="1:23" ht="45.75">
      <c r="A725" s="2" t="s">
        <v>1260</v>
      </c>
      <c r="B725" s="2" t="s">
        <v>1261</v>
      </c>
      <c r="C725">
        <v>1</v>
      </c>
      <c r="D725" s="5">
        <v>44112</v>
      </c>
      <c r="E725">
        <v>2226</v>
      </c>
      <c r="F725">
        <v>0</v>
      </c>
      <c r="G725">
        <v>339473453</v>
      </c>
      <c r="H725" t="str">
        <f t="shared" si="11"/>
        <v>yes</v>
      </c>
      <c r="I725">
        <v>36</v>
      </c>
      <c r="J725">
        <v>2</v>
      </c>
      <c r="K725">
        <v>11</v>
      </c>
      <c r="L725">
        <v>0</v>
      </c>
      <c r="M725">
        <v>14</v>
      </c>
      <c r="N725">
        <v>126</v>
      </c>
      <c r="O725" t="s">
        <v>37</v>
      </c>
      <c r="P725" t="s">
        <v>41</v>
      </c>
      <c r="Q725" s="10">
        <v>67</v>
      </c>
      <c r="R725" s="10">
        <v>37</v>
      </c>
      <c r="S725" s="10">
        <v>46</v>
      </c>
      <c r="T725" s="10">
        <v>13</v>
      </c>
      <c r="U725" s="10">
        <v>0</v>
      </c>
      <c r="V725" s="10">
        <v>10</v>
      </c>
      <c r="W725" s="10">
        <v>39</v>
      </c>
    </row>
    <row r="726" spans="1:23" ht="30.75">
      <c r="A726" s="2" t="s">
        <v>1262</v>
      </c>
      <c r="B726" s="2" t="s">
        <v>1263</v>
      </c>
      <c r="C726">
        <v>2</v>
      </c>
      <c r="D726" s="5">
        <v>42788</v>
      </c>
      <c r="E726">
        <v>23375</v>
      </c>
      <c r="F726">
        <v>21</v>
      </c>
      <c r="G726">
        <v>2204080728</v>
      </c>
      <c r="H726" t="str">
        <f t="shared" si="11"/>
        <v>yes</v>
      </c>
      <c r="I726">
        <v>336</v>
      </c>
      <c r="J726">
        <v>188</v>
      </c>
      <c r="K726" s="1">
        <v>2692</v>
      </c>
      <c r="L726">
        <v>3</v>
      </c>
      <c r="M726">
        <v>30</v>
      </c>
      <c r="N726">
        <v>103</v>
      </c>
      <c r="O726" t="s">
        <v>25</v>
      </c>
      <c r="P726" t="s">
        <v>41</v>
      </c>
      <c r="Q726" s="10">
        <v>61</v>
      </c>
      <c r="R726" s="10">
        <v>47</v>
      </c>
      <c r="S726" s="10">
        <v>65</v>
      </c>
      <c r="T726" s="10">
        <v>3</v>
      </c>
      <c r="U726" s="10">
        <v>0</v>
      </c>
      <c r="V726" s="10">
        <v>17</v>
      </c>
      <c r="W726" s="10">
        <v>4</v>
      </c>
    </row>
    <row r="727" spans="1:23" ht="30.75">
      <c r="A727" s="2" t="s">
        <v>1264</v>
      </c>
      <c r="B727" s="2" t="s">
        <v>1265</v>
      </c>
      <c r="C727">
        <v>2</v>
      </c>
      <c r="D727" s="5">
        <v>42521</v>
      </c>
      <c r="E727">
        <v>28032</v>
      </c>
      <c r="F727">
        <v>0</v>
      </c>
      <c r="G727">
        <v>2591224264</v>
      </c>
      <c r="H727" t="str">
        <f t="shared" si="11"/>
        <v>yes</v>
      </c>
      <c r="I727">
        <v>315</v>
      </c>
      <c r="J727">
        <v>159</v>
      </c>
      <c r="K727" s="1">
        <v>2179</v>
      </c>
      <c r="L727">
        <v>0</v>
      </c>
      <c r="M727">
        <v>44</v>
      </c>
      <c r="N727">
        <v>95</v>
      </c>
      <c r="O727" t="s">
        <v>63</v>
      </c>
      <c r="P727" t="s">
        <v>26</v>
      </c>
      <c r="Q727" s="10">
        <v>75</v>
      </c>
      <c r="R727" s="10">
        <v>64</v>
      </c>
      <c r="S727" s="10">
        <v>52</v>
      </c>
      <c r="T727" s="10">
        <v>41</v>
      </c>
      <c r="U727" s="10">
        <v>0</v>
      </c>
      <c r="V727" s="10">
        <v>11</v>
      </c>
      <c r="W727" s="10">
        <v>3</v>
      </c>
    </row>
    <row r="728" spans="1:23">
      <c r="A728" s="2" t="s">
        <v>1266</v>
      </c>
      <c r="B728" s="2" t="s">
        <v>1267</v>
      </c>
      <c r="C728">
        <v>1</v>
      </c>
      <c r="D728" s="5">
        <v>44614</v>
      </c>
      <c r="E728">
        <v>290</v>
      </c>
      <c r="F728">
        <v>0</v>
      </c>
      <c r="G728">
        <v>135444283</v>
      </c>
      <c r="H728" t="str">
        <f t="shared" si="11"/>
        <v>no</v>
      </c>
      <c r="I728">
        <v>9</v>
      </c>
      <c r="J728">
        <v>66</v>
      </c>
      <c r="K728">
        <v>10</v>
      </c>
      <c r="L728">
        <v>0</v>
      </c>
      <c r="M728">
        <v>0</v>
      </c>
      <c r="N728">
        <v>200</v>
      </c>
      <c r="O728" t="s">
        <v>25</v>
      </c>
      <c r="P728" t="s">
        <v>41</v>
      </c>
      <c r="Q728" s="10">
        <v>39</v>
      </c>
      <c r="R728" s="10">
        <v>28</v>
      </c>
      <c r="S728" s="10">
        <v>77</v>
      </c>
      <c r="T728" s="10">
        <v>4</v>
      </c>
      <c r="U728" s="10">
        <v>0</v>
      </c>
      <c r="V728" s="10">
        <v>6</v>
      </c>
      <c r="W728" s="10">
        <v>29</v>
      </c>
    </row>
    <row r="729" spans="1:23" ht="45.75">
      <c r="A729" s="2" t="s">
        <v>1268</v>
      </c>
      <c r="B729" s="2" t="s">
        <v>1269</v>
      </c>
      <c r="C729">
        <v>2</v>
      </c>
      <c r="D729" s="5">
        <v>40544</v>
      </c>
      <c r="E729">
        <v>42798</v>
      </c>
      <c r="F729">
        <v>0</v>
      </c>
      <c r="G729">
        <v>1457139296</v>
      </c>
      <c r="H729" t="str">
        <f t="shared" si="11"/>
        <v>yes</v>
      </c>
      <c r="I729">
        <v>217</v>
      </c>
      <c r="J729">
        <v>136</v>
      </c>
      <c r="K729" s="1">
        <v>6508</v>
      </c>
      <c r="L729">
        <v>1</v>
      </c>
      <c r="N729">
        <v>129</v>
      </c>
      <c r="P729" t="s">
        <v>26</v>
      </c>
      <c r="Q729" s="10">
        <v>86</v>
      </c>
      <c r="R729" s="10">
        <v>75</v>
      </c>
      <c r="S729" s="10">
        <v>52</v>
      </c>
      <c r="T729" s="10">
        <v>54</v>
      </c>
      <c r="U729" s="10">
        <v>0</v>
      </c>
      <c r="V729" s="10">
        <v>10</v>
      </c>
      <c r="W729" s="10">
        <v>4</v>
      </c>
    </row>
    <row r="730" spans="1:23">
      <c r="A730" s="2" t="s">
        <v>1270</v>
      </c>
      <c r="B730" s="2" t="s">
        <v>1271</v>
      </c>
      <c r="C730">
        <v>2</v>
      </c>
      <c r="D730" s="5">
        <v>43644</v>
      </c>
      <c r="E730">
        <v>2605</v>
      </c>
      <c r="F730">
        <v>0</v>
      </c>
      <c r="G730">
        <v>236872197</v>
      </c>
      <c r="H730" t="str">
        <f t="shared" si="11"/>
        <v>yes</v>
      </c>
      <c r="I730">
        <v>15</v>
      </c>
      <c r="J730">
        <v>48</v>
      </c>
      <c r="K730">
        <v>50</v>
      </c>
      <c r="L730">
        <v>0</v>
      </c>
      <c r="M730">
        <v>3</v>
      </c>
      <c r="N730">
        <v>98</v>
      </c>
      <c r="O730" t="s">
        <v>53</v>
      </c>
      <c r="P730" t="s">
        <v>41</v>
      </c>
      <c r="Q730" s="10">
        <v>68</v>
      </c>
      <c r="R730" s="10">
        <v>33</v>
      </c>
      <c r="S730" s="10">
        <v>43</v>
      </c>
      <c r="T730" s="10">
        <v>38</v>
      </c>
      <c r="U730" s="10">
        <v>0</v>
      </c>
      <c r="V730" s="10">
        <v>36</v>
      </c>
      <c r="W730" s="10">
        <v>14</v>
      </c>
    </row>
    <row r="731" spans="1:23">
      <c r="A731" s="2" t="s">
        <v>1272</v>
      </c>
      <c r="B731" s="2" t="s">
        <v>1273</v>
      </c>
      <c r="C731">
        <v>1</v>
      </c>
      <c r="D731" s="5">
        <v>44659</v>
      </c>
      <c r="E731">
        <v>8737</v>
      </c>
      <c r="F731">
        <v>0</v>
      </c>
      <c r="G731">
        <v>694525298</v>
      </c>
      <c r="H731" t="str">
        <f t="shared" si="11"/>
        <v>yes</v>
      </c>
      <c r="I731">
        <v>163</v>
      </c>
      <c r="J731">
        <v>32</v>
      </c>
      <c r="K731">
        <v>137</v>
      </c>
      <c r="L731">
        <v>15</v>
      </c>
      <c r="M731">
        <v>12</v>
      </c>
      <c r="N731">
        <v>107</v>
      </c>
      <c r="O731" t="s">
        <v>63</v>
      </c>
      <c r="P731" t="s">
        <v>26</v>
      </c>
      <c r="Q731" s="10">
        <v>91</v>
      </c>
      <c r="R731" s="10">
        <v>32</v>
      </c>
      <c r="S731" s="10">
        <v>56</v>
      </c>
      <c r="T731" s="10">
        <v>3</v>
      </c>
      <c r="U731" s="10">
        <v>0</v>
      </c>
      <c r="V731" s="10">
        <v>11</v>
      </c>
      <c r="W731" s="10">
        <v>10</v>
      </c>
    </row>
    <row r="732" spans="1:23">
      <c r="A732" s="2" t="s">
        <v>1272</v>
      </c>
      <c r="B732" s="2" t="s">
        <v>1274</v>
      </c>
      <c r="C732">
        <v>1</v>
      </c>
      <c r="D732" s="5">
        <v>44643</v>
      </c>
      <c r="E732">
        <v>1105</v>
      </c>
      <c r="F732">
        <v>0</v>
      </c>
      <c r="G732">
        <v>240661097</v>
      </c>
      <c r="H732" t="str">
        <f t="shared" si="11"/>
        <v>yes</v>
      </c>
      <c r="I732">
        <v>32</v>
      </c>
      <c r="J732">
        <v>0</v>
      </c>
      <c r="K732">
        <v>19</v>
      </c>
      <c r="L732">
        <v>0</v>
      </c>
      <c r="M732">
        <v>0</v>
      </c>
      <c r="N732">
        <v>174</v>
      </c>
      <c r="P732" t="s">
        <v>26</v>
      </c>
      <c r="Q732" s="10">
        <v>58</v>
      </c>
      <c r="R732" s="10">
        <v>56</v>
      </c>
      <c r="S732" s="10">
        <v>83</v>
      </c>
      <c r="T732" s="10">
        <v>5</v>
      </c>
      <c r="U732" s="10">
        <v>0</v>
      </c>
      <c r="V732" s="10">
        <v>7</v>
      </c>
      <c r="W732" s="10">
        <v>4</v>
      </c>
    </row>
    <row r="733" spans="1:23" ht="45.75">
      <c r="A733" s="2" t="s">
        <v>1275</v>
      </c>
      <c r="B733" s="2" t="s">
        <v>1276</v>
      </c>
      <c r="C733">
        <v>1</v>
      </c>
      <c r="D733" s="5">
        <v>44609</v>
      </c>
      <c r="E733">
        <v>2499</v>
      </c>
      <c r="F733">
        <v>21</v>
      </c>
      <c r="G733">
        <v>421365166</v>
      </c>
      <c r="H733" t="str">
        <f t="shared" si="11"/>
        <v>yes</v>
      </c>
      <c r="I733">
        <v>68</v>
      </c>
      <c r="J733">
        <v>24</v>
      </c>
      <c r="K733">
        <v>43</v>
      </c>
      <c r="L733">
        <v>1</v>
      </c>
      <c r="M733">
        <v>0</v>
      </c>
      <c r="N733">
        <v>92</v>
      </c>
      <c r="O733" t="s">
        <v>63</v>
      </c>
      <c r="P733" t="s">
        <v>26</v>
      </c>
      <c r="Q733" s="10">
        <v>45</v>
      </c>
      <c r="R733" s="10">
        <v>27</v>
      </c>
      <c r="S733" s="10">
        <v>67</v>
      </c>
      <c r="T733" s="10">
        <v>32</v>
      </c>
      <c r="U733" s="10">
        <v>0</v>
      </c>
      <c r="V733" s="10">
        <v>13</v>
      </c>
      <c r="W733" s="10">
        <v>14</v>
      </c>
    </row>
    <row r="734" spans="1:23" ht="30.75">
      <c r="A734" s="2" t="s">
        <v>1277</v>
      </c>
      <c r="B734" s="2" t="s">
        <v>1278</v>
      </c>
      <c r="C734">
        <v>2</v>
      </c>
      <c r="D734" s="5">
        <v>44645</v>
      </c>
      <c r="E734">
        <v>2697</v>
      </c>
      <c r="F734">
        <v>1</v>
      </c>
      <c r="G734">
        <v>349746291</v>
      </c>
      <c r="H734" t="str">
        <f t="shared" si="11"/>
        <v>yes</v>
      </c>
      <c r="I734">
        <v>55</v>
      </c>
      <c r="J734">
        <v>3</v>
      </c>
      <c r="K734">
        <v>32</v>
      </c>
      <c r="L734">
        <v>0</v>
      </c>
      <c r="M734">
        <v>0</v>
      </c>
      <c r="N734">
        <v>90</v>
      </c>
      <c r="O734" t="s">
        <v>72</v>
      </c>
      <c r="P734" t="s">
        <v>26</v>
      </c>
      <c r="Q734" s="10">
        <v>81</v>
      </c>
      <c r="R734" s="10">
        <v>59</v>
      </c>
      <c r="S734" s="10">
        <v>83</v>
      </c>
      <c r="T734" s="10">
        <v>9</v>
      </c>
      <c r="U734" s="10">
        <v>0</v>
      </c>
      <c r="V734" s="10">
        <v>11</v>
      </c>
      <c r="W734" s="10">
        <v>5</v>
      </c>
    </row>
    <row r="735" spans="1:23" ht="30.75">
      <c r="A735" s="2" t="s">
        <v>1279</v>
      </c>
      <c r="B735" s="2" t="s">
        <v>1280</v>
      </c>
      <c r="C735">
        <v>1</v>
      </c>
      <c r="D735" s="5">
        <v>44651</v>
      </c>
      <c r="E735">
        <v>2092</v>
      </c>
      <c r="F735">
        <v>0</v>
      </c>
      <c r="G735">
        <v>255120451</v>
      </c>
      <c r="H735" t="str">
        <f t="shared" si="11"/>
        <v>yes</v>
      </c>
      <c r="I735">
        <v>75</v>
      </c>
      <c r="J735">
        <v>11</v>
      </c>
      <c r="K735">
        <v>44</v>
      </c>
      <c r="L735">
        <v>0</v>
      </c>
      <c r="M735">
        <v>14</v>
      </c>
      <c r="N735">
        <v>147</v>
      </c>
      <c r="O735" t="s">
        <v>32</v>
      </c>
      <c r="P735" t="s">
        <v>26</v>
      </c>
      <c r="Q735" s="10">
        <v>60</v>
      </c>
      <c r="R735" s="10">
        <v>58</v>
      </c>
      <c r="S735" s="10">
        <v>69</v>
      </c>
      <c r="T735" s="10">
        <v>2</v>
      </c>
      <c r="U735" s="10">
        <v>0</v>
      </c>
      <c r="V735" s="10">
        <v>58</v>
      </c>
      <c r="W735" s="10">
        <v>4</v>
      </c>
    </row>
    <row r="736" spans="1:23">
      <c r="A736" s="2" t="s">
        <v>1281</v>
      </c>
      <c r="B736" s="2" t="s">
        <v>1282</v>
      </c>
      <c r="C736">
        <v>1</v>
      </c>
      <c r="D736" s="5">
        <v>44652</v>
      </c>
      <c r="E736">
        <v>1185</v>
      </c>
      <c r="F736">
        <v>0</v>
      </c>
      <c r="G736">
        <v>190981339</v>
      </c>
      <c r="H736" t="str">
        <f t="shared" si="11"/>
        <v>no</v>
      </c>
      <c r="I736">
        <v>21</v>
      </c>
      <c r="J736">
        <v>0</v>
      </c>
      <c r="K736">
        <v>31</v>
      </c>
      <c r="L736">
        <v>0</v>
      </c>
      <c r="M736">
        <v>0</v>
      </c>
      <c r="N736">
        <v>143</v>
      </c>
      <c r="O736" t="s">
        <v>29</v>
      </c>
      <c r="P736" t="s">
        <v>26</v>
      </c>
      <c r="Q736" s="10">
        <v>68</v>
      </c>
      <c r="R736" s="10">
        <v>41</v>
      </c>
      <c r="S736" s="10">
        <v>55</v>
      </c>
      <c r="T736" s="10">
        <v>16</v>
      </c>
      <c r="U736" s="10">
        <v>0</v>
      </c>
      <c r="V736" s="10">
        <v>10</v>
      </c>
      <c r="W736" s="10">
        <v>12</v>
      </c>
    </row>
    <row r="737" spans="1:23" ht="30.75">
      <c r="A737" s="2" t="s">
        <v>1283</v>
      </c>
      <c r="B737" s="2" t="s">
        <v>1284</v>
      </c>
      <c r="C737">
        <v>1</v>
      </c>
      <c r="D737" s="5">
        <v>42015</v>
      </c>
      <c r="E737">
        <v>11985</v>
      </c>
      <c r="F737">
        <v>0</v>
      </c>
      <c r="G737">
        <v>924193303</v>
      </c>
      <c r="H737" t="str">
        <f t="shared" si="11"/>
        <v>yes</v>
      </c>
      <c r="I737">
        <v>79</v>
      </c>
      <c r="J737">
        <v>80</v>
      </c>
      <c r="K737">
        <v>250</v>
      </c>
      <c r="L737">
        <v>3</v>
      </c>
      <c r="M737">
        <v>10</v>
      </c>
      <c r="N737">
        <v>101</v>
      </c>
      <c r="O737" t="s">
        <v>196</v>
      </c>
      <c r="P737" t="s">
        <v>41</v>
      </c>
      <c r="Q737" s="10">
        <v>76</v>
      </c>
      <c r="R737" s="10">
        <v>63</v>
      </c>
      <c r="S737" s="10">
        <v>71</v>
      </c>
      <c r="T737" s="10">
        <v>3</v>
      </c>
      <c r="U737" s="10">
        <v>0</v>
      </c>
      <c r="V737" s="10">
        <v>10</v>
      </c>
      <c r="W737" s="10">
        <v>3</v>
      </c>
    </row>
    <row r="738" spans="1:23">
      <c r="A738" s="2" t="s">
        <v>1285</v>
      </c>
      <c r="B738" s="2" t="s">
        <v>1286</v>
      </c>
      <c r="C738">
        <v>1</v>
      </c>
      <c r="D738" s="5">
        <v>44656</v>
      </c>
      <c r="E738">
        <v>753</v>
      </c>
      <c r="F738">
        <v>8</v>
      </c>
      <c r="G738">
        <v>305771063</v>
      </c>
      <c r="H738" t="str">
        <f t="shared" si="11"/>
        <v>yes</v>
      </c>
      <c r="I738">
        <v>28</v>
      </c>
      <c r="J738">
        <v>124</v>
      </c>
      <c r="K738">
        <v>13</v>
      </c>
      <c r="L738">
        <v>0</v>
      </c>
      <c r="M738">
        <v>1</v>
      </c>
      <c r="N738">
        <v>118</v>
      </c>
      <c r="O738" t="s">
        <v>29</v>
      </c>
      <c r="P738" t="s">
        <v>41</v>
      </c>
      <c r="Q738" s="10">
        <v>70</v>
      </c>
      <c r="R738" s="10">
        <v>54</v>
      </c>
      <c r="S738" s="10">
        <v>71</v>
      </c>
      <c r="T738" s="10">
        <v>0</v>
      </c>
      <c r="U738" s="10">
        <v>0</v>
      </c>
      <c r="V738" s="10">
        <v>33</v>
      </c>
      <c r="W738" s="10">
        <v>4</v>
      </c>
    </row>
    <row r="739" spans="1:23" ht="30.75">
      <c r="A739" s="2" t="s">
        <v>1287</v>
      </c>
      <c r="B739" s="2" t="s">
        <v>1288</v>
      </c>
      <c r="C739">
        <v>3</v>
      </c>
      <c r="D739" s="5">
        <v>44638</v>
      </c>
      <c r="E739">
        <v>2995</v>
      </c>
      <c r="F739">
        <v>0</v>
      </c>
      <c r="G739">
        <v>273005485</v>
      </c>
      <c r="H739" t="str">
        <f t="shared" si="11"/>
        <v>yes</v>
      </c>
      <c r="I739">
        <v>49</v>
      </c>
      <c r="J739">
        <v>17</v>
      </c>
      <c r="K739">
        <v>30</v>
      </c>
      <c r="L739">
        <v>0</v>
      </c>
      <c r="M739">
        <v>0</v>
      </c>
      <c r="N739">
        <v>98</v>
      </c>
      <c r="O739" t="s">
        <v>72</v>
      </c>
      <c r="P739" t="s">
        <v>41</v>
      </c>
      <c r="Q739" s="10">
        <v>83</v>
      </c>
      <c r="R739" s="10">
        <v>63</v>
      </c>
      <c r="S739" s="10">
        <v>74</v>
      </c>
      <c r="T739" s="10">
        <v>14</v>
      </c>
      <c r="U739" s="10">
        <v>0</v>
      </c>
      <c r="V739" s="10">
        <v>16</v>
      </c>
      <c r="W739" s="10">
        <v>6</v>
      </c>
    </row>
    <row r="740" spans="1:23">
      <c r="A740" s="2" t="s">
        <v>1289</v>
      </c>
      <c r="B740" s="2" t="s">
        <v>1290</v>
      </c>
      <c r="C740">
        <v>1</v>
      </c>
      <c r="D740" s="5">
        <v>44657</v>
      </c>
      <c r="E740">
        <v>225</v>
      </c>
      <c r="F740">
        <v>0</v>
      </c>
      <c r="G740">
        <v>89566512</v>
      </c>
      <c r="H740" t="str">
        <f t="shared" si="11"/>
        <v>no</v>
      </c>
      <c r="I740">
        <v>11</v>
      </c>
      <c r="J740">
        <v>0</v>
      </c>
      <c r="K740">
        <v>7</v>
      </c>
      <c r="L740">
        <v>0</v>
      </c>
      <c r="M740">
        <v>0</v>
      </c>
      <c r="N740">
        <v>138</v>
      </c>
      <c r="O740" t="s">
        <v>29</v>
      </c>
      <c r="P740" t="s">
        <v>41</v>
      </c>
      <c r="Q740" s="10">
        <v>72</v>
      </c>
      <c r="R740" s="10">
        <v>22</v>
      </c>
      <c r="S740" s="10">
        <v>46</v>
      </c>
      <c r="T740" s="10">
        <v>24</v>
      </c>
      <c r="U740" s="10">
        <v>0</v>
      </c>
      <c r="V740" s="10">
        <v>9</v>
      </c>
      <c r="W740" s="10">
        <v>6</v>
      </c>
    </row>
    <row r="741" spans="1:23" ht="30.75">
      <c r="A741" s="2" t="s">
        <v>1291</v>
      </c>
      <c r="B741" s="2" t="s">
        <v>1292</v>
      </c>
      <c r="C741">
        <v>1</v>
      </c>
      <c r="D741" s="5">
        <v>42005</v>
      </c>
      <c r="E741">
        <v>9243</v>
      </c>
      <c r="F741">
        <v>0</v>
      </c>
      <c r="G741">
        <v>677389855</v>
      </c>
      <c r="H741" t="str">
        <f t="shared" si="11"/>
        <v>yes</v>
      </c>
      <c r="I741">
        <v>155</v>
      </c>
      <c r="J741">
        <v>5</v>
      </c>
      <c r="K741">
        <v>577</v>
      </c>
      <c r="L741">
        <v>0</v>
      </c>
      <c r="M741">
        <v>6</v>
      </c>
      <c r="N741">
        <v>114</v>
      </c>
      <c r="O741" t="s">
        <v>32</v>
      </c>
      <c r="P741" t="s">
        <v>41</v>
      </c>
      <c r="Q741" s="10">
        <v>59</v>
      </c>
      <c r="R741" s="10">
        <v>30</v>
      </c>
      <c r="S741" s="10">
        <v>62</v>
      </c>
      <c r="T741" s="10">
        <v>1</v>
      </c>
      <c r="U741" s="10">
        <v>0</v>
      </c>
      <c r="V741" s="10">
        <v>8</v>
      </c>
      <c r="W741" s="10">
        <v>4</v>
      </c>
    </row>
    <row r="742" spans="1:23" ht="45.75">
      <c r="A742" s="2" t="s">
        <v>1293</v>
      </c>
      <c r="B742" s="2" t="s">
        <v>1294</v>
      </c>
      <c r="C742">
        <v>2</v>
      </c>
      <c r="D742" s="5">
        <v>44658</v>
      </c>
      <c r="E742">
        <v>918</v>
      </c>
      <c r="F742">
        <v>0</v>
      </c>
      <c r="G742">
        <v>75476209</v>
      </c>
      <c r="H742" t="str">
        <f t="shared" si="11"/>
        <v>no</v>
      </c>
      <c r="I742">
        <v>24</v>
      </c>
      <c r="J742">
        <v>0</v>
      </c>
      <c r="K742">
        <v>52</v>
      </c>
      <c r="L742">
        <v>0</v>
      </c>
      <c r="M742">
        <v>0</v>
      </c>
      <c r="N742">
        <v>180</v>
      </c>
      <c r="O742" t="s">
        <v>72</v>
      </c>
      <c r="P742" t="s">
        <v>41</v>
      </c>
      <c r="Q742" s="10">
        <v>63</v>
      </c>
      <c r="R742" s="10">
        <v>45</v>
      </c>
      <c r="S742" s="10">
        <v>64</v>
      </c>
      <c r="T742" s="10">
        <v>34</v>
      </c>
      <c r="U742" s="10">
        <v>0</v>
      </c>
      <c r="V742" s="10">
        <v>9</v>
      </c>
      <c r="W742" s="10">
        <v>8</v>
      </c>
    </row>
    <row r="743" spans="1:23" ht="30.75">
      <c r="A743" s="2" t="s">
        <v>1295</v>
      </c>
      <c r="B743" s="2" t="s">
        <v>1296</v>
      </c>
      <c r="C743">
        <v>1</v>
      </c>
      <c r="D743" s="5">
        <v>44448</v>
      </c>
      <c r="E743">
        <v>1959</v>
      </c>
      <c r="F743">
        <v>9</v>
      </c>
      <c r="G743">
        <v>408843328</v>
      </c>
      <c r="H743" t="str">
        <f t="shared" si="11"/>
        <v>yes</v>
      </c>
      <c r="I743">
        <v>52</v>
      </c>
      <c r="J743">
        <v>25</v>
      </c>
      <c r="K743">
        <v>32</v>
      </c>
      <c r="L743">
        <v>0</v>
      </c>
      <c r="M743">
        <v>10</v>
      </c>
      <c r="N743">
        <v>145</v>
      </c>
      <c r="O743" t="s">
        <v>25</v>
      </c>
      <c r="P743" t="s">
        <v>26</v>
      </c>
      <c r="Q743" s="10">
        <v>56</v>
      </c>
      <c r="R743" s="10">
        <v>41</v>
      </c>
      <c r="S743" s="10">
        <v>57</v>
      </c>
      <c r="T743" s="10">
        <v>1</v>
      </c>
      <c r="U743" s="10">
        <v>0</v>
      </c>
      <c r="V743" s="10">
        <v>13</v>
      </c>
      <c r="W743" s="10">
        <v>3</v>
      </c>
    </row>
    <row r="744" spans="1:23">
      <c r="A744" s="2" t="s">
        <v>1297</v>
      </c>
      <c r="B744" s="2" t="s">
        <v>1298</v>
      </c>
      <c r="C744">
        <v>3</v>
      </c>
      <c r="D744" s="5">
        <v>44591</v>
      </c>
      <c r="E744">
        <v>540</v>
      </c>
      <c r="F744">
        <v>4</v>
      </c>
      <c r="G744">
        <v>187772591</v>
      </c>
      <c r="H744" t="str">
        <f t="shared" si="11"/>
        <v>no</v>
      </c>
      <c r="I744">
        <v>26</v>
      </c>
      <c r="J744">
        <v>3</v>
      </c>
      <c r="K744">
        <v>39</v>
      </c>
      <c r="L744">
        <v>0</v>
      </c>
      <c r="M744">
        <v>0</v>
      </c>
      <c r="N744">
        <v>115</v>
      </c>
      <c r="O744" t="s">
        <v>63</v>
      </c>
      <c r="P744" t="s">
        <v>41</v>
      </c>
      <c r="Q744" s="10">
        <v>78</v>
      </c>
      <c r="R744" s="10">
        <v>63</v>
      </c>
      <c r="S744" s="10">
        <v>64</v>
      </c>
      <c r="T744" s="10">
        <v>1</v>
      </c>
      <c r="U744" s="10">
        <v>0</v>
      </c>
      <c r="V744" s="10">
        <v>7</v>
      </c>
      <c r="W744" s="10">
        <v>4</v>
      </c>
    </row>
    <row r="745" spans="1:23" ht="30.75">
      <c r="A745" s="2" t="s">
        <v>1297</v>
      </c>
      <c r="B745" s="2" t="s">
        <v>1299</v>
      </c>
      <c r="C745">
        <v>3</v>
      </c>
      <c r="D745" s="5">
        <v>44651</v>
      </c>
      <c r="E745">
        <v>859</v>
      </c>
      <c r="F745">
        <v>0</v>
      </c>
      <c r="G745">
        <v>178512385</v>
      </c>
      <c r="H745" t="str">
        <f t="shared" si="11"/>
        <v>no</v>
      </c>
      <c r="I745">
        <v>14</v>
      </c>
      <c r="J745">
        <v>0</v>
      </c>
      <c r="K745">
        <v>11</v>
      </c>
      <c r="L745">
        <v>0</v>
      </c>
      <c r="M745">
        <v>0</v>
      </c>
      <c r="N745">
        <v>82</v>
      </c>
      <c r="O745" t="s">
        <v>128</v>
      </c>
      <c r="P745" t="s">
        <v>26</v>
      </c>
      <c r="Q745" s="10">
        <v>79</v>
      </c>
      <c r="R745" s="10">
        <v>48</v>
      </c>
      <c r="S745" s="10">
        <v>84</v>
      </c>
      <c r="T745" s="10">
        <v>13</v>
      </c>
      <c r="U745" s="10">
        <v>0</v>
      </c>
      <c r="V745" s="10">
        <v>21</v>
      </c>
      <c r="W745" s="10">
        <v>23</v>
      </c>
    </row>
    <row r="746" spans="1:23">
      <c r="A746" s="2" t="s">
        <v>1297</v>
      </c>
      <c r="B746" s="2" t="s">
        <v>1300</v>
      </c>
      <c r="C746">
        <v>1</v>
      </c>
      <c r="D746" s="5">
        <v>44659</v>
      </c>
      <c r="E746">
        <v>1116</v>
      </c>
      <c r="F746">
        <v>0</v>
      </c>
      <c r="G746">
        <v>101780047</v>
      </c>
      <c r="H746" t="str">
        <f t="shared" si="11"/>
        <v>no</v>
      </c>
      <c r="I746">
        <v>31</v>
      </c>
      <c r="J746">
        <v>9</v>
      </c>
      <c r="K746">
        <v>15</v>
      </c>
      <c r="L746">
        <v>0</v>
      </c>
      <c r="M746">
        <v>1</v>
      </c>
      <c r="N746">
        <v>166</v>
      </c>
      <c r="O746" t="s">
        <v>51</v>
      </c>
      <c r="P746" t="s">
        <v>26</v>
      </c>
      <c r="Q746" s="10">
        <v>70</v>
      </c>
      <c r="R746" s="10">
        <v>22</v>
      </c>
      <c r="S746" s="10">
        <v>61</v>
      </c>
      <c r="T746" s="10">
        <v>2</v>
      </c>
      <c r="U746" s="10">
        <v>0</v>
      </c>
      <c r="V746" s="10">
        <v>10</v>
      </c>
      <c r="W746" s="10">
        <v>34</v>
      </c>
    </row>
    <row r="747" spans="1:23" ht="30.75">
      <c r="A747" s="2" t="s">
        <v>1301</v>
      </c>
      <c r="B747" s="2" t="s">
        <v>1302</v>
      </c>
      <c r="C747">
        <v>3</v>
      </c>
      <c r="D747" s="5">
        <v>44650</v>
      </c>
      <c r="E747">
        <v>273</v>
      </c>
      <c r="F747">
        <v>2</v>
      </c>
      <c r="G747">
        <v>118381354</v>
      </c>
      <c r="H747" t="str">
        <f t="shared" si="11"/>
        <v>no</v>
      </c>
      <c r="I747">
        <v>12</v>
      </c>
      <c r="J747">
        <v>2</v>
      </c>
      <c r="K747">
        <v>4</v>
      </c>
      <c r="L747">
        <v>0</v>
      </c>
      <c r="M747">
        <v>0</v>
      </c>
      <c r="N747">
        <v>92</v>
      </c>
      <c r="P747" t="s">
        <v>26</v>
      </c>
      <c r="Q747" s="10">
        <v>86</v>
      </c>
      <c r="R747" s="10">
        <v>91</v>
      </c>
      <c r="S747" s="10">
        <v>79</v>
      </c>
      <c r="T747" s="10">
        <v>29</v>
      </c>
      <c r="U747" s="10">
        <v>0</v>
      </c>
      <c r="V747" s="10">
        <v>60</v>
      </c>
      <c r="W747" s="10">
        <v>16</v>
      </c>
    </row>
    <row r="748" spans="1:23" ht="30.75">
      <c r="A748" s="2" t="s">
        <v>1303</v>
      </c>
      <c r="B748" s="2" t="s">
        <v>1304</v>
      </c>
      <c r="C748">
        <v>1</v>
      </c>
      <c r="D748" s="5">
        <v>44659</v>
      </c>
      <c r="E748">
        <v>686</v>
      </c>
      <c r="F748">
        <v>2</v>
      </c>
      <c r="G748">
        <v>146363130</v>
      </c>
      <c r="H748" t="str">
        <f t="shared" si="11"/>
        <v>no</v>
      </c>
      <c r="I748">
        <v>11</v>
      </c>
      <c r="J748">
        <v>6</v>
      </c>
      <c r="K748">
        <v>12</v>
      </c>
      <c r="L748">
        <v>0</v>
      </c>
      <c r="M748">
        <v>15</v>
      </c>
      <c r="N748">
        <v>108</v>
      </c>
      <c r="O748" t="s">
        <v>53</v>
      </c>
      <c r="P748" t="s">
        <v>26</v>
      </c>
      <c r="Q748" s="10">
        <v>71</v>
      </c>
      <c r="R748" s="10">
        <v>55</v>
      </c>
      <c r="S748" s="10">
        <v>44</v>
      </c>
      <c r="T748" s="10">
        <v>74</v>
      </c>
      <c r="U748" s="10">
        <v>0</v>
      </c>
      <c r="V748" s="10">
        <v>11</v>
      </c>
      <c r="W748" s="10">
        <v>6</v>
      </c>
    </row>
    <row r="749" spans="1:23">
      <c r="A749" s="2" t="s">
        <v>1305</v>
      </c>
      <c r="B749" s="2" t="s">
        <v>1306</v>
      </c>
      <c r="C749">
        <v>1</v>
      </c>
      <c r="D749" s="5">
        <v>44645</v>
      </c>
      <c r="E749">
        <v>226</v>
      </c>
      <c r="F749">
        <v>0</v>
      </c>
      <c r="G749">
        <v>126443991</v>
      </c>
      <c r="H749" t="str">
        <f t="shared" si="11"/>
        <v>no</v>
      </c>
      <c r="I749">
        <v>5</v>
      </c>
      <c r="J749">
        <v>0</v>
      </c>
      <c r="K749">
        <v>4</v>
      </c>
      <c r="L749">
        <v>0</v>
      </c>
      <c r="M749">
        <v>1</v>
      </c>
      <c r="N749">
        <v>84</v>
      </c>
      <c r="O749" t="s">
        <v>98</v>
      </c>
      <c r="P749" t="s">
        <v>41</v>
      </c>
      <c r="Q749" s="10">
        <v>71</v>
      </c>
      <c r="R749" s="10">
        <v>63</v>
      </c>
      <c r="S749" s="10">
        <v>45</v>
      </c>
      <c r="T749" s="10">
        <v>45</v>
      </c>
      <c r="U749" s="10">
        <v>0</v>
      </c>
      <c r="V749" s="10">
        <v>11</v>
      </c>
      <c r="W749" s="10">
        <v>3</v>
      </c>
    </row>
    <row r="750" spans="1:23">
      <c r="A750" s="2" t="s">
        <v>1305</v>
      </c>
      <c r="B750" s="2" t="s">
        <v>1307</v>
      </c>
      <c r="C750">
        <v>1</v>
      </c>
      <c r="D750" s="5">
        <v>44645</v>
      </c>
      <c r="E750">
        <v>1264</v>
      </c>
      <c r="F750">
        <v>0</v>
      </c>
      <c r="G750">
        <v>157990698</v>
      </c>
      <c r="H750" t="str">
        <f t="shared" si="11"/>
        <v>no</v>
      </c>
      <c r="I750">
        <v>20</v>
      </c>
      <c r="J750">
        <v>4</v>
      </c>
      <c r="K750">
        <v>52</v>
      </c>
      <c r="L750">
        <v>0</v>
      </c>
      <c r="M750">
        <v>1</v>
      </c>
      <c r="N750">
        <v>95</v>
      </c>
      <c r="O750" t="s">
        <v>196</v>
      </c>
      <c r="P750" t="s">
        <v>41</v>
      </c>
      <c r="Q750" s="10">
        <v>69</v>
      </c>
      <c r="R750" s="10">
        <v>90</v>
      </c>
      <c r="S750" s="10">
        <v>91</v>
      </c>
      <c r="T750" s="10">
        <v>6</v>
      </c>
      <c r="U750" s="10">
        <v>0</v>
      </c>
      <c r="V750" s="10">
        <v>35</v>
      </c>
      <c r="W750" s="10">
        <v>4</v>
      </c>
    </row>
    <row r="751" spans="1:23" ht="30.75">
      <c r="A751" s="2" t="s">
        <v>1308</v>
      </c>
      <c r="B751" s="2" t="s">
        <v>1309</v>
      </c>
      <c r="C751">
        <v>4</v>
      </c>
      <c r="D751" s="5">
        <v>44637</v>
      </c>
      <c r="E751">
        <v>870</v>
      </c>
      <c r="F751">
        <v>0</v>
      </c>
      <c r="G751">
        <v>176290831</v>
      </c>
      <c r="H751" t="str">
        <f t="shared" si="11"/>
        <v>no</v>
      </c>
      <c r="I751">
        <v>32</v>
      </c>
      <c r="J751">
        <v>0</v>
      </c>
      <c r="K751">
        <v>49</v>
      </c>
      <c r="L751">
        <v>0</v>
      </c>
      <c r="M751">
        <v>0</v>
      </c>
      <c r="N751">
        <v>135</v>
      </c>
      <c r="O751" t="s">
        <v>196</v>
      </c>
      <c r="P751" t="s">
        <v>41</v>
      </c>
      <c r="Q751" s="10">
        <v>93</v>
      </c>
      <c r="R751" s="10">
        <v>77</v>
      </c>
      <c r="S751" s="10">
        <v>45</v>
      </c>
      <c r="T751" s="10">
        <v>25</v>
      </c>
      <c r="U751" s="10">
        <v>0</v>
      </c>
      <c r="V751" s="10">
        <v>13</v>
      </c>
      <c r="W751" s="10">
        <v>27</v>
      </c>
    </row>
    <row r="752" spans="1:23">
      <c r="A752" s="2" t="s">
        <v>1310</v>
      </c>
      <c r="B752" s="2" t="s">
        <v>1311</v>
      </c>
      <c r="C752">
        <v>1</v>
      </c>
      <c r="D752" s="5">
        <v>43812</v>
      </c>
      <c r="E752">
        <v>7556</v>
      </c>
      <c r="F752">
        <v>0</v>
      </c>
      <c r="G752">
        <v>1023187129</v>
      </c>
      <c r="H752" t="str">
        <f t="shared" si="11"/>
        <v>yes</v>
      </c>
      <c r="I752">
        <v>124</v>
      </c>
      <c r="J752">
        <v>24</v>
      </c>
      <c r="K752">
        <v>254</v>
      </c>
      <c r="L752">
        <v>0</v>
      </c>
      <c r="M752">
        <v>8</v>
      </c>
      <c r="N752">
        <v>110</v>
      </c>
      <c r="O752" t="s">
        <v>98</v>
      </c>
      <c r="P752" t="s">
        <v>26</v>
      </c>
      <c r="Q752" s="10">
        <v>57</v>
      </c>
      <c r="R752" s="10">
        <v>6</v>
      </c>
      <c r="S752" s="10">
        <v>27</v>
      </c>
      <c r="T752" s="10">
        <v>84</v>
      </c>
      <c r="U752" s="10">
        <v>0</v>
      </c>
      <c r="V752" s="10">
        <v>9</v>
      </c>
      <c r="W752" s="10">
        <v>3</v>
      </c>
    </row>
    <row r="753" spans="1:23">
      <c r="A753" s="2" t="s">
        <v>1312</v>
      </c>
      <c r="B753" s="2" t="s">
        <v>1313</v>
      </c>
      <c r="C753">
        <v>2</v>
      </c>
      <c r="D753" s="5">
        <v>35393</v>
      </c>
      <c r="E753">
        <v>1370</v>
      </c>
      <c r="F753">
        <v>0</v>
      </c>
      <c r="G753">
        <v>106933107</v>
      </c>
      <c r="H753" t="str">
        <f t="shared" si="11"/>
        <v>no</v>
      </c>
      <c r="I753">
        <v>46</v>
      </c>
      <c r="J753">
        <v>8</v>
      </c>
      <c r="K753">
        <v>60</v>
      </c>
      <c r="L753">
        <v>0</v>
      </c>
      <c r="M753">
        <v>0</v>
      </c>
      <c r="N753">
        <v>88</v>
      </c>
      <c r="O753" t="s">
        <v>72</v>
      </c>
      <c r="P753" t="s">
        <v>26</v>
      </c>
      <c r="Q753" s="10">
        <v>89</v>
      </c>
      <c r="R753" s="10">
        <v>59</v>
      </c>
      <c r="S753" s="10">
        <v>64</v>
      </c>
      <c r="T753" s="10">
        <v>5</v>
      </c>
      <c r="U753" s="10">
        <v>0</v>
      </c>
      <c r="V753" s="10">
        <v>19</v>
      </c>
      <c r="W753" s="10">
        <v>7</v>
      </c>
    </row>
    <row r="754" spans="1:23" ht="30.75">
      <c r="A754" s="2" t="s">
        <v>1314</v>
      </c>
      <c r="B754" s="2" t="s">
        <v>1315</v>
      </c>
      <c r="C754">
        <v>1</v>
      </c>
      <c r="D754" s="5">
        <v>44650</v>
      </c>
      <c r="E754">
        <v>315</v>
      </c>
      <c r="F754">
        <v>2</v>
      </c>
      <c r="G754">
        <v>139193812</v>
      </c>
      <c r="H754" t="str">
        <f t="shared" si="11"/>
        <v>no</v>
      </c>
      <c r="I754">
        <v>27</v>
      </c>
      <c r="J754">
        <v>2</v>
      </c>
      <c r="K754">
        <v>31</v>
      </c>
      <c r="L754">
        <v>0</v>
      </c>
      <c r="M754">
        <v>0</v>
      </c>
      <c r="N754">
        <v>119</v>
      </c>
      <c r="O754" t="s">
        <v>29</v>
      </c>
      <c r="P754" t="s">
        <v>41</v>
      </c>
      <c r="Q754" s="10">
        <v>87</v>
      </c>
      <c r="R754" s="10">
        <v>28</v>
      </c>
      <c r="S754" s="10">
        <v>50</v>
      </c>
      <c r="T754" s="10">
        <v>12</v>
      </c>
      <c r="U754" s="10">
        <v>0</v>
      </c>
      <c r="V754" s="10">
        <v>10</v>
      </c>
      <c r="W754" s="10">
        <v>10</v>
      </c>
    </row>
    <row r="755" spans="1:23">
      <c r="A755" s="2" t="s">
        <v>1316</v>
      </c>
      <c r="B755" s="2" t="s">
        <v>1317</v>
      </c>
      <c r="C755">
        <v>1</v>
      </c>
      <c r="D755" s="5">
        <v>44638</v>
      </c>
      <c r="E755">
        <v>651</v>
      </c>
      <c r="F755">
        <v>0</v>
      </c>
      <c r="G755">
        <v>212234990</v>
      </c>
      <c r="H755" t="str">
        <f t="shared" si="11"/>
        <v>yes</v>
      </c>
      <c r="I755">
        <v>6</v>
      </c>
      <c r="J755">
        <v>188</v>
      </c>
      <c r="K755">
        <v>20</v>
      </c>
      <c r="L755">
        <v>0</v>
      </c>
      <c r="M755">
        <v>0</v>
      </c>
      <c r="N755">
        <v>120</v>
      </c>
      <c r="O755" t="s">
        <v>29</v>
      </c>
      <c r="P755" t="s">
        <v>26</v>
      </c>
      <c r="Q755" s="10">
        <v>58</v>
      </c>
      <c r="R755" s="10">
        <v>71</v>
      </c>
      <c r="S755" s="10">
        <v>80</v>
      </c>
      <c r="T755" s="10">
        <v>15</v>
      </c>
      <c r="U755" s="10">
        <v>0</v>
      </c>
      <c r="V755" s="10">
        <v>7</v>
      </c>
      <c r="W755" s="10">
        <v>41</v>
      </c>
    </row>
    <row r="756" spans="1:23" ht="60.75">
      <c r="A756" s="2" t="s">
        <v>1318</v>
      </c>
      <c r="B756" s="2" t="s">
        <v>1319</v>
      </c>
      <c r="C756">
        <v>1</v>
      </c>
      <c r="D756" s="5">
        <v>42636</v>
      </c>
      <c r="E756">
        <v>12382</v>
      </c>
      <c r="F756">
        <v>0</v>
      </c>
      <c r="G756">
        <v>1714490998</v>
      </c>
      <c r="H756" t="str">
        <f t="shared" si="11"/>
        <v>yes</v>
      </c>
      <c r="I756">
        <v>229</v>
      </c>
      <c r="J756">
        <v>57</v>
      </c>
      <c r="K756" s="1">
        <v>1370</v>
      </c>
      <c r="L756">
        <v>2</v>
      </c>
      <c r="M756">
        <v>71</v>
      </c>
      <c r="N756">
        <v>122</v>
      </c>
      <c r="O756" t="s">
        <v>51</v>
      </c>
      <c r="P756" t="s">
        <v>26</v>
      </c>
      <c r="Q756" s="10">
        <v>86</v>
      </c>
      <c r="R756" s="10">
        <v>97</v>
      </c>
      <c r="S756" s="10">
        <v>80</v>
      </c>
      <c r="T756" s="10">
        <v>36</v>
      </c>
      <c r="U756" s="10">
        <v>0</v>
      </c>
      <c r="V756" s="10">
        <v>9</v>
      </c>
      <c r="W756" s="10">
        <v>6</v>
      </c>
    </row>
    <row r="757" spans="1:23" ht="30.75">
      <c r="A757" s="2" t="s">
        <v>1320</v>
      </c>
      <c r="B757" s="2" t="s">
        <v>1321</v>
      </c>
      <c r="C757">
        <v>2</v>
      </c>
      <c r="D757" s="5">
        <v>44638</v>
      </c>
      <c r="E757">
        <v>625</v>
      </c>
      <c r="F757">
        <v>0</v>
      </c>
      <c r="G757">
        <v>197643795</v>
      </c>
      <c r="H757" t="str">
        <f t="shared" si="11"/>
        <v>no</v>
      </c>
      <c r="I757">
        <v>10</v>
      </c>
      <c r="J757">
        <v>2</v>
      </c>
      <c r="K757">
        <v>13</v>
      </c>
      <c r="L757">
        <v>0</v>
      </c>
      <c r="M757">
        <v>1</v>
      </c>
      <c r="N757">
        <v>98</v>
      </c>
      <c r="O757" t="s">
        <v>32</v>
      </c>
      <c r="P757" t="s">
        <v>26</v>
      </c>
      <c r="Q757" s="10">
        <v>78</v>
      </c>
      <c r="R757" s="10">
        <v>83</v>
      </c>
      <c r="S757" s="10">
        <v>75</v>
      </c>
      <c r="T757" s="10">
        <v>41</v>
      </c>
      <c r="U757" s="10">
        <v>0</v>
      </c>
      <c r="V757" s="10">
        <v>27</v>
      </c>
      <c r="W757" s="10">
        <v>8</v>
      </c>
    </row>
    <row r="758" spans="1:23">
      <c r="A758" s="2" t="s">
        <v>1322</v>
      </c>
      <c r="B758" s="2" t="s">
        <v>1323</v>
      </c>
      <c r="C758">
        <v>1</v>
      </c>
      <c r="D758" s="5">
        <v>43812</v>
      </c>
      <c r="E758">
        <v>8429</v>
      </c>
      <c r="F758">
        <v>1</v>
      </c>
      <c r="G758">
        <v>807015863</v>
      </c>
      <c r="H758" t="str">
        <f t="shared" si="11"/>
        <v>yes</v>
      </c>
      <c r="I758">
        <v>85</v>
      </c>
      <c r="J758">
        <v>24</v>
      </c>
      <c r="K758">
        <v>200</v>
      </c>
      <c r="L758">
        <v>0</v>
      </c>
      <c r="M758">
        <v>2</v>
      </c>
      <c r="N758">
        <v>140</v>
      </c>
      <c r="O758" t="s">
        <v>98</v>
      </c>
      <c r="P758" t="s">
        <v>41</v>
      </c>
      <c r="Q758" s="10">
        <v>45</v>
      </c>
      <c r="R758" s="10">
        <v>25</v>
      </c>
      <c r="S758" s="10">
        <v>84</v>
      </c>
      <c r="T758" s="10">
        <v>21</v>
      </c>
      <c r="U758" s="10">
        <v>0</v>
      </c>
      <c r="V758" s="10">
        <v>13</v>
      </c>
      <c r="W758" s="10">
        <v>6</v>
      </c>
    </row>
    <row r="759" spans="1:23" ht="30.75">
      <c r="A759" s="2" t="s">
        <v>1324</v>
      </c>
      <c r="B759" s="2" t="s">
        <v>1325</v>
      </c>
      <c r="C759">
        <v>3</v>
      </c>
      <c r="D759" s="5">
        <v>41275</v>
      </c>
      <c r="E759">
        <v>52898</v>
      </c>
      <c r="F759">
        <v>0</v>
      </c>
      <c r="G759">
        <v>933815613</v>
      </c>
      <c r="H759" t="str">
        <f t="shared" si="11"/>
        <v>yes</v>
      </c>
      <c r="I759">
        <v>203</v>
      </c>
      <c r="J759">
        <v>1</v>
      </c>
      <c r="K759" s="1">
        <v>8215</v>
      </c>
      <c r="L759">
        <v>0</v>
      </c>
      <c r="M759">
        <v>0</v>
      </c>
      <c r="N759">
        <v>116</v>
      </c>
      <c r="O759" t="s">
        <v>53</v>
      </c>
      <c r="P759" t="s">
        <v>41</v>
      </c>
      <c r="Q759" s="10">
        <v>79</v>
      </c>
      <c r="R759" s="10">
        <v>87</v>
      </c>
      <c r="S759" s="10">
        <v>81</v>
      </c>
      <c r="T759" s="10">
        <v>4</v>
      </c>
      <c r="U759" s="10">
        <v>0</v>
      </c>
      <c r="V759" s="10">
        <v>10</v>
      </c>
      <c r="W759" s="10">
        <v>4</v>
      </c>
    </row>
    <row r="760" spans="1:23">
      <c r="A760" s="2" t="s">
        <v>1326</v>
      </c>
      <c r="B760" s="2" t="s">
        <v>1327</v>
      </c>
      <c r="C760">
        <v>1</v>
      </c>
      <c r="D760" s="5">
        <v>44372</v>
      </c>
      <c r="E760">
        <v>3436</v>
      </c>
      <c r="F760">
        <v>0</v>
      </c>
      <c r="G760">
        <v>499710590</v>
      </c>
      <c r="H760" t="str">
        <f t="shared" si="11"/>
        <v>yes</v>
      </c>
      <c r="I760">
        <v>32</v>
      </c>
      <c r="J760">
        <v>6</v>
      </c>
      <c r="K760">
        <v>46</v>
      </c>
      <c r="L760">
        <v>0</v>
      </c>
      <c r="M760">
        <v>1</v>
      </c>
      <c r="N760">
        <v>124</v>
      </c>
      <c r="O760" t="s">
        <v>196</v>
      </c>
      <c r="P760" t="s">
        <v>26</v>
      </c>
      <c r="Q760" s="10">
        <v>86</v>
      </c>
      <c r="R760" s="10">
        <v>62</v>
      </c>
      <c r="S760" s="10">
        <v>49</v>
      </c>
      <c r="T760" s="10">
        <v>51</v>
      </c>
      <c r="U760" s="10">
        <v>0</v>
      </c>
      <c r="V760" s="10">
        <v>35</v>
      </c>
      <c r="W760" s="10">
        <v>21</v>
      </c>
    </row>
    <row r="761" spans="1:23" ht="45.75">
      <c r="A761" s="2" t="s">
        <v>1328</v>
      </c>
      <c r="B761" s="2" t="s">
        <v>1329</v>
      </c>
      <c r="C761">
        <v>6</v>
      </c>
      <c r="D761" s="5">
        <v>44617</v>
      </c>
      <c r="E761">
        <v>918</v>
      </c>
      <c r="F761">
        <v>0</v>
      </c>
      <c r="G761">
        <v>120847157</v>
      </c>
      <c r="H761" t="str">
        <f t="shared" si="11"/>
        <v>no</v>
      </c>
      <c r="I761">
        <v>34</v>
      </c>
      <c r="J761">
        <v>39</v>
      </c>
      <c r="K761">
        <v>30</v>
      </c>
      <c r="L761">
        <v>0</v>
      </c>
      <c r="M761">
        <v>0</v>
      </c>
      <c r="N761">
        <v>105</v>
      </c>
      <c r="O761" t="s">
        <v>37</v>
      </c>
      <c r="P761" t="s">
        <v>41</v>
      </c>
      <c r="Q761" s="10">
        <v>91</v>
      </c>
      <c r="R761" s="10">
        <v>73</v>
      </c>
      <c r="S761" s="10">
        <v>72</v>
      </c>
      <c r="T761" s="10">
        <v>13</v>
      </c>
      <c r="U761" s="10">
        <v>0</v>
      </c>
      <c r="V761" s="10">
        <v>9</v>
      </c>
      <c r="W761" s="10">
        <v>15</v>
      </c>
    </row>
    <row r="762" spans="1:23" ht="60.75">
      <c r="A762" s="2" t="s">
        <v>1330</v>
      </c>
      <c r="B762" s="2" t="s">
        <v>1331</v>
      </c>
      <c r="C762">
        <v>1</v>
      </c>
      <c r="D762" s="5">
        <v>44656</v>
      </c>
      <c r="E762">
        <v>181</v>
      </c>
      <c r="F762">
        <v>0</v>
      </c>
      <c r="G762">
        <v>53909146</v>
      </c>
      <c r="H762" t="str">
        <f t="shared" si="11"/>
        <v>no</v>
      </c>
      <c r="I762">
        <v>16</v>
      </c>
      <c r="J762">
        <v>14</v>
      </c>
      <c r="K762">
        <v>7</v>
      </c>
      <c r="L762">
        <v>0</v>
      </c>
      <c r="M762">
        <v>0</v>
      </c>
      <c r="N762">
        <v>118</v>
      </c>
      <c r="O762" t="s">
        <v>63</v>
      </c>
      <c r="P762" t="s">
        <v>26</v>
      </c>
      <c r="Q762" s="10">
        <v>68</v>
      </c>
      <c r="R762" s="10">
        <v>24</v>
      </c>
      <c r="S762" s="10">
        <v>58</v>
      </c>
      <c r="T762" s="10">
        <v>44</v>
      </c>
      <c r="U762" s="10">
        <v>0</v>
      </c>
      <c r="V762" s="10">
        <v>6</v>
      </c>
      <c r="W762" s="10">
        <v>3</v>
      </c>
    </row>
    <row r="763" spans="1:23" ht="45.75">
      <c r="A763" s="2" t="s">
        <v>1332</v>
      </c>
      <c r="B763" s="2" t="s">
        <v>1333</v>
      </c>
      <c r="C763">
        <v>1</v>
      </c>
      <c r="D763" s="5">
        <v>41810</v>
      </c>
      <c r="E763">
        <v>18778</v>
      </c>
      <c r="F763">
        <v>3</v>
      </c>
      <c r="G763">
        <v>2236667932</v>
      </c>
      <c r="H763" t="str">
        <f t="shared" si="11"/>
        <v>yes</v>
      </c>
      <c r="I763">
        <v>228</v>
      </c>
      <c r="J763">
        <v>105</v>
      </c>
      <c r="K763" s="1">
        <v>2453</v>
      </c>
      <c r="L763">
        <v>0</v>
      </c>
      <c r="M763">
        <v>84</v>
      </c>
      <c r="N763">
        <v>108</v>
      </c>
      <c r="O763" t="s">
        <v>98</v>
      </c>
      <c r="P763" t="s">
        <v>26</v>
      </c>
      <c r="Q763" s="10">
        <v>61</v>
      </c>
      <c r="R763" s="10">
        <v>20</v>
      </c>
      <c r="S763" s="10">
        <v>38</v>
      </c>
      <c r="T763" s="10">
        <v>61</v>
      </c>
      <c r="U763" s="10">
        <v>0</v>
      </c>
      <c r="V763" s="10">
        <v>10</v>
      </c>
      <c r="W763" s="10">
        <v>5</v>
      </c>
    </row>
    <row r="764" spans="1:23">
      <c r="A764" s="2" t="s">
        <v>1334</v>
      </c>
      <c r="B764" s="2" t="s">
        <v>1335</v>
      </c>
      <c r="C764">
        <v>1</v>
      </c>
      <c r="D764" s="5">
        <v>42317</v>
      </c>
      <c r="E764">
        <v>22730</v>
      </c>
      <c r="F764">
        <v>5</v>
      </c>
      <c r="G764">
        <v>2123309722</v>
      </c>
      <c r="H764" t="str">
        <f t="shared" si="11"/>
        <v>yes</v>
      </c>
      <c r="I764">
        <v>289</v>
      </c>
      <c r="J764">
        <v>87</v>
      </c>
      <c r="K764" s="1">
        <v>2430</v>
      </c>
      <c r="L764">
        <v>0</v>
      </c>
      <c r="M764">
        <v>36</v>
      </c>
      <c r="N764">
        <v>100</v>
      </c>
      <c r="O764" t="s">
        <v>98</v>
      </c>
      <c r="P764" t="s">
        <v>26</v>
      </c>
      <c r="Q764" s="10">
        <v>61</v>
      </c>
      <c r="R764" s="10">
        <v>53</v>
      </c>
      <c r="S764" s="10">
        <v>38</v>
      </c>
      <c r="T764" s="10">
        <v>84</v>
      </c>
      <c r="U764" s="10">
        <v>0</v>
      </c>
      <c r="V764" s="10">
        <v>28</v>
      </c>
      <c r="W764" s="10">
        <v>44</v>
      </c>
    </row>
    <row r="765" spans="1:23" ht="30.75">
      <c r="A765" s="2" t="s">
        <v>1336</v>
      </c>
      <c r="B765" s="2" t="s">
        <v>1337</v>
      </c>
      <c r="C765">
        <v>1</v>
      </c>
      <c r="D765" s="5">
        <v>44694</v>
      </c>
      <c r="E765">
        <v>5542</v>
      </c>
      <c r="F765">
        <v>0</v>
      </c>
      <c r="G765">
        <v>301242089</v>
      </c>
      <c r="H765" t="str">
        <f t="shared" si="11"/>
        <v>yes</v>
      </c>
      <c r="I765">
        <v>52</v>
      </c>
      <c r="J765">
        <v>16</v>
      </c>
      <c r="K765">
        <v>65</v>
      </c>
      <c r="L765">
        <v>0</v>
      </c>
      <c r="M765">
        <v>206</v>
      </c>
      <c r="N765">
        <v>140</v>
      </c>
      <c r="O765" t="s">
        <v>196</v>
      </c>
      <c r="P765" t="s">
        <v>41</v>
      </c>
      <c r="Q765" s="10">
        <v>81</v>
      </c>
      <c r="R765" s="10">
        <v>39</v>
      </c>
      <c r="S765" s="10">
        <v>66</v>
      </c>
      <c r="T765" s="10">
        <v>38</v>
      </c>
      <c r="U765" s="10">
        <v>0</v>
      </c>
      <c r="V765" s="10">
        <v>12</v>
      </c>
      <c r="W765" s="10">
        <v>14</v>
      </c>
    </row>
    <row r="766" spans="1:23" ht="30.75">
      <c r="A766" s="2" t="s">
        <v>1338</v>
      </c>
      <c r="B766" s="2" t="s">
        <v>655</v>
      </c>
      <c r="C766">
        <v>1</v>
      </c>
      <c r="D766" s="5">
        <v>44665</v>
      </c>
      <c r="E766">
        <v>9021</v>
      </c>
      <c r="F766">
        <v>0</v>
      </c>
      <c r="G766">
        <v>723894473</v>
      </c>
      <c r="H766" t="str">
        <f t="shared" si="11"/>
        <v>yes</v>
      </c>
      <c r="I766">
        <v>242</v>
      </c>
      <c r="J766">
        <v>49</v>
      </c>
      <c r="K766">
        <v>272</v>
      </c>
      <c r="L766">
        <v>21</v>
      </c>
      <c r="M766">
        <v>24</v>
      </c>
      <c r="N766">
        <v>109</v>
      </c>
      <c r="O766" t="s">
        <v>128</v>
      </c>
      <c r="P766" t="s">
        <v>41</v>
      </c>
      <c r="Q766" s="10">
        <v>84</v>
      </c>
      <c r="R766" s="10">
        <v>72</v>
      </c>
      <c r="S766" s="10">
        <v>74</v>
      </c>
      <c r="T766" s="10">
        <v>10</v>
      </c>
      <c r="U766" s="10">
        <v>0</v>
      </c>
      <c r="V766" s="10">
        <v>34</v>
      </c>
      <c r="W766" s="10">
        <v>7</v>
      </c>
    </row>
    <row r="767" spans="1:23">
      <c r="A767" s="2" t="s">
        <v>1338</v>
      </c>
      <c r="B767" s="2" t="s">
        <v>1339</v>
      </c>
      <c r="C767">
        <v>3</v>
      </c>
      <c r="D767" s="5">
        <v>44694</v>
      </c>
      <c r="E767">
        <v>4627</v>
      </c>
      <c r="F767">
        <v>0</v>
      </c>
      <c r="G767">
        <v>237351106</v>
      </c>
      <c r="H767" t="str">
        <f t="shared" si="11"/>
        <v>yes</v>
      </c>
      <c r="I767">
        <v>38</v>
      </c>
      <c r="J767">
        <v>13</v>
      </c>
      <c r="K767">
        <v>32</v>
      </c>
      <c r="L767">
        <v>0</v>
      </c>
      <c r="M767">
        <v>0</v>
      </c>
      <c r="N767">
        <v>101</v>
      </c>
      <c r="O767" t="s">
        <v>29</v>
      </c>
      <c r="P767" t="s">
        <v>41</v>
      </c>
      <c r="Q767" s="10">
        <v>78</v>
      </c>
      <c r="R767" s="10">
        <v>40</v>
      </c>
      <c r="S767" s="10">
        <v>74</v>
      </c>
      <c r="T767" s="10">
        <v>36</v>
      </c>
      <c r="U767" s="10">
        <v>0</v>
      </c>
      <c r="V767" s="10">
        <v>17</v>
      </c>
      <c r="W767" s="10">
        <v>27</v>
      </c>
    </row>
    <row r="768" spans="1:23" ht="30.75">
      <c r="A768" s="2" t="s">
        <v>1338</v>
      </c>
      <c r="B768" s="2" t="s">
        <v>1340</v>
      </c>
      <c r="C768">
        <v>1</v>
      </c>
      <c r="D768" s="5">
        <v>44687</v>
      </c>
      <c r="E768">
        <v>2229</v>
      </c>
      <c r="F768">
        <v>0</v>
      </c>
      <c r="G768">
        <v>461558540</v>
      </c>
      <c r="H768" t="str">
        <f t="shared" si="11"/>
        <v>yes</v>
      </c>
      <c r="I768">
        <v>27</v>
      </c>
      <c r="J768">
        <v>44</v>
      </c>
      <c r="K768">
        <v>24</v>
      </c>
      <c r="L768">
        <v>0</v>
      </c>
      <c r="M768">
        <v>5</v>
      </c>
      <c r="N768">
        <v>78</v>
      </c>
      <c r="O768" t="s">
        <v>32</v>
      </c>
      <c r="P768" t="s">
        <v>26</v>
      </c>
      <c r="Q768" s="10">
        <v>56</v>
      </c>
      <c r="R768" s="10">
        <v>61</v>
      </c>
      <c r="S768" s="10">
        <v>90</v>
      </c>
      <c r="T768" s="10">
        <v>36</v>
      </c>
      <c r="U768" s="10">
        <v>0</v>
      </c>
      <c r="V768" s="10">
        <v>18</v>
      </c>
      <c r="W768" s="10">
        <v>31</v>
      </c>
    </row>
    <row r="769" spans="1:23">
      <c r="A769" s="2" t="s">
        <v>1341</v>
      </c>
      <c r="B769" s="2" t="s">
        <v>1342</v>
      </c>
      <c r="C769">
        <v>1</v>
      </c>
      <c r="D769" s="5">
        <v>44687</v>
      </c>
      <c r="E769">
        <v>1112</v>
      </c>
      <c r="F769">
        <v>6</v>
      </c>
      <c r="G769">
        <v>417230415</v>
      </c>
      <c r="H769" t="str">
        <f t="shared" si="11"/>
        <v>yes</v>
      </c>
      <c r="I769">
        <v>7</v>
      </c>
      <c r="J769">
        <v>30</v>
      </c>
      <c r="K769">
        <v>13</v>
      </c>
      <c r="L769">
        <v>1</v>
      </c>
      <c r="M769">
        <v>1</v>
      </c>
      <c r="N769">
        <v>93</v>
      </c>
      <c r="P769" t="s">
        <v>41</v>
      </c>
      <c r="Q769" s="10">
        <v>79</v>
      </c>
      <c r="R769" s="10">
        <v>22</v>
      </c>
      <c r="S769" s="10">
        <v>55</v>
      </c>
      <c r="T769" s="10">
        <v>31</v>
      </c>
      <c r="U769" s="10">
        <v>0</v>
      </c>
      <c r="V769" s="10">
        <v>12</v>
      </c>
      <c r="W769" s="10">
        <v>5</v>
      </c>
    </row>
    <row r="770" spans="1:23">
      <c r="A770" s="2" t="s">
        <v>1341</v>
      </c>
      <c r="B770" s="2" t="s">
        <v>1343</v>
      </c>
      <c r="C770">
        <v>1</v>
      </c>
      <c r="D770" s="5">
        <v>44694</v>
      </c>
      <c r="E770">
        <v>2575</v>
      </c>
      <c r="F770">
        <v>0</v>
      </c>
      <c r="G770">
        <v>156898322</v>
      </c>
      <c r="H770" t="str">
        <f t="shared" ref="H770:H833" si="12">IF(G770&gt;$Z$2,$Z$4,$Z$5)</f>
        <v>no</v>
      </c>
      <c r="I770">
        <v>4</v>
      </c>
      <c r="J770">
        <v>5</v>
      </c>
      <c r="K770">
        <v>12</v>
      </c>
      <c r="L770">
        <v>0</v>
      </c>
      <c r="M770">
        <v>51</v>
      </c>
      <c r="N770">
        <v>87</v>
      </c>
      <c r="O770" t="s">
        <v>63</v>
      </c>
      <c r="P770" t="s">
        <v>26</v>
      </c>
      <c r="Q770" s="10">
        <v>52</v>
      </c>
      <c r="R770" s="10">
        <v>32</v>
      </c>
      <c r="S770" s="10">
        <v>83</v>
      </c>
      <c r="T770" s="10">
        <v>24</v>
      </c>
      <c r="U770" s="10">
        <v>0</v>
      </c>
      <c r="V770" s="10">
        <v>17</v>
      </c>
      <c r="W770" s="10">
        <v>43</v>
      </c>
    </row>
    <row r="771" spans="1:23" ht="30.75">
      <c r="A771" s="2" t="s">
        <v>1344</v>
      </c>
      <c r="B771" s="2" t="s">
        <v>1345</v>
      </c>
      <c r="C771">
        <v>2</v>
      </c>
      <c r="D771" s="5">
        <v>44694</v>
      </c>
      <c r="E771">
        <v>3107</v>
      </c>
      <c r="F771">
        <v>0</v>
      </c>
      <c r="G771">
        <v>127309180</v>
      </c>
      <c r="H771" t="str">
        <f t="shared" si="12"/>
        <v>no</v>
      </c>
      <c r="I771">
        <v>4</v>
      </c>
      <c r="J771">
        <v>0</v>
      </c>
      <c r="K771">
        <v>22</v>
      </c>
      <c r="L771">
        <v>0</v>
      </c>
      <c r="M771">
        <v>0</v>
      </c>
      <c r="N771">
        <v>153</v>
      </c>
      <c r="O771" t="s">
        <v>128</v>
      </c>
      <c r="P771" t="s">
        <v>41</v>
      </c>
      <c r="Q771" s="10">
        <v>55</v>
      </c>
      <c r="R771" s="10">
        <v>50</v>
      </c>
      <c r="S771" s="10">
        <v>78</v>
      </c>
      <c r="T771" s="10">
        <v>19</v>
      </c>
      <c r="U771" s="10">
        <v>0</v>
      </c>
      <c r="V771" s="10">
        <v>11</v>
      </c>
      <c r="W771" s="10">
        <v>35</v>
      </c>
    </row>
    <row r="772" spans="1:23" ht="30.75">
      <c r="A772" s="2" t="s">
        <v>1346</v>
      </c>
      <c r="B772" s="2" t="s">
        <v>1347</v>
      </c>
      <c r="C772">
        <v>1</v>
      </c>
      <c r="D772" s="5">
        <v>44687</v>
      </c>
      <c r="E772">
        <v>1179</v>
      </c>
      <c r="F772">
        <v>0</v>
      </c>
      <c r="G772">
        <v>313113297</v>
      </c>
      <c r="H772" t="str">
        <f t="shared" si="12"/>
        <v>yes</v>
      </c>
      <c r="I772">
        <v>7</v>
      </c>
      <c r="J772">
        <v>21</v>
      </c>
      <c r="K772">
        <v>11</v>
      </c>
      <c r="L772">
        <v>0</v>
      </c>
      <c r="M772">
        <v>0</v>
      </c>
      <c r="N772">
        <v>142</v>
      </c>
      <c r="P772" t="s">
        <v>26</v>
      </c>
      <c r="Q772" s="10">
        <v>87</v>
      </c>
      <c r="R772" s="10">
        <v>93</v>
      </c>
      <c r="S772" s="10">
        <v>59</v>
      </c>
      <c r="T772" s="10">
        <v>28</v>
      </c>
      <c r="U772" s="10">
        <v>0</v>
      </c>
      <c r="V772" s="10">
        <v>17</v>
      </c>
      <c r="W772" s="10">
        <v>5</v>
      </c>
    </row>
    <row r="773" spans="1:23">
      <c r="A773" s="2" t="s">
        <v>1348</v>
      </c>
      <c r="B773" s="2" t="s">
        <v>1349</v>
      </c>
      <c r="C773">
        <v>1</v>
      </c>
      <c r="D773" s="5">
        <v>44694</v>
      </c>
      <c r="E773">
        <v>3486</v>
      </c>
      <c r="F773">
        <v>0</v>
      </c>
      <c r="G773">
        <v>173702135</v>
      </c>
      <c r="H773" t="str">
        <f t="shared" si="12"/>
        <v>no</v>
      </c>
      <c r="I773">
        <v>20</v>
      </c>
      <c r="J773">
        <v>10</v>
      </c>
      <c r="K773">
        <v>33</v>
      </c>
      <c r="L773">
        <v>0</v>
      </c>
      <c r="M773">
        <v>0</v>
      </c>
      <c r="N773">
        <v>96</v>
      </c>
      <c r="O773" t="s">
        <v>128</v>
      </c>
      <c r="P773" t="s">
        <v>41</v>
      </c>
      <c r="Q773" s="10">
        <v>85</v>
      </c>
      <c r="R773" s="10">
        <v>41</v>
      </c>
      <c r="S773" s="10">
        <v>43</v>
      </c>
      <c r="T773" s="10">
        <v>39</v>
      </c>
      <c r="U773" s="10">
        <v>0</v>
      </c>
      <c r="V773" s="10">
        <v>12</v>
      </c>
      <c r="W773" s="10">
        <v>21</v>
      </c>
    </row>
    <row r="774" spans="1:23" ht="45.75">
      <c r="A774" s="2" t="s">
        <v>1350</v>
      </c>
      <c r="B774" s="2" t="s">
        <v>1351</v>
      </c>
      <c r="C774">
        <v>2</v>
      </c>
      <c r="D774" s="5">
        <v>44693</v>
      </c>
      <c r="E774">
        <v>2942</v>
      </c>
      <c r="F774">
        <v>0</v>
      </c>
      <c r="G774">
        <v>271666301</v>
      </c>
      <c r="H774" t="str">
        <f t="shared" si="12"/>
        <v>yes</v>
      </c>
      <c r="I774">
        <v>42</v>
      </c>
      <c r="J774">
        <v>28</v>
      </c>
      <c r="K774">
        <v>43</v>
      </c>
      <c r="L774">
        <v>0</v>
      </c>
      <c r="M774">
        <v>0</v>
      </c>
      <c r="N774">
        <v>125</v>
      </c>
      <c r="P774" t="s">
        <v>26</v>
      </c>
      <c r="Q774" s="10">
        <v>50</v>
      </c>
      <c r="R774" s="10">
        <v>39</v>
      </c>
      <c r="S774" s="10">
        <v>78</v>
      </c>
      <c r="T774" s="10">
        <v>4</v>
      </c>
      <c r="U774" s="10">
        <v>0</v>
      </c>
      <c r="V774" s="10">
        <v>11</v>
      </c>
      <c r="W774" s="10">
        <v>33</v>
      </c>
    </row>
    <row r="775" spans="1:23" ht="60.75">
      <c r="A775" s="2" t="s">
        <v>1352</v>
      </c>
      <c r="B775" s="2" t="s">
        <v>1353</v>
      </c>
      <c r="C775">
        <v>1</v>
      </c>
      <c r="D775" s="5">
        <v>44687</v>
      </c>
      <c r="E775">
        <v>1443</v>
      </c>
      <c r="F775">
        <v>0</v>
      </c>
      <c r="G775">
        <v>305650299</v>
      </c>
      <c r="H775" t="str">
        <f t="shared" si="12"/>
        <v>yes</v>
      </c>
      <c r="I775">
        <v>9</v>
      </c>
      <c r="J775">
        <v>11</v>
      </c>
      <c r="K775">
        <v>22</v>
      </c>
      <c r="L775">
        <v>1</v>
      </c>
      <c r="M775">
        <v>0</v>
      </c>
      <c r="N775">
        <v>85</v>
      </c>
      <c r="O775" t="s">
        <v>128</v>
      </c>
      <c r="P775" t="s">
        <v>26</v>
      </c>
      <c r="Q775" s="10">
        <v>71</v>
      </c>
      <c r="R775" s="10">
        <v>43</v>
      </c>
      <c r="S775" s="10">
        <v>65</v>
      </c>
      <c r="T775" s="10">
        <v>23</v>
      </c>
      <c r="U775" s="10">
        <v>0</v>
      </c>
      <c r="V775" s="10">
        <v>9</v>
      </c>
      <c r="W775" s="10">
        <v>5</v>
      </c>
    </row>
    <row r="776" spans="1:23" ht="45.75">
      <c r="A776" s="2" t="s">
        <v>1354</v>
      </c>
      <c r="B776" s="2" t="s">
        <v>1355</v>
      </c>
      <c r="C776">
        <v>2</v>
      </c>
      <c r="D776" s="5">
        <v>44694</v>
      </c>
      <c r="E776">
        <v>3028</v>
      </c>
      <c r="F776">
        <v>0</v>
      </c>
      <c r="G776">
        <v>123216717</v>
      </c>
      <c r="H776" t="str">
        <f t="shared" si="12"/>
        <v>no</v>
      </c>
      <c r="I776">
        <v>22</v>
      </c>
      <c r="J776">
        <v>0</v>
      </c>
      <c r="K776">
        <v>23</v>
      </c>
      <c r="L776">
        <v>0</v>
      </c>
      <c r="M776">
        <v>0</v>
      </c>
      <c r="N776">
        <v>140</v>
      </c>
      <c r="O776" t="s">
        <v>29</v>
      </c>
      <c r="P776" t="s">
        <v>41</v>
      </c>
      <c r="Q776" s="10">
        <v>92</v>
      </c>
      <c r="R776" s="10">
        <v>78</v>
      </c>
      <c r="S776" s="10">
        <v>57</v>
      </c>
      <c r="T776" s="10">
        <v>46</v>
      </c>
      <c r="U776" s="10">
        <v>0</v>
      </c>
      <c r="V776" s="10">
        <v>14</v>
      </c>
      <c r="W776" s="10">
        <v>9</v>
      </c>
    </row>
    <row r="777" spans="1:23">
      <c r="A777" s="2" t="s">
        <v>1356</v>
      </c>
      <c r="B777" s="2" t="s">
        <v>1357</v>
      </c>
      <c r="C777">
        <v>2</v>
      </c>
      <c r="D777" s="5">
        <v>44687</v>
      </c>
      <c r="E777">
        <v>1796</v>
      </c>
      <c r="F777">
        <v>8</v>
      </c>
      <c r="G777">
        <v>479655659</v>
      </c>
      <c r="H777" t="str">
        <f t="shared" si="12"/>
        <v>yes</v>
      </c>
      <c r="I777">
        <v>8</v>
      </c>
      <c r="J777">
        <v>25</v>
      </c>
      <c r="K777">
        <v>18</v>
      </c>
      <c r="L777">
        <v>1</v>
      </c>
      <c r="M777">
        <v>0</v>
      </c>
      <c r="N777">
        <v>196</v>
      </c>
      <c r="O777" t="s">
        <v>25</v>
      </c>
      <c r="P777" t="s">
        <v>41</v>
      </c>
      <c r="Q777" s="10">
        <v>66</v>
      </c>
      <c r="R777" s="10">
        <v>58</v>
      </c>
      <c r="S777" s="10">
        <v>79</v>
      </c>
      <c r="T777" s="10">
        <v>23</v>
      </c>
      <c r="U777" s="10">
        <v>0</v>
      </c>
      <c r="V777" s="10">
        <v>22</v>
      </c>
      <c r="W777" s="10">
        <v>20</v>
      </c>
    </row>
    <row r="778" spans="1:23">
      <c r="A778" s="2" t="s">
        <v>1356</v>
      </c>
      <c r="B778" s="2" t="s">
        <v>1358</v>
      </c>
      <c r="C778">
        <v>1</v>
      </c>
      <c r="D778" s="5">
        <v>44694</v>
      </c>
      <c r="E778">
        <v>2729</v>
      </c>
      <c r="F778">
        <v>0</v>
      </c>
      <c r="G778">
        <v>126191104</v>
      </c>
      <c r="H778" t="str">
        <f t="shared" si="12"/>
        <v>no</v>
      </c>
      <c r="I778">
        <v>3</v>
      </c>
      <c r="J778">
        <v>7</v>
      </c>
      <c r="K778">
        <v>13</v>
      </c>
      <c r="L778">
        <v>0</v>
      </c>
      <c r="M778">
        <v>1</v>
      </c>
      <c r="N778">
        <v>134</v>
      </c>
      <c r="O778" t="s">
        <v>72</v>
      </c>
      <c r="P778" t="s">
        <v>26</v>
      </c>
      <c r="Q778" s="10">
        <v>78</v>
      </c>
      <c r="R778" s="10">
        <v>51</v>
      </c>
      <c r="S778" s="10">
        <v>43</v>
      </c>
      <c r="T778" s="10">
        <v>69</v>
      </c>
      <c r="U778" s="10">
        <v>0</v>
      </c>
      <c r="V778" s="10">
        <v>14</v>
      </c>
      <c r="W778" s="10">
        <v>9</v>
      </c>
    </row>
    <row r="779" spans="1:23">
      <c r="A779" s="2" t="s">
        <v>1356</v>
      </c>
      <c r="B779" s="2" t="s">
        <v>1359</v>
      </c>
      <c r="C779">
        <v>2</v>
      </c>
      <c r="D779" s="5">
        <v>44687</v>
      </c>
      <c r="E779">
        <v>1195</v>
      </c>
      <c r="F779">
        <v>0</v>
      </c>
      <c r="G779">
        <v>344055883</v>
      </c>
      <c r="H779" t="str">
        <f t="shared" si="12"/>
        <v>yes</v>
      </c>
      <c r="I779">
        <v>8</v>
      </c>
      <c r="J779">
        <v>30</v>
      </c>
      <c r="K779">
        <v>13</v>
      </c>
      <c r="L779">
        <v>1</v>
      </c>
      <c r="M779">
        <v>1</v>
      </c>
      <c r="N779">
        <v>103</v>
      </c>
      <c r="O779" t="s">
        <v>29</v>
      </c>
      <c r="P779" t="s">
        <v>41</v>
      </c>
      <c r="Q779" s="10">
        <v>80</v>
      </c>
      <c r="R779" s="10">
        <v>45</v>
      </c>
      <c r="S779" s="10">
        <v>62</v>
      </c>
      <c r="T779" s="10">
        <v>76</v>
      </c>
      <c r="U779" s="10">
        <v>0</v>
      </c>
      <c r="V779" s="10">
        <v>10</v>
      </c>
      <c r="W779" s="10">
        <v>38</v>
      </c>
    </row>
    <row r="780" spans="1:23">
      <c r="A780" s="2" t="s">
        <v>1356</v>
      </c>
      <c r="B780" s="2" t="s">
        <v>1360</v>
      </c>
      <c r="C780">
        <v>1</v>
      </c>
      <c r="D780" s="5">
        <v>44687</v>
      </c>
      <c r="E780">
        <v>892</v>
      </c>
      <c r="F780">
        <v>3</v>
      </c>
      <c r="G780">
        <v>338422004</v>
      </c>
      <c r="H780" t="str">
        <f t="shared" si="12"/>
        <v>yes</v>
      </c>
      <c r="I780">
        <v>10</v>
      </c>
      <c r="J780">
        <v>24</v>
      </c>
      <c r="K780">
        <v>11</v>
      </c>
      <c r="L780">
        <v>0</v>
      </c>
      <c r="M780">
        <v>0</v>
      </c>
      <c r="N780">
        <v>130</v>
      </c>
      <c r="O780" t="s">
        <v>29</v>
      </c>
      <c r="P780" t="s">
        <v>26</v>
      </c>
      <c r="Q780" s="10">
        <v>82</v>
      </c>
      <c r="R780" s="10">
        <v>50</v>
      </c>
      <c r="S780" s="10">
        <v>67</v>
      </c>
      <c r="T780" s="10">
        <v>12</v>
      </c>
      <c r="U780" s="10">
        <v>0</v>
      </c>
      <c r="V780" s="10">
        <v>13</v>
      </c>
      <c r="W780" s="10">
        <v>5</v>
      </c>
    </row>
    <row r="781" spans="1:23" ht="30.75">
      <c r="A781" s="2" t="s">
        <v>1356</v>
      </c>
      <c r="B781" s="2" t="s">
        <v>1361</v>
      </c>
      <c r="C781">
        <v>2</v>
      </c>
      <c r="D781" s="5">
        <v>44694</v>
      </c>
      <c r="E781">
        <v>1635</v>
      </c>
      <c r="F781">
        <v>0</v>
      </c>
      <c r="G781">
        <v>68895644</v>
      </c>
      <c r="H781" t="str">
        <f t="shared" si="12"/>
        <v>no</v>
      </c>
      <c r="I781">
        <v>4</v>
      </c>
      <c r="J781">
        <v>1</v>
      </c>
      <c r="K781">
        <v>6</v>
      </c>
      <c r="L781">
        <v>0</v>
      </c>
      <c r="M781">
        <v>0</v>
      </c>
      <c r="N781">
        <v>108</v>
      </c>
      <c r="O781" t="s">
        <v>25</v>
      </c>
      <c r="P781" t="s">
        <v>26</v>
      </c>
      <c r="Q781" s="10">
        <v>65</v>
      </c>
      <c r="R781" s="10">
        <v>52</v>
      </c>
      <c r="S781" s="10">
        <v>69</v>
      </c>
      <c r="T781" s="10">
        <v>31</v>
      </c>
      <c r="U781" s="10">
        <v>0</v>
      </c>
      <c r="V781" s="10">
        <v>8</v>
      </c>
      <c r="W781" s="10">
        <v>36</v>
      </c>
    </row>
    <row r="782" spans="1:23">
      <c r="A782" s="2" t="s">
        <v>1356</v>
      </c>
      <c r="B782" s="2" t="s">
        <v>1362</v>
      </c>
      <c r="C782">
        <v>3</v>
      </c>
      <c r="D782" s="5">
        <v>44694</v>
      </c>
      <c r="E782">
        <v>2291</v>
      </c>
      <c r="F782">
        <v>0</v>
      </c>
      <c r="G782">
        <v>86176890</v>
      </c>
      <c r="H782" t="str">
        <f t="shared" si="12"/>
        <v>no</v>
      </c>
      <c r="I782">
        <v>9</v>
      </c>
      <c r="J782">
        <v>0</v>
      </c>
      <c r="K782">
        <v>8</v>
      </c>
      <c r="L782">
        <v>0</v>
      </c>
      <c r="M782">
        <v>0</v>
      </c>
      <c r="N782">
        <v>123</v>
      </c>
      <c r="O782" t="s">
        <v>63</v>
      </c>
      <c r="P782" t="s">
        <v>26</v>
      </c>
      <c r="Q782" s="10">
        <v>61</v>
      </c>
      <c r="R782" s="10">
        <v>66</v>
      </c>
      <c r="S782" s="10">
        <v>71</v>
      </c>
      <c r="T782" s="10">
        <v>53</v>
      </c>
      <c r="U782" s="10">
        <v>0</v>
      </c>
      <c r="V782" s="10">
        <v>32</v>
      </c>
      <c r="W782" s="10">
        <v>46</v>
      </c>
    </row>
    <row r="783" spans="1:23">
      <c r="A783" s="2" t="s">
        <v>1356</v>
      </c>
      <c r="B783" s="2" t="s">
        <v>1363</v>
      </c>
      <c r="C783">
        <v>1</v>
      </c>
      <c r="D783" s="5">
        <v>44687</v>
      </c>
      <c r="E783">
        <v>1029</v>
      </c>
      <c r="F783">
        <v>28</v>
      </c>
      <c r="G783">
        <v>403231558</v>
      </c>
      <c r="H783" t="str">
        <f t="shared" si="12"/>
        <v>yes</v>
      </c>
      <c r="I783">
        <v>5</v>
      </c>
      <c r="J783">
        <v>28</v>
      </c>
      <c r="K783">
        <v>9</v>
      </c>
      <c r="L783">
        <v>0</v>
      </c>
      <c r="M783">
        <v>0</v>
      </c>
      <c r="N783">
        <v>152</v>
      </c>
      <c r="O783" t="s">
        <v>25</v>
      </c>
      <c r="P783" t="s">
        <v>26</v>
      </c>
      <c r="Q783" s="10">
        <v>84</v>
      </c>
      <c r="R783" s="10">
        <v>74</v>
      </c>
      <c r="S783" s="10">
        <v>69</v>
      </c>
      <c r="T783" s="10">
        <v>21</v>
      </c>
      <c r="U783" s="10">
        <v>0</v>
      </c>
      <c r="V783" s="10">
        <v>18</v>
      </c>
      <c r="W783" s="10">
        <v>6</v>
      </c>
    </row>
    <row r="784" spans="1:23">
      <c r="A784" s="2" t="s">
        <v>1356</v>
      </c>
      <c r="B784" s="2" t="s">
        <v>1364</v>
      </c>
      <c r="C784">
        <v>2</v>
      </c>
      <c r="D784" s="5">
        <v>44687</v>
      </c>
      <c r="E784">
        <v>1681</v>
      </c>
      <c r="F784">
        <v>7</v>
      </c>
      <c r="G784">
        <v>319546754</v>
      </c>
      <c r="H784" t="str">
        <f t="shared" si="12"/>
        <v>yes</v>
      </c>
      <c r="I784">
        <v>10</v>
      </c>
      <c r="J784">
        <v>30</v>
      </c>
      <c r="K784">
        <v>13</v>
      </c>
      <c r="L784">
        <v>0</v>
      </c>
      <c r="M784">
        <v>33</v>
      </c>
      <c r="N784">
        <v>108</v>
      </c>
      <c r="O784" t="s">
        <v>51</v>
      </c>
      <c r="P784" t="s">
        <v>26</v>
      </c>
      <c r="Q784" s="10">
        <v>78</v>
      </c>
      <c r="R784" s="10">
        <v>55</v>
      </c>
      <c r="S784" s="10">
        <v>60</v>
      </c>
      <c r="T784" s="10">
        <v>59</v>
      </c>
      <c r="U784" s="10">
        <v>0</v>
      </c>
      <c r="V784" s="10">
        <v>7</v>
      </c>
      <c r="W784" s="10">
        <v>4</v>
      </c>
    </row>
    <row r="785" spans="1:23" ht="30.75">
      <c r="A785" s="2" t="s">
        <v>1356</v>
      </c>
      <c r="B785" s="2" t="s">
        <v>1365</v>
      </c>
      <c r="C785">
        <v>1</v>
      </c>
      <c r="D785" s="5">
        <v>44694</v>
      </c>
      <c r="E785">
        <v>1480</v>
      </c>
      <c r="F785">
        <v>0</v>
      </c>
      <c r="G785">
        <v>61739839</v>
      </c>
      <c r="H785" t="str">
        <f t="shared" si="12"/>
        <v>no</v>
      </c>
      <c r="I785">
        <v>1</v>
      </c>
      <c r="J785">
        <v>0</v>
      </c>
      <c r="K785">
        <v>5</v>
      </c>
      <c r="L785">
        <v>0</v>
      </c>
      <c r="M785">
        <v>0</v>
      </c>
      <c r="N785">
        <v>72</v>
      </c>
      <c r="O785" t="s">
        <v>128</v>
      </c>
      <c r="P785" t="s">
        <v>41</v>
      </c>
      <c r="Q785" s="10">
        <v>56</v>
      </c>
      <c r="R785" s="10">
        <v>56</v>
      </c>
      <c r="S785" s="10">
        <v>47</v>
      </c>
      <c r="T785" s="10">
        <v>76</v>
      </c>
      <c r="U785" s="10">
        <v>0</v>
      </c>
      <c r="V785" s="10">
        <v>8</v>
      </c>
      <c r="W785" s="10">
        <v>36</v>
      </c>
    </row>
    <row r="786" spans="1:23">
      <c r="A786" s="2" t="s">
        <v>1356</v>
      </c>
      <c r="B786" s="2" t="s">
        <v>1366</v>
      </c>
      <c r="C786">
        <v>1</v>
      </c>
      <c r="D786" s="5">
        <v>44687</v>
      </c>
      <c r="E786">
        <v>829</v>
      </c>
      <c r="F786">
        <v>0</v>
      </c>
      <c r="G786">
        <v>283359161</v>
      </c>
      <c r="H786" t="str">
        <f t="shared" si="12"/>
        <v>yes</v>
      </c>
      <c r="I786">
        <v>4</v>
      </c>
      <c r="J786">
        <v>15</v>
      </c>
      <c r="K786">
        <v>10</v>
      </c>
      <c r="L786">
        <v>0</v>
      </c>
      <c r="M786">
        <v>0</v>
      </c>
      <c r="N786">
        <v>121</v>
      </c>
      <c r="O786" t="s">
        <v>53</v>
      </c>
      <c r="P786" t="s">
        <v>41</v>
      </c>
      <c r="Q786" s="10">
        <v>86</v>
      </c>
      <c r="R786" s="10">
        <v>67</v>
      </c>
      <c r="S786" s="10">
        <v>65</v>
      </c>
      <c r="T786" s="10">
        <v>42</v>
      </c>
      <c r="U786" s="10">
        <v>0</v>
      </c>
      <c r="V786" s="10">
        <v>35</v>
      </c>
      <c r="W786" s="10">
        <v>7</v>
      </c>
    </row>
    <row r="787" spans="1:23">
      <c r="A787" s="2" t="s">
        <v>1356</v>
      </c>
      <c r="B787" s="2" t="s">
        <v>1367</v>
      </c>
      <c r="C787">
        <v>3</v>
      </c>
      <c r="D787" s="5">
        <v>44694</v>
      </c>
      <c r="E787">
        <v>2308</v>
      </c>
      <c r="F787">
        <v>0</v>
      </c>
      <c r="G787">
        <v>76831876</v>
      </c>
      <c r="H787" t="str">
        <f t="shared" si="12"/>
        <v>no</v>
      </c>
      <c r="I787">
        <v>7</v>
      </c>
      <c r="J787">
        <v>0</v>
      </c>
      <c r="K787">
        <v>7</v>
      </c>
      <c r="L787">
        <v>0</v>
      </c>
      <c r="M787">
        <v>0</v>
      </c>
      <c r="N787">
        <v>138</v>
      </c>
      <c r="O787" t="s">
        <v>196</v>
      </c>
      <c r="P787" t="s">
        <v>41</v>
      </c>
      <c r="Q787" s="10">
        <v>57</v>
      </c>
      <c r="R787" s="10">
        <v>71</v>
      </c>
      <c r="S787" s="10">
        <v>82</v>
      </c>
      <c r="T787" s="10">
        <v>19</v>
      </c>
      <c r="U787" s="10">
        <v>0</v>
      </c>
      <c r="V787" s="10">
        <v>15</v>
      </c>
      <c r="W787" s="10">
        <v>29</v>
      </c>
    </row>
    <row r="788" spans="1:23" ht="30.75">
      <c r="A788" s="2" t="s">
        <v>1356</v>
      </c>
      <c r="B788" s="2" t="s">
        <v>1368</v>
      </c>
      <c r="C788">
        <v>1</v>
      </c>
      <c r="D788" s="5">
        <v>44687</v>
      </c>
      <c r="E788">
        <v>1004</v>
      </c>
      <c r="F788">
        <v>1</v>
      </c>
      <c r="G788">
        <v>283332261</v>
      </c>
      <c r="H788" t="str">
        <f t="shared" si="12"/>
        <v>yes</v>
      </c>
      <c r="I788">
        <v>8</v>
      </c>
      <c r="J788">
        <v>12</v>
      </c>
      <c r="K788">
        <v>9</v>
      </c>
      <c r="L788">
        <v>0</v>
      </c>
      <c r="M788">
        <v>0</v>
      </c>
      <c r="N788">
        <v>188</v>
      </c>
      <c r="O788" t="s">
        <v>32</v>
      </c>
      <c r="P788" t="s">
        <v>41</v>
      </c>
      <c r="Q788" s="10">
        <v>50</v>
      </c>
      <c r="R788" s="10">
        <v>41</v>
      </c>
      <c r="S788" s="10">
        <v>50</v>
      </c>
      <c r="T788" s="10">
        <v>69</v>
      </c>
      <c r="U788" s="10">
        <v>0</v>
      </c>
      <c r="V788" s="10">
        <v>12</v>
      </c>
      <c r="W788" s="10">
        <v>6</v>
      </c>
    </row>
    <row r="789" spans="1:23">
      <c r="A789" s="2" t="s">
        <v>1356</v>
      </c>
      <c r="B789" s="2" t="s">
        <v>1369</v>
      </c>
      <c r="C789">
        <v>2</v>
      </c>
      <c r="D789" s="5">
        <v>44606</v>
      </c>
      <c r="E789">
        <v>1367</v>
      </c>
      <c r="F789">
        <v>0</v>
      </c>
      <c r="G789">
        <v>307752576</v>
      </c>
      <c r="H789" t="str">
        <f t="shared" si="12"/>
        <v>yes</v>
      </c>
      <c r="I789">
        <v>48</v>
      </c>
      <c r="J789">
        <v>4</v>
      </c>
      <c r="K789">
        <v>34</v>
      </c>
      <c r="L789">
        <v>1</v>
      </c>
      <c r="M789">
        <v>0</v>
      </c>
      <c r="N789">
        <v>110</v>
      </c>
      <c r="O789" t="s">
        <v>29</v>
      </c>
      <c r="P789" t="s">
        <v>26</v>
      </c>
      <c r="Q789" s="10">
        <v>80</v>
      </c>
      <c r="R789" s="10">
        <v>26</v>
      </c>
      <c r="S789" s="10">
        <v>85</v>
      </c>
      <c r="T789" s="10">
        <v>23</v>
      </c>
      <c r="U789" s="10">
        <v>0</v>
      </c>
      <c r="V789" s="10">
        <v>11</v>
      </c>
      <c r="W789" s="10">
        <v>21</v>
      </c>
    </row>
    <row r="790" spans="1:23" ht="30.75">
      <c r="A790" s="2" t="s">
        <v>1356</v>
      </c>
      <c r="B790" s="2" t="s">
        <v>1370</v>
      </c>
      <c r="C790">
        <v>1</v>
      </c>
      <c r="D790" s="5">
        <v>44687</v>
      </c>
      <c r="E790">
        <v>1112</v>
      </c>
      <c r="F790">
        <v>3</v>
      </c>
      <c r="G790">
        <v>279737940</v>
      </c>
      <c r="H790" t="str">
        <f t="shared" si="12"/>
        <v>yes</v>
      </c>
      <c r="I790">
        <v>7</v>
      </c>
      <c r="J790">
        <v>25</v>
      </c>
      <c r="K790">
        <v>12</v>
      </c>
      <c r="L790">
        <v>0</v>
      </c>
      <c r="M790">
        <v>0</v>
      </c>
      <c r="N790">
        <v>105</v>
      </c>
      <c r="O790" t="s">
        <v>63</v>
      </c>
      <c r="P790" t="s">
        <v>26</v>
      </c>
      <c r="Q790" s="10">
        <v>81</v>
      </c>
      <c r="R790" s="10">
        <v>77</v>
      </c>
      <c r="S790" s="10">
        <v>79</v>
      </c>
      <c r="T790" s="10">
        <v>19</v>
      </c>
      <c r="U790" s="10">
        <v>0</v>
      </c>
      <c r="V790" s="10">
        <v>47</v>
      </c>
      <c r="W790" s="10">
        <v>8</v>
      </c>
    </row>
    <row r="791" spans="1:23">
      <c r="A791" s="2" t="s">
        <v>1356</v>
      </c>
      <c r="B791" s="2" t="s">
        <v>1371</v>
      </c>
      <c r="C791">
        <v>1</v>
      </c>
      <c r="D791" s="5">
        <v>44687</v>
      </c>
      <c r="E791">
        <v>1209</v>
      </c>
      <c r="F791">
        <v>0</v>
      </c>
      <c r="G791">
        <v>212351890</v>
      </c>
      <c r="H791" t="str">
        <f t="shared" si="12"/>
        <v>yes</v>
      </c>
      <c r="I791">
        <v>9</v>
      </c>
      <c r="J791">
        <v>7</v>
      </c>
      <c r="K791">
        <v>14</v>
      </c>
      <c r="L791">
        <v>0</v>
      </c>
      <c r="M791">
        <v>1</v>
      </c>
      <c r="N791">
        <v>118</v>
      </c>
      <c r="O791" t="s">
        <v>63</v>
      </c>
      <c r="P791" t="s">
        <v>26</v>
      </c>
      <c r="Q791" s="10">
        <v>63</v>
      </c>
      <c r="R791" s="10">
        <v>60</v>
      </c>
      <c r="S791" s="10">
        <v>70</v>
      </c>
      <c r="T791" s="10">
        <v>5</v>
      </c>
      <c r="U791" s="10">
        <v>0</v>
      </c>
      <c r="V791" s="10">
        <v>9</v>
      </c>
      <c r="W791" s="10">
        <v>31</v>
      </c>
    </row>
    <row r="792" spans="1:23">
      <c r="A792" s="2" t="s">
        <v>1356</v>
      </c>
      <c r="B792" s="2" t="s">
        <v>1372</v>
      </c>
      <c r="C792">
        <v>2</v>
      </c>
      <c r="D792" s="5">
        <v>43616</v>
      </c>
      <c r="E792">
        <v>9539</v>
      </c>
      <c r="F792">
        <v>15</v>
      </c>
      <c r="G792">
        <v>1304313953</v>
      </c>
      <c r="H792" t="str">
        <f t="shared" si="12"/>
        <v>yes</v>
      </c>
      <c r="I792">
        <v>162</v>
      </c>
      <c r="J792">
        <v>116</v>
      </c>
      <c r="K792">
        <v>355</v>
      </c>
      <c r="L792">
        <v>7</v>
      </c>
      <c r="M792">
        <v>0</v>
      </c>
      <c r="N792">
        <v>176</v>
      </c>
      <c r="O792" t="s">
        <v>51</v>
      </c>
      <c r="P792" t="s">
        <v>26</v>
      </c>
      <c r="Q792" s="10">
        <v>61</v>
      </c>
      <c r="R792" s="10">
        <v>24</v>
      </c>
      <c r="S792" s="10">
        <v>62</v>
      </c>
      <c r="T792" s="10">
        <v>60</v>
      </c>
      <c r="U792" s="10">
        <v>0</v>
      </c>
      <c r="V792" s="10">
        <v>24</v>
      </c>
      <c r="W792" s="10">
        <v>31</v>
      </c>
    </row>
    <row r="793" spans="1:23">
      <c r="A793" s="2" t="s">
        <v>1356</v>
      </c>
      <c r="B793" s="2" t="s">
        <v>419</v>
      </c>
      <c r="C793">
        <v>1</v>
      </c>
      <c r="D793" s="5">
        <v>44687</v>
      </c>
      <c r="E793">
        <v>1992</v>
      </c>
      <c r="F793">
        <v>0</v>
      </c>
      <c r="G793">
        <v>150500965</v>
      </c>
      <c r="H793" t="str">
        <f t="shared" si="12"/>
        <v>no</v>
      </c>
      <c r="I793">
        <v>35</v>
      </c>
      <c r="J793">
        <v>0</v>
      </c>
      <c r="K793">
        <v>3</v>
      </c>
      <c r="L793">
        <v>0</v>
      </c>
      <c r="M793">
        <v>0</v>
      </c>
      <c r="N793">
        <v>158</v>
      </c>
      <c r="O793" t="s">
        <v>25</v>
      </c>
      <c r="P793" t="s">
        <v>26</v>
      </c>
      <c r="Q793" s="10">
        <v>83</v>
      </c>
      <c r="R793" s="10">
        <v>41</v>
      </c>
      <c r="S793" s="10">
        <v>65</v>
      </c>
      <c r="T793" s="10">
        <v>0</v>
      </c>
      <c r="U793" s="10">
        <v>10</v>
      </c>
      <c r="V793" s="10">
        <v>11</v>
      </c>
      <c r="W793" s="10">
        <v>8</v>
      </c>
    </row>
    <row r="794" spans="1:23">
      <c r="A794" s="2" t="s">
        <v>1356</v>
      </c>
      <c r="B794" s="2" t="s">
        <v>1373</v>
      </c>
      <c r="C794">
        <v>1</v>
      </c>
      <c r="D794" s="5">
        <v>44687</v>
      </c>
      <c r="E794">
        <v>897</v>
      </c>
      <c r="F794">
        <v>0</v>
      </c>
      <c r="G794">
        <v>246127838</v>
      </c>
      <c r="H794" t="str">
        <f t="shared" si="12"/>
        <v>yes</v>
      </c>
      <c r="I794">
        <v>6</v>
      </c>
      <c r="J794">
        <v>20</v>
      </c>
      <c r="K794">
        <v>8</v>
      </c>
      <c r="L794">
        <v>0</v>
      </c>
      <c r="M794">
        <v>0</v>
      </c>
      <c r="N794">
        <v>115</v>
      </c>
      <c r="O794" t="s">
        <v>29</v>
      </c>
      <c r="P794" t="s">
        <v>41</v>
      </c>
      <c r="Q794" s="10">
        <v>85</v>
      </c>
      <c r="R794" s="10">
        <v>72</v>
      </c>
      <c r="S794" s="10">
        <v>58</v>
      </c>
      <c r="T794" s="10">
        <v>9</v>
      </c>
      <c r="U794" s="10">
        <v>0</v>
      </c>
      <c r="V794" s="10">
        <v>49</v>
      </c>
      <c r="W794" s="10">
        <v>12</v>
      </c>
    </row>
    <row r="795" spans="1:23" ht="30.75">
      <c r="A795" s="2" t="s">
        <v>1356</v>
      </c>
      <c r="B795" s="2" t="s">
        <v>1374</v>
      </c>
      <c r="C795">
        <v>1</v>
      </c>
      <c r="D795" s="5">
        <v>42384</v>
      </c>
      <c r="E795">
        <v>2948</v>
      </c>
      <c r="F795">
        <v>0</v>
      </c>
      <c r="G795">
        <v>582863434</v>
      </c>
      <c r="H795" t="str">
        <f t="shared" si="12"/>
        <v>yes</v>
      </c>
      <c r="I795">
        <v>10</v>
      </c>
      <c r="J795">
        <v>2</v>
      </c>
      <c r="K795">
        <v>150</v>
      </c>
      <c r="L795">
        <v>0</v>
      </c>
      <c r="M795">
        <v>0</v>
      </c>
      <c r="N795">
        <v>110</v>
      </c>
      <c r="O795" t="s">
        <v>25</v>
      </c>
      <c r="P795" t="s">
        <v>41</v>
      </c>
      <c r="Q795" s="10">
        <v>51</v>
      </c>
      <c r="R795" s="10">
        <v>48</v>
      </c>
      <c r="S795" s="10">
        <v>82</v>
      </c>
      <c r="T795" s="10">
        <v>0</v>
      </c>
      <c r="U795" s="10">
        <v>0</v>
      </c>
      <c r="V795" s="10">
        <v>5</v>
      </c>
      <c r="W795" s="10">
        <v>3</v>
      </c>
    </row>
    <row r="796" spans="1:23">
      <c r="A796" s="2" t="s">
        <v>1375</v>
      </c>
      <c r="B796" s="2" t="s">
        <v>1376</v>
      </c>
      <c r="C796">
        <v>2</v>
      </c>
      <c r="D796" s="5">
        <v>44694</v>
      </c>
      <c r="E796">
        <v>1860</v>
      </c>
      <c r="F796">
        <v>0</v>
      </c>
      <c r="G796">
        <v>58687425</v>
      </c>
      <c r="H796" t="str">
        <f t="shared" si="12"/>
        <v>no</v>
      </c>
      <c r="I796">
        <v>1</v>
      </c>
      <c r="J796">
        <v>0</v>
      </c>
      <c r="K796">
        <v>3</v>
      </c>
      <c r="L796">
        <v>0</v>
      </c>
      <c r="M796">
        <v>0</v>
      </c>
      <c r="N796">
        <v>174</v>
      </c>
      <c r="O796" t="s">
        <v>37</v>
      </c>
      <c r="P796" t="s">
        <v>26</v>
      </c>
      <c r="Q796" s="10">
        <v>73</v>
      </c>
      <c r="R796" s="10">
        <v>26</v>
      </c>
      <c r="S796" s="10">
        <v>54</v>
      </c>
      <c r="T796" s="10">
        <v>30</v>
      </c>
      <c r="U796" s="10">
        <v>0</v>
      </c>
      <c r="V796" s="10">
        <v>34</v>
      </c>
      <c r="W796" s="10">
        <v>32</v>
      </c>
    </row>
    <row r="797" spans="1:23" ht="45.75">
      <c r="A797" s="2" t="s">
        <v>1377</v>
      </c>
      <c r="B797" s="2" t="s">
        <v>1378</v>
      </c>
      <c r="C797">
        <v>2</v>
      </c>
      <c r="D797" s="5">
        <v>44680</v>
      </c>
      <c r="E797">
        <v>802</v>
      </c>
      <c r="F797">
        <v>0</v>
      </c>
      <c r="G797">
        <v>212109195</v>
      </c>
      <c r="H797" t="str">
        <f t="shared" si="12"/>
        <v>yes</v>
      </c>
      <c r="I797">
        <v>16</v>
      </c>
      <c r="J797">
        <v>81</v>
      </c>
      <c r="K797">
        <v>23</v>
      </c>
      <c r="L797">
        <v>0</v>
      </c>
      <c r="M797">
        <v>0</v>
      </c>
      <c r="N797">
        <v>130</v>
      </c>
      <c r="O797" t="s">
        <v>98</v>
      </c>
      <c r="P797" t="s">
        <v>26</v>
      </c>
      <c r="Q797" s="10">
        <v>91</v>
      </c>
      <c r="R797" s="10">
        <v>91</v>
      </c>
      <c r="S797" s="10">
        <v>96</v>
      </c>
      <c r="T797" s="10">
        <v>3</v>
      </c>
      <c r="U797" s="10">
        <v>0</v>
      </c>
      <c r="V797" s="10">
        <v>3</v>
      </c>
      <c r="W797" s="10">
        <v>9</v>
      </c>
    </row>
    <row r="798" spans="1:23" ht="30.75">
      <c r="A798" s="2" t="s">
        <v>1379</v>
      </c>
      <c r="B798" s="2" t="s">
        <v>1380</v>
      </c>
      <c r="C798">
        <v>1</v>
      </c>
      <c r="D798" s="5">
        <v>44680</v>
      </c>
      <c r="E798">
        <v>2224</v>
      </c>
      <c r="F798">
        <v>8</v>
      </c>
      <c r="G798">
        <v>382199619</v>
      </c>
      <c r="H798" t="str">
        <f t="shared" si="12"/>
        <v>yes</v>
      </c>
      <c r="I798">
        <v>48</v>
      </c>
      <c r="J798">
        <v>40</v>
      </c>
      <c r="K798">
        <v>87</v>
      </c>
      <c r="L798">
        <v>1</v>
      </c>
      <c r="M798">
        <v>210</v>
      </c>
      <c r="N798">
        <v>78</v>
      </c>
      <c r="O798" t="s">
        <v>128</v>
      </c>
      <c r="P798" t="s">
        <v>26</v>
      </c>
      <c r="Q798" s="10">
        <v>36</v>
      </c>
      <c r="R798" s="10">
        <v>30</v>
      </c>
      <c r="S798" s="10">
        <v>54</v>
      </c>
      <c r="T798" s="10">
        <v>34</v>
      </c>
      <c r="U798" s="10">
        <v>0</v>
      </c>
      <c r="V798" s="10">
        <v>14</v>
      </c>
      <c r="W798" s="10">
        <v>5</v>
      </c>
    </row>
    <row r="799" spans="1:23" ht="30.75">
      <c r="A799" s="2" t="s">
        <v>1381</v>
      </c>
      <c r="B799" s="2" t="s">
        <v>1382</v>
      </c>
      <c r="C799">
        <v>1</v>
      </c>
      <c r="D799" s="5">
        <v>44694</v>
      </c>
      <c r="E799">
        <v>1103</v>
      </c>
      <c r="F799">
        <v>0</v>
      </c>
      <c r="G799">
        <v>41210087</v>
      </c>
      <c r="H799" t="str">
        <f t="shared" si="12"/>
        <v>no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104</v>
      </c>
      <c r="O799" t="s">
        <v>72</v>
      </c>
      <c r="P799" t="s">
        <v>26</v>
      </c>
      <c r="Q799" s="10">
        <v>44</v>
      </c>
      <c r="R799" s="10">
        <v>74</v>
      </c>
      <c r="S799" s="10">
        <v>42</v>
      </c>
      <c r="T799" s="10">
        <v>88</v>
      </c>
      <c r="U799" s="10">
        <v>0</v>
      </c>
      <c r="V799" s="10">
        <v>9</v>
      </c>
      <c r="W799" s="10">
        <v>9</v>
      </c>
    </row>
    <row r="800" spans="1:23">
      <c r="A800" s="2" t="s">
        <v>1383</v>
      </c>
      <c r="B800" s="2" t="s">
        <v>1384</v>
      </c>
      <c r="C800">
        <v>1</v>
      </c>
      <c r="D800" s="5">
        <v>44694</v>
      </c>
      <c r="E800">
        <v>2265</v>
      </c>
      <c r="F800">
        <v>0</v>
      </c>
      <c r="G800">
        <v>231657891</v>
      </c>
      <c r="H800" t="str">
        <f t="shared" si="12"/>
        <v>yes</v>
      </c>
      <c r="I800">
        <v>93</v>
      </c>
      <c r="J800">
        <v>12</v>
      </c>
      <c r="K800">
        <v>173</v>
      </c>
      <c r="L800">
        <v>11</v>
      </c>
      <c r="M800">
        <v>3</v>
      </c>
      <c r="N800">
        <v>121</v>
      </c>
      <c r="O800" t="s">
        <v>72</v>
      </c>
      <c r="P800" t="s">
        <v>26</v>
      </c>
      <c r="Q800" s="10">
        <v>64</v>
      </c>
      <c r="R800" s="10">
        <v>80</v>
      </c>
      <c r="S800" s="10">
        <v>88</v>
      </c>
      <c r="T800" s="10">
        <v>0</v>
      </c>
      <c r="U800" s="10">
        <v>0</v>
      </c>
      <c r="V800" s="10">
        <v>12</v>
      </c>
      <c r="W800" s="10">
        <v>6</v>
      </c>
    </row>
    <row r="801" spans="1:23" ht="45.75">
      <c r="A801" s="2" t="s">
        <v>1385</v>
      </c>
      <c r="B801" s="2" t="s">
        <v>1386</v>
      </c>
      <c r="C801">
        <v>1</v>
      </c>
      <c r="D801" s="5">
        <v>44630</v>
      </c>
      <c r="E801">
        <v>555</v>
      </c>
      <c r="F801">
        <v>0</v>
      </c>
      <c r="G801">
        <v>53729194</v>
      </c>
      <c r="H801" t="str">
        <f t="shared" si="12"/>
        <v>no</v>
      </c>
      <c r="I801">
        <v>10</v>
      </c>
      <c r="J801">
        <v>4</v>
      </c>
      <c r="K801">
        <v>4</v>
      </c>
      <c r="L801">
        <v>0</v>
      </c>
      <c r="M801">
        <v>0</v>
      </c>
      <c r="N801">
        <v>105</v>
      </c>
      <c r="O801" t="s">
        <v>51</v>
      </c>
      <c r="P801" t="s">
        <v>26</v>
      </c>
      <c r="Q801" s="10">
        <v>83</v>
      </c>
      <c r="R801" s="10">
        <v>32</v>
      </c>
      <c r="S801" s="10">
        <v>82</v>
      </c>
      <c r="T801" s="10">
        <v>14</v>
      </c>
      <c r="U801" s="10">
        <v>0</v>
      </c>
      <c r="V801" s="10">
        <v>12</v>
      </c>
      <c r="W801" s="10">
        <v>4</v>
      </c>
    </row>
    <row r="802" spans="1:23" ht="30.75">
      <c r="A802" s="2" t="s">
        <v>1387</v>
      </c>
      <c r="B802" s="2" t="s">
        <v>1388</v>
      </c>
      <c r="C802">
        <v>1</v>
      </c>
      <c r="D802" s="5">
        <v>44673</v>
      </c>
      <c r="E802">
        <v>2050</v>
      </c>
      <c r="F802">
        <v>0</v>
      </c>
      <c r="G802">
        <v>244741137</v>
      </c>
      <c r="H802" t="str">
        <f t="shared" si="12"/>
        <v>yes</v>
      </c>
      <c r="I802">
        <v>52</v>
      </c>
      <c r="J802">
        <v>9</v>
      </c>
      <c r="K802">
        <v>46</v>
      </c>
      <c r="L802">
        <v>0</v>
      </c>
      <c r="M802">
        <v>1</v>
      </c>
      <c r="N802">
        <v>81</v>
      </c>
      <c r="O802" t="s">
        <v>72</v>
      </c>
      <c r="P802" t="s">
        <v>26</v>
      </c>
      <c r="Q802" s="10">
        <v>38</v>
      </c>
      <c r="R802" s="10">
        <v>20</v>
      </c>
      <c r="S802" s="10">
        <v>66</v>
      </c>
      <c r="T802" s="10">
        <v>9</v>
      </c>
      <c r="U802" s="10">
        <v>0</v>
      </c>
      <c r="V802" s="10">
        <v>9</v>
      </c>
      <c r="W802" s="10">
        <v>8</v>
      </c>
    </row>
    <row r="803" spans="1:23">
      <c r="A803" s="2" t="s">
        <v>1389</v>
      </c>
      <c r="B803" s="2" t="s">
        <v>1390</v>
      </c>
      <c r="C803">
        <v>1</v>
      </c>
      <c r="D803" s="5">
        <v>44694</v>
      </c>
      <c r="E803">
        <v>1493</v>
      </c>
      <c r="F803">
        <v>0</v>
      </c>
      <c r="G803">
        <v>42485571</v>
      </c>
      <c r="H803" t="str">
        <f t="shared" si="12"/>
        <v>no</v>
      </c>
      <c r="I803">
        <v>2</v>
      </c>
      <c r="J803">
        <v>0</v>
      </c>
      <c r="K803">
        <v>10</v>
      </c>
      <c r="L803">
        <v>0</v>
      </c>
      <c r="M803">
        <v>0</v>
      </c>
      <c r="N803">
        <v>170</v>
      </c>
      <c r="O803" t="s">
        <v>29</v>
      </c>
      <c r="P803" t="s">
        <v>41</v>
      </c>
      <c r="Q803" s="10">
        <v>37</v>
      </c>
      <c r="R803" s="10">
        <v>14</v>
      </c>
      <c r="S803" s="10">
        <v>24</v>
      </c>
      <c r="T803" s="10">
        <v>80</v>
      </c>
      <c r="U803" s="10">
        <v>0</v>
      </c>
      <c r="V803" s="10">
        <v>11</v>
      </c>
      <c r="W803" s="10">
        <v>4</v>
      </c>
    </row>
    <row r="804" spans="1:23">
      <c r="A804" s="2" t="s">
        <v>1391</v>
      </c>
      <c r="B804" s="2" t="s">
        <v>1392</v>
      </c>
      <c r="C804">
        <v>1</v>
      </c>
      <c r="D804" s="5">
        <v>44694</v>
      </c>
      <c r="E804">
        <v>1545</v>
      </c>
      <c r="F804">
        <v>0</v>
      </c>
      <c r="G804">
        <v>37778188</v>
      </c>
      <c r="H804" t="str">
        <f t="shared" si="12"/>
        <v>no</v>
      </c>
      <c r="I804">
        <v>1</v>
      </c>
      <c r="J804">
        <v>0</v>
      </c>
      <c r="K804">
        <v>4</v>
      </c>
      <c r="L804">
        <v>0</v>
      </c>
      <c r="M804">
        <v>0</v>
      </c>
      <c r="N804">
        <v>78</v>
      </c>
      <c r="O804" t="s">
        <v>72</v>
      </c>
      <c r="P804" t="s">
        <v>26</v>
      </c>
      <c r="Q804" s="10">
        <v>43</v>
      </c>
      <c r="R804" s="10">
        <v>60</v>
      </c>
      <c r="S804" s="10">
        <v>38</v>
      </c>
      <c r="T804" s="10">
        <v>76</v>
      </c>
      <c r="U804" s="10">
        <v>1</v>
      </c>
      <c r="V804" s="10">
        <v>48</v>
      </c>
      <c r="W804" s="10">
        <v>38</v>
      </c>
    </row>
    <row r="805" spans="1:23" ht="30.75">
      <c r="A805" s="2" t="s">
        <v>1391</v>
      </c>
      <c r="B805" s="2" t="s">
        <v>1393</v>
      </c>
      <c r="C805">
        <v>1</v>
      </c>
      <c r="D805" s="5">
        <v>44680</v>
      </c>
      <c r="E805">
        <v>2350</v>
      </c>
      <c r="F805">
        <v>0</v>
      </c>
      <c r="G805">
        <v>254218729</v>
      </c>
      <c r="H805" t="str">
        <f t="shared" si="12"/>
        <v>yes</v>
      </c>
      <c r="I805">
        <v>28</v>
      </c>
      <c r="J805">
        <v>42</v>
      </c>
      <c r="K805">
        <v>23</v>
      </c>
      <c r="L805">
        <v>0</v>
      </c>
      <c r="M805">
        <v>0</v>
      </c>
      <c r="N805">
        <v>125</v>
      </c>
      <c r="O805" t="s">
        <v>63</v>
      </c>
      <c r="P805" t="s">
        <v>26</v>
      </c>
      <c r="Q805" s="10">
        <v>88</v>
      </c>
      <c r="R805" s="10">
        <v>28</v>
      </c>
      <c r="S805" s="10">
        <v>66</v>
      </c>
      <c r="T805" s="10">
        <v>6</v>
      </c>
      <c r="U805" s="10">
        <v>0</v>
      </c>
      <c r="V805" s="10">
        <v>13</v>
      </c>
      <c r="W805" s="10">
        <v>31</v>
      </c>
    </row>
    <row r="806" spans="1:23">
      <c r="A806" s="2" t="s">
        <v>1394</v>
      </c>
      <c r="B806" s="2" t="s">
        <v>1395</v>
      </c>
      <c r="C806">
        <v>1</v>
      </c>
      <c r="D806" s="5">
        <v>44694</v>
      </c>
      <c r="E806">
        <v>1929</v>
      </c>
      <c r="F806">
        <v>0</v>
      </c>
      <c r="G806">
        <v>53603447</v>
      </c>
      <c r="H806" t="str">
        <f t="shared" si="12"/>
        <v>no</v>
      </c>
      <c r="I806">
        <v>2</v>
      </c>
      <c r="J806">
        <v>0</v>
      </c>
      <c r="K806">
        <v>4</v>
      </c>
      <c r="L806">
        <v>0</v>
      </c>
      <c r="M806">
        <v>0</v>
      </c>
      <c r="N806">
        <v>92</v>
      </c>
      <c r="O806" t="s">
        <v>98</v>
      </c>
      <c r="P806" t="s">
        <v>41</v>
      </c>
      <c r="Q806" s="10">
        <v>66</v>
      </c>
      <c r="R806" s="10">
        <v>29</v>
      </c>
      <c r="S806" s="10">
        <v>65</v>
      </c>
      <c r="T806" s="10">
        <v>23</v>
      </c>
      <c r="U806" s="10">
        <v>0</v>
      </c>
      <c r="V806" s="10">
        <v>8</v>
      </c>
      <c r="W806" s="10">
        <v>7</v>
      </c>
    </row>
    <row r="807" spans="1:23">
      <c r="A807" s="2" t="s">
        <v>1394</v>
      </c>
      <c r="B807" s="2" t="s">
        <v>1396</v>
      </c>
      <c r="C807">
        <v>1</v>
      </c>
      <c r="D807" s="5">
        <v>44673</v>
      </c>
      <c r="E807">
        <v>710</v>
      </c>
      <c r="F807">
        <v>4</v>
      </c>
      <c r="G807">
        <v>160035717</v>
      </c>
      <c r="H807" t="str">
        <f t="shared" si="12"/>
        <v>no</v>
      </c>
      <c r="I807">
        <v>16</v>
      </c>
      <c r="J807">
        <v>11</v>
      </c>
      <c r="K807">
        <v>18</v>
      </c>
      <c r="L807">
        <v>0</v>
      </c>
      <c r="M807">
        <v>0</v>
      </c>
      <c r="N807">
        <v>140</v>
      </c>
      <c r="O807" t="s">
        <v>25</v>
      </c>
      <c r="P807" t="s">
        <v>41</v>
      </c>
      <c r="Q807" s="10">
        <v>84</v>
      </c>
      <c r="R807" s="10">
        <v>61</v>
      </c>
      <c r="S807" s="10">
        <v>42</v>
      </c>
      <c r="T807" s="10">
        <v>31</v>
      </c>
      <c r="U807" s="10">
        <v>0</v>
      </c>
      <c r="V807" s="10">
        <v>9</v>
      </c>
      <c r="W807" s="10">
        <v>9</v>
      </c>
    </row>
    <row r="808" spans="1:23" ht="60.75">
      <c r="A808" s="2" t="s">
        <v>1394</v>
      </c>
      <c r="B808" s="2" t="s">
        <v>1397</v>
      </c>
      <c r="C808">
        <v>2</v>
      </c>
      <c r="D808" s="5">
        <v>44676</v>
      </c>
      <c r="E808">
        <v>928</v>
      </c>
      <c r="F808">
        <v>0</v>
      </c>
      <c r="G808">
        <v>164163229</v>
      </c>
      <c r="H808" t="str">
        <f t="shared" si="12"/>
        <v>no</v>
      </c>
      <c r="I808">
        <v>19</v>
      </c>
      <c r="J808">
        <v>0</v>
      </c>
      <c r="K808">
        <v>7</v>
      </c>
      <c r="L808">
        <v>0</v>
      </c>
      <c r="M808">
        <v>0</v>
      </c>
      <c r="N808">
        <v>96</v>
      </c>
      <c r="P808" t="s">
        <v>26</v>
      </c>
      <c r="Q808" s="10">
        <v>61</v>
      </c>
      <c r="R808" s="10">
        <v>32</v>
      </c>
      <c r="S808" s="10">
        <v>90</v>
      </c>
      <c r="T808" s="10">
        <v>25</v>
      </c>
      <c r="U808" s="10">
        <v>0</v>
      </c>
      <c r="V808" s="10">
        <v>10</v>
      </c>
      <c r="W808" s="10">
        <v>9</v>
      </c>
    </row>
    <row r="809" spans="1:23" ht="30.75">
      <c r="A809" s="2" t="s">
        <v>1394</v>
      </c>
      <c r="B809" s="2" t="s">
        <v>1398</v>
      </c>
      <c r="C809">
        <v>1</v>
      </c>
      <c r="D809" s="5">
        <v>44694</v>
      </c>
      <c r="E809">
        <v>1194</v>
      </c>
      <c r="F809">
        <v>0</v>
      </c>
      <c r="G809">
        <v>37091576</v>
      </c>
      <c r="H809" t="str">
        <f t="shared" si="12"/>
        <v>no</v>
      </c>
      <c r="I809">
        <v>0</v>
      </c>
      <c r="J809">
        <v>0</v>
      </c>
      <c r="K809">
        <v>3</v>
      </c>
      <c r="L809">
        <v>0</v>
      </c>
      <c r="M809">
        <v>0</v>
      </c>
      <c r="N809">
        <v>118</v>
      </c>
      <c r="O809" t="s">
        <v>32</v>
      </c>
      <c r="P809" t="s">
        <v>41</v>
      </c>
      <c r="Q809" s="10">
        <v>66</v>
      </c>
      <c r="R809" s="10">
        <v>83</v>
      </c>
      <c r="S809" s="10">
        <v>43</v>
      </c>
      <c r="T809" s="10">
        <v>84</v>
      </c>
      <c r="U809" s="10">
        <v>0</v>
      </c>
      <c r="V809" s="10">
        <v>19</v>
      </c>
      <c r="W809" s="10">
        <v>19</v>
      </c>
    </row>
    <row r="810" spans="1:23">
      <c r="A810" s="2" t="s">
        <v>1394</v>
      </c>
      <c r="B810" s="2" t="s">
        <v>1399</v>
      </c>
      <c r="C810">
        <v>2</v>
      </c>
      <c r="D810" s="5">
        <v>44598</v>
      </c>
      <c r="E810">
        <v>349</v>
      </c>
      <c r="F810">
        <v>6</v>
      </c>
      <c r="G810">
        <v>284249832</v>
      </c>
      <c r="H810" t="str">
        <f t="shared" si="12"/>
        <v>yes</v>
      </c>
      <c r="I810">
        <v>10</v>
      </c>
      <c r="J810">
        <v>22</v>
      </c>
      <c r="K810">
        <v>3</v>
      </c>
      <c r="L810">
        <v>0</v>
      </c>
      <c r="M810">
        <v>0</v>
      </c>
      <c r="N810">
        <v>92</v>
      </c>
      <c r="O810" t="s">
        <v>25</v>
      </c>
      <c r="P810" t="s">
        <v>41</v>
      </c>
      <c r="Q810" s="10">
        <v>71</v>
      </c>
      <c r="R810" s="10">
        <v>67</v>
      </c>
      <c r="S810" s="10">
        <v>60</v>
      </c>
      <c r="T810" s="10">
        <v>7</v>
      </c>
      <c r="U810" s="10">
        <v>0</v>
      </c>
      <c r="V810" s="10">
        <v>6</v>
      </c>
      <c r="W810" s="10">
        <v>4</v>
      </c>
    </row>
    <row r="811" spans="1:23" ht="60.75">
      <c r="A811" s="2" t="s">
        <v>1394</v>
      </c>
      <c r="B811" s="2" t="s">
        <v>1400</v>
      </c>
      <c r="C811">
        <v>2</v>
      </c>
      <c r="D811" s="5">
        <v>44694</v>
      </c>
      <c r="E811">
        <v>1890</v>
      </c>
      <c r="F811">
        <v>0</v>
      </c>
      <c r="G811">
        <v>33381454</v>
      </c>
      <c r="H811" t="str">
        <f t="shared" si="12"/>
        <v>no</v>
      </c>
      <c r="I811">
        <v>3</v>
      </c>
      <c r="J811">
        <v>0</v>
      </c>
      <c r="K811">
        <v>2</v>
      </c>
      <c r="L811">
        <v>0</v>
      </c>
      <c r="M811">
        <v>0</v>
      </c>
      <c r="N811">
        <v>140</v>
      </c>
      <c r="O811" t="s">
        <v>63</v>
      </c>
      <c r="P811" t="s">
        <v>41</v>
      </c>
      <c r="Q811" s="10">
        <v>49</v>
      </c>
      <c r="R811" s="10">
        <v>50</v>
      </c>
      <c r="S811" s="10">
        <v>37</v>
      </c>
      <c r="T811" s="10">
        <v>87</v>
      </c>
      <c r="U811" s="10">
        <v>0</v>
      </c>
      <c r="V811" s="10">
        <v>11</v>
      </c>
      <c r="W811" s="10">
        <v>35</v>
      </c>
    </row>
    <row r="812" spans="1:23" ht="30.75">
      <c r="A812" s="2" t="s">
        <v>1394</v>
      </c>
      <c r="B812" s="2" t="s">
        <v>1401</v>
      </c>
      <c r="C812">
        <v>2</v>
      </c>
      <c r="D812" s="5">
        <v>44652</v>
      </c>
      <c r="E812">
        <v>1308</v>
      </c>
      <c r="F812">
        <v>2</v>
      </c>
      <c r="G812">
        <v>184622518</v>
      </c>
      <c r="H812" t="str">
        <f t="shared" si="12"/>
        <v>no</v>
      </c>
      <c r="I812">
        <v>23</v>
      </c>
      <c r="J812">
        <v>16</v>
      </c>
      <c r="K812">
        <v>9</v>
      </c>
      <c r="L812">
        <v>0</v>
      </c>
      <c r="M812">
        <v>5</v>
      </c>
      <c r="N812">
        <v>174</v>
      </c>
      <c r="O812" t="s">
        <v>29</v>
      </c>
      <c r="P812" t="s">
        <v>26</v>
      </c>
      <c r="Q812" s="10">
        <v>68</v>
      </c>
      <c r="R812" s="10">
        <v>45</v>
      </c>
      <c r="S812" s="10">
        <v>71</v>
      </c>
      <c r="T812" s="10">
        <v>18</v>
      </c>
      <c r="U812" s="10">
        <v>0</v>
      </c>
      <c r="V812" s="10">
        <v>11</v>
      </c>
      <c r="W812" s="10">
        <v>25</v>
      </c>
    </row>
    <row r="813" spans="1:23" ht="30.75">
      <c r="A813" s="2" t="s">
        <v>1394</v>
      </c>
      <c r="B813" s="2" t="s">
        <v>1402</v>
      </c>
      <c r="C813">
        <v>2</v>
      </c>
      <c r="D813" s="5">
        <v>44587</v>
      </c>
      <c r="E813">
        <v>4531</v>
      </c>
      <c r="F813">
        <v>0</v>
      </c>
      <c r="G813">
        <v>300983101</v>
      </c>
      <c r="H813" t="str">
        <f t="shared" si="12"/>
        <v>yes</v>
      </c>
      <c r="I813">
        <v>135</v>
      </c>
      <c r="J813">
        <v>74</v>
      </c>
      <c r="K813">
        <v>119</v>
      </c>
      <c r="L813">
        <v>1</v>
      </c>
      <c r="M813">
        <v>18</v>
      </c>
      <c r="N813">
        <v>127</v>
      </c>
      <c r="O813" t="s">
        <v>128</v>
      </c>
      <c r="P813" t="s">
        <v>26</v>
      </c>
      <c r="Q813" s="10">
        <v>77</v>
      </c>
      <c r="R813" s="10">
        <v>53</v>
      </c>
      <c r="S813" s="10">
        <v>78</v>
      </c>
      <c r="T813" s="10">
        <v>19</v>
      </c>
      <c r="U813" s="10">
        <v>0</v>
      </c>
      <c r="V813" s="10">
        <v>29</v>
      </c>
      <c r="W813" s="10">
        <v>4</v>
      </c>
    </row>
    <row r="814" spans="1:23" ht="30.75">
      <c r="A814" s="2" t="s">
        <v>1394</v>
      </c>
      <c r="B814" s="2" t="s">
        <v>1403</v>
      </c>
      <c r="C814">
        <v>2</v>
      </c>
      <c r="D814" s="5">
        <v>44687</v>
      </c>
      <c r="E814">
        <v>1657</v>
      </c>
      <c r="F814">
        <v>0</v>
      </c>
      <c r="G814">
        <v>121077868</v>
      </c>
      <c r="H814" t="str">
        <f t="shared" si="12"/>
        <v>no</v>
      </c>
      <c r="I814">
        <v>15</v>
      </c>
      <c r="J814">
        <v>3</v>
      </c>
      <c r="K814">
        <v>3</v>
      </c>
      <c r="L814">
        <v>0</v>
      </c>
      <c r="M814">
        <v>0</v>
      </c>
      <c r="N814">
        <v>96</v>
      </c>
      <c r="O814" t="s">
        <v>25</v>
      </c>
      <c r="P814" t="s">
        <v>26</v>
      </c>
      <c r="Q814" s="10">
        <v>71</v>
      </c>
      <c r="R814" s="10">
        <v>37</v>
      </c>
      <c r="S814" s="10">
        <v>52</v>
      </c>
      <c r="T814" s="10">
        <v>62</v>
      </c>
      <c r="U814" s="10">
        <v>0</v>
      </c>
      <c r="V814" s="10">
        <v>11</v>
      </c>
      <c r="W814" s="10">
        <v>36</v>
      </c>
    </row>
    <row r="815" spans="1:23" ht="30.75">
      <c r="A815" s="2" t="s">
        <v>1394</v>
      </c>
      <c r="B815" s="2" t="s">
        <v>1404</v>
      </c>
      <c r="C815">
        <v>2</v>
      </c>
      <c r="D815" s="5">
        <v>44680</v>
      </c>
      <c r="E815">
        <v>1351</v>
      </c>
      <c r="F815">
        <v>0</v>
      </c>
      <c r="G815">
        <v>106919680</v>
      </c>
      <c r="H815" t="str">
        <f t="shared" si="12"/>
        <v>no</v>
      </c>
      <c r="I815">
        <v>26</v>
      </c>
      <c r="J815">
        <v>1</v>
      </c>
      <c r="K815">
        <v>17</v>
      </c>
      <c r="L815">
        <v>0</v>
      </c>
      <c r="M815">
        <v>0</v>
      </c>
      <c r="N815">
        <v>150</v>
      </c>
      <c r="O815" t="s">
        <v>63</v>
      </c>
      <c r="P815" t="s">
        <v>41</v>
      </c>
      <c r="Q815" s="10">
        <v>82</v>
      </c>
      <c r="R815" s="10">
        <v>82</v>
      </c>
      <c r="S815" s="10">
        <v>66</v>
      </c>
      <c r="T815" s="10">
        <v>13</v>
      </c>
      <c r="U815" s="10">
        <v>0</v>
      </c>
      <c r="V815" s="10">
        <v>11</v>
      </c>
      <c r="W815" s="10">
        <v>6</v>
      </c>
    </row>
    <row r="816" spans="1:23">
      <c r="A816" s="2" t="s">
        <v>1394</v>
      </c>
      <c r="B816" s="2" t="s">
        <v>1405</v>
      </c>
      <c r="C816">
        <v>1</v>
      </c>
      <c r="D816" s="5">
        <v>44664</v>
      </c>
      <c r="E816">
        <v>608</v>
      </c>
      <c r="F816">
        <v>0</v>
      </c>
      <c r="G816">
        <v>136996305</v>
      </c>
      <c r="H816" t="str">
        <f t="shared" si="12"/>
        <v>no</v>
      </c>
      <c r="I816">
        <v>5</v>
      </c>
      <c r="J816">
        <v>29</v>
      </c>
      <c r="K816">
        <v>14</v>
      </c>
      <c r="L816">
        <v>0</v>
      </c>
      <c r="M816">
        <v>0</v>
      </c>
      <c r="N816">
        <v>100</v>
      </c>
      <c r="O816" t="s">
        <v>53</v>
      </c>
      <c r="P816" t="s">
        <v>26</v>
      </c>
      <c r="Q816" s="10">
        <v>87</v>
      </c>
      <c r="R816" s="10">
        <v>46</v>
      </c>
      <c r="S816" s="10">
        <v>60</v>
      </c>
      <c r="T816" s="10">
        <v>1</v>
      </c>
      <c r="U816" s="10">
        <v>0</v>
      </c>
      <c r="V816" s="10">
        <v>13</v>
      </c>
      <c r="W816" s="10">
        <v>16</v>
      </c>
    </row>
    <row r="817" spans="1:23">
      <c r="A817" s="2" t="s">
        <v>1394</v>
      </c>
      <c r="B817" s="2" t="s">
        <v>1406</v>
      </c>
      <c r="C817">
        <v>1</v>
      </c>
      <c r="D817" s="5">
        <v>44554</v>
      </c>
      <c r="E817">
        <v>1211</v>
      </c>
      <c r="F817">
        <v>0</v>
      </c>
      <c r="G817">
        <v>65719930</v>
      </c>
      <c r="H817" t="str">
        <f t="shared" si="12"/>
        <v>no</v>
      </c>
      <c r="I817">
        <v>31</v>
      </c>
      <c r="J817">
        <v>0</v>
      </c>
      <c r="K817">
        <v>19</v>
      </c>
      <c r="L817">
        <v>0</v>
      </c>
      <c r="M817">
        <v>2</v>
      </c>
      <c r="N817">
        <v>105</v>
      </c>
      <c r="O817" t="s">
        <v>29</v>
      </c>
      <c r="P817" t="s">
        <v>41</v>
      </c>
      <c r="Q817" s="10">
        <v>73</v>
      </c>
      <c r="R817" s="10">
        <v>59</v>
      </c>
      <c r="S817" s="10">
        <v>81</v>
      </c>
      <c r="T817" s="10">
        <v>13</v>
      </c>
      <c r="U817" s="10">
        <v>0</v>
      </c>
      <c r="V817" s="10">
        <v>9</v>
      </c>
      <c r="W817" s="10">
        <v>6</v>
      </c>
    </row>
    <row r="818" spans="1:23">
      <c r="A818" s="2" t="s">
        <v>1394</v>
      </c>
      <c r="B818" s="2" t="s">
        <v>1407</v>
      </c>
      <c r="C818">
        <v>1</v>
      </c>
      <c r="D818" s="5">
        <v>44683</v>
      </c>
      <c r="E818">
        <v>629</v>
      </c>
      <c r="F818">
        <v>0</v>
      </c>
      <c r="G818">
        <v>229497852</v>
      </c>
      <c r="H818" t="str">
        <f t="shared" si="12"/>
        <v>yes</v>
      </c>
      <c r="I818">
        <v>18</v>
      </c>
      <c r="J818">
        <v>75</v>
      </c>
      <c r="K818">
        <v>9</v>
      </c>
      <c r="L818">
        <v>0</v>
      </c>
      <c r="M818">
        <v>0</v>
      </c>
      <c r="N818">
        <v>104</v>
      </c>
      <c r="O818" t="s">
        <v>72</v>
      </c>
      <c r="P818" t="s">
        <v>26</v>
      </c>
      <c r="Q818" s="10">
        <v>86</v>
      </c>
      <c r="R818" s="10">
        <v>43</v>
      </c>
      <c r="S818" s="10">
        <v>62</v>
      </c>
      <c r="T818" s="10">
        <v>5</v>
      </c>
      <c r="U818" s="10">
        <v>0</v>
      </c>
      <c r="V818" s="10">
        <v>13</v>
      </c>
      <c r="W818" s="10">
        <v>14</v>
      </c>
    </row>
    <row r="819" spans="1:23" ht="45.75">
      <c r="A819" s="2" t="s">
        <v>1394</v>
      </c>
      <c r="B819" s="2" t="s">
        <v>1408</v>
      </c>
      <c r="C819">
        <v>1</v>
      </c>
      <c r="D819" s="5">
        <v>44643</v>
      </c>
      <c r="E819">
        <v>1301</v>
      </c>
      <c r="F819">
        <v>0</v>
      </c>
      <c r="G819">
        <v>185550869</v>
      </c>
      <c r="H819" t="str">
        <f t="shared" si="12"/>
        <v>no</v>
      </c>
      <c r="I819">
        <v>23</v>
      </c>
      <c r="J819">
        <v>1</v>
      </c>
      <c r="K819">
        <v>15</v>
      </c>
      <c r="L819">
        <v>0</v>
      </c>
      <c r="M819">
        <v>0</v>
      </c>
      <c r="N819">
        <v>154</v>
      </c>
      <c r="O819" t="s">
        <v>63</v>
      </c>
      <c r="P819" t="s">
        <v>26</v>
      </c>
      <c r="Q819" s="10">
        <v>54</v>
      </c>
      <c r="R819" s="10">
        <v>45</v>
      </c>
      <c r="S819" s="10">
        <v>79</v>
      </c>
      <c r="T819" s="10">
        <v>1</v>
      </c>
      <c r="U819" s="10">
        <v>0</v>
      </c>
      <c r="V819" s="10">
        <v>17</v>
      </c>
      <c r="W819" s="10">
        <v>5</v>
      </c>
    </row>
    <row r="820" spans="1:23">
      <c r="A820" s="2" t="s">
        <v>1394</v>
      </c>
      <c r="B820" s="2" t="s">
        <v>1409</v>
      </c>
      <c r="C820">
        <v>1</v>
      </c>
      <c r="D820" s="5">
        <v>44614</v>
      </c>
      <c r="E820">
        <v>1329</v>
      </c>
      <c r="F820">
        <v>0</v>
      </c>
      <c r="G820">
        <v>54682594</v>
      </c>
      <c r="H820" t="str">
        <f t="shared" si="12"/>
        <v>no</v>
      </c>
      <c r="I820">
        <v>42</v>
      </c>
      <c r="J820">
        <v>51</v>
      </c>
      <c r="K820">
        <v>32</v>
      </c>
      <c r="L820">
        <v>0</v>
      </c>
      <c r="M820">
        <v>0</v>
      </c>
      <c r="N820">
        <v>80</v>
      </c>
      <c r="O820" t="s">
        <v>25</v>
      </c>
      <c r="P820" t="s">
        <v>26</v>
      </c>
      <c r="Q820" s="10">
        <v>47</v>
      </c>
      <c r="R820" s="10">
        <v>33</v>
      </c>
      <c r="S820" s="10">
        <v>83</v>
      </c>
      <c r="T820" s="10">
        <v>18</v>
      </c>
      <c r="U820" s="10">
        <v>0</v>
      </c>
      <c r="V820" s="10">
        <v>10</v>
      </c>
      <c r="W820" s="10">
        <v>5</v>
      </c>
    </row>
    <row r="821" spans="1:23">
      <c r="A821" s="2" t="s">
        <v>1394</v>
      </c>
      <c r="B821" s="2" t="s">
        <v>1410</v>
      </c>
      <c r="C821">
        <v>2</v>
      </c>
      <c r="D821" s="5">
        <v>44675</v>
      </c>
      <c r="E821">
        <v>343</v>
      </c>
      <c r="F821">
        <v>2</v>
      </c>
      <c r="G821">
        <v>240580042</v>
      </c>
      <c r="H821" t="str">
        <f t="shared" si="12"/>
        <v>yes</v>
      </c>
      <c r="I821">
        <v>4</v>
      </c>
      <c r="J821">
        <v>35</v>
      </c>
      <c r="K821">
        <v>11</v>
      </c>
      <c r="L821">
        <v>1</v>
      </c>
      <c r="M821">
        <v>1</v>
      </c>
      <c r="N821">
        <v>150</v>
      </c>
      <c r="O821" t="s">
        <v>196</v>
      </c>
      <c r="P821" t="s">
        <v>26</v>
      </c>
      <c r="Q821" s="10">
        <v>53</v>
      </c>
      <c r="R821" s="10">
        <v>14</v>
      </c>
      <c r="S821" s="10">
        <v>43</v>
      </c>
      <c r="T821" s="10">
        <v>64</v>
      </c>
      <c r="U821" s="10">
        <v>0</v>
      </c>
      <c r="V821" s="10">
        <v>13</v>
      </c>
      <c r="W821" s="10">
        <v>3</v>
      </c>
    </row>
    <row r="822" spans="1:23">
      <c r="A822" s="2" t="s">
        <v>1394</v>
      </c>
      <c r="B822" s="2" t="s">
        <v>1411</v>
      </c>
      <c r="C822">
        <v>1</v>
      </c>
      <c r="D822" s="5">
        <v>35885</v>
      </c>
      <c r="E822">
        <v>13101</v>
      </c>
      <c r="F822">
        <v>9</v>
      </c>
      <c r="G822">
        <v>1284942608</v>
      </c>
      <c r="H822" t="str">
        <f t="shared" si="12"/>
        <v>yes</v>
      </c>
      <c r="I822">
        <v>137</v>
      </c>
      <c r="J822">
        <v>5</v>
      </c>
      <c r="K822">
        <v>582</v>
      </c>
      <c r="L822">
        <v>0</v>
      </c>
      <c r="M822">
        <v>0</v>
      </c>
      <c r="N822">
        <v>156</v>
      </c>
      <c r="O822" t="s">
        <v>25</v>
      </c>
      <c r="P822" t="s">
        <v>41</v>
      </c>
      <c r="Q822" s="10">
        <v>32</v>
      </c>
      <c r="R822" s="10">
        <v>49</v>
      </c>
      <c r="S822" s="10">
        <v>72</v>
      </c>
      <c r="T822" s="10">
        <v>0</v>
      </c>
      <c r="U822" s="10">
        <v>0</v>
      </c>
      <c r="V822" s="10">
        <v>9</v>
      </c>
      <c r="W822" s="10">
        <v>4</v>
      </c>
    </row>
    <row r="823" spans="1:23" ht="30.75">
      <c r="A823" s="2" t="s">
        <v>1394</v>
      </c>
      <c r="B823" s="2" t="s">
        <v>1412</v>
      </c>
      <c r="C823">
        <v>1</v>
      </c>
      <c r="D823" s="5">
        <v>44689</v>
      </c>
      <c r="E823">
        <v>2939</v>
      </c>
      <c r="F823">
        <v>0</v>
      </c>
      <c r="G823">
        <v>71423324</v>
      </c>
      <c r="H823" t="str">
        <f t="shared" si="12"/>
        <v>no</v>
      </c>
      <c r="I823">
        <v>29</v>
      </c>
      <c r="J823">
        <v>0</v>
      </c>
      <c r="K823">
        <v>30</v>
      </c>
      <c r="L823">
        <v>0</v>
      </c>
      <c r="M823">
        <v>0</v>
      </c>
      <c r="N823">
        <v>98</v>
      </c>
      <c r="O823" t="s">
        <v>63</v>
      </c>
      <c r="P823" t="s">
        <v>41</v>
      </c>
      <c r="Q823" s="10">
        <v>76</v>
      </c>
      <c r="R823" s="10">
        <v>79</v>
      </c>
      <c r="S823" s="10">
        <v>81</v>
      </c>
      <c r="T823" s="10">
        <v>18</v>
      </c>
      <c r="U823" s="10">
        <v>0</v>
      </c>
      <c r="V823" s="10">
        <v>6</v>
      </c>
      <c r="W823" s="10">
        <v>34</v>
      </c>
    </row>
    <row r="824" spans="1:23">
      <c r="A824" s="2" t="s">
        <v>1394</v>
      </c>
      <c r="B824" s="2" t="s">
        <v>1413</v>
      </c>
      <c r="C824">
        <v>1</v>
      </c>
      <c r="D824" s="5">
        <v>43776</v>
      </c>
      <c r="E824">
        <v>407</v>
      </c>
      <c r="F824">
        <v>1</v>
      </c>
      <c r="G824">
        <v>244891912</v>
      </c>
      <c r="H824" t="str">
        <f t="shared" si="12"/>
        <v>yes</v>
      </c>
      <c r="I824">
        <v>5</v>
      </c>
      <c r="J824">
        <v>0</v>
      </c>
      <c r="K824">
        <v>5</v>
      </c>
      <c r="L824">
        <v>0</v>
      </c>
      <c r="M824">
        <v>0</v>
      </c>
      <c r="N824">
        <v>92</v>
      </c>
      <c r="O824" t="s">
        <v>72</v>
      </c>
      <c r="P824" t="s">
        <v>26</v>
      </c>
      <c r="Q824" s="10">
        <v>58</v>
      </c>
      <c r="R824" s="10">
        <v>27</v>
      </c>
      <c r="S824" s="10">
        <v>36</v>
      </c>
      <c r="T824" s="10">
        <v>86</v>
      </c>
      <c r="U824" s="10">
        <v>0</v>
      </c>
      <c r="V824" s="10">
        <v>9</v>
      </c>
      <c r="W824" s="10">
        <v>3</v>
      </c>
    </row>
    <row r="825" spans="1:23" ht="45.75">
      <c r="A825" s="2" t="s">
        <v>1394</v>
      </c>
      <c r="B825" s="2" t="s">
        <v>1414</v>
      </c>
      <c r="C825">
        <v>1</v>
      </c>
      <c r="D825" s="5">
        <v>44687</v>
      </c>
      <c r="E825">
        <v>1492</v>
      </c>
      <c r="F825">
        <v>0</v>
      </c>
      <c r="G825">
        <v>132171975</v>
      </c>
      <c r="H825" t="str">
        <f t="shared" si="12"/>
        <v>no</v>
      </c>
      <c r="I825">
        <v>26</v>
      </c>
      <c r="J825">
        <v>2</v>
      </c>
      <c r="K825">
        <v>15</v>
      </c>
      <c r="L825">
        <v>0</v>
      </c>
      <c r="M825">
        <v>2</v>
      </c>
      <c r="N825">
        <v>144</v>
      </c>
      <c r="O825" t="s">
        <v>98</v>
      </c>
      <c r="P825" t="s">
        <v>26</v>
      </c>
      <c r="Q825" s="10">
        <v>47</v>
      </c>
      <c r="R825" s="10">
        <v>7</v>
      </c>
      <c r="S825" s="10">
        <v>50</v>
      </c>
      <c r="T825" s="10">
        <v>32</v>
      </c>
      <c r="U825" s="10">
        <v>0</v>
      </c>
      <c r="V825" s="10">
        <v>7</v>
      </c>
      <c r="W825" s="10">
        <v>4</v>
      </c>
    </row>
    <row r="826" spans="1:23">
      <c r="A826" s="2" t="s">
        <v>1394</v>
      </c>
      <c r="B826" s="2" t="s">
        <v>1415</v>
      </c>
      <c r="C826">
        <v>1</v>
      </c>
      <c r="D826" s="5">
        <v>43028</v>
      </c>
      <c r="E826">
        <v>2264</v>
      </c>
      <c r="F826">
        <v>0</v>
      </c>
      <c r="G826">
        <v>184706613</v>
      </c>
      <c r="H826" t="str">
        <f t="shared" si="12"/>
        <v>no</v>
      </c>
      <c r="I826">
        <v>11</v>
      </c>
      <c r="J826">
        <v>6</v>
      </c>
      <c r="K826">
        <v>25</v>
      </c>
      <c r="L826">
        <v>0</v>
      </c>
      <c r="M826">
        <v>1</v>
      </c>
      <c r="N826">
        <v>150</v>
      </c>
      <c r="O826" t="s">
        <v>98</v>
      </c>
      <c r="P826" t="s">
        <v>26</v>
      </c>
      <c r="Q826" s="10">
        <v>37</v>
      </c>
      <c r="R826" s="10">
        <v>27</v>
      </c>
      <c r="S826" s="10">
        <v>56</v>
      </c>
      <c r="T826" s="10">
        <v>8</v>
      </c>
      <c r="U826" s="10">
        <v>0</v>
      </c>
      <c r="V826" s="10">
        <v>13</v>
      </c>
      <c r="W826" s="10">
        <v>3</v>
      </c>
    </row>
    <row r="827" spans="1:23">
      <c r="A827" s="2" t="s">
        <v>1394</v>
      </c>
      <c r="B827" s="2" t="s">
        <v>56</v>
      </c>
      <c r="C827">
        <v>1</v>
      </c>
      <c r="D827" s="5">
        <v>44417</v>
      </c>
      <c r="E827">
        <v>801</v>
      </c>
      <c r="F827">
        <v>0</v>
      </c>
      <c r="G827">
        <v>184826429</v>
      </c>
      <c r="H827" t="str">
        <f t="shared" si="12"/>
        <v>no</v>
      </c>
      <c r="I827">
        <v>42</v>
      </c>
      <c r="J827">
        <v>9</v>
      </c>
      <c r="K827">
        <v>24</v>
      </c>
      <c r="L827">
        <v>1</v>
      </c>
      <c r="M827">
        <v>1</v>
      </c>
      <c r="N827">
        <v>138</v>
      </c>
      <c r="O827" t="s">
        <v>196</v>
      </c>
      <c r="P827" t="s">
        <v>26</v>
      </c>
      <c r="Q827" s="10">
        <v>70</v>
      </c>
      <c r="R827" s="10">
        <v>31</v>
      </c>
      <c r="S827" s="10">
        <v>44</v>
      </c>
      <c r="T827" s="10">
        <v>84</v>
      </c>
      <c r="U827" s="10">
        <v>0</v>
      </c>
      <c r="V827" s="10">
        <v>9</v>
      </c>
      <c r="W827" s="10">
        <v>39</v>
      </c>
    </row>
    <row r="828" spans="1:23">
      <c r="A828" s="2" t="s">
        <v>1394</v>
      </c>
      <c r="B828" s="2" t="s">
        <v>1416</v>
      </c>
      <c r="C828">
        <v>1</v>
      </c>
      <c r="D828" s="5">
        <v>44722</v>
      </c>
      <c r="E828">
        <v>829</v>
      </c>
      <c r="F828">
        <v>0</v>
      </c>
      <c r="G828">
        <v>302006641</v>
      </c>
      <c r="H828" t="str">
        <f t="shared" si="12"/>
        <v>yes</v>
      </c>
      <c r="I828">
        <v>32</v>
      </c>
      <c r="J828">
        <v>110</v>
      </c>
      <c r="K828">
        <v>26</v>
      </c>
      <c r="L828">
        <v>0</v>
      </c>
      <c r="M828">
        <v>0</v>
      </c>
      <c r="N828">
        <v>172</v>
      </c>
      <c r="O828" t="s">
        <v>29</v>
      </c>
      <c r="P828" t="s">
        <v>26</v>
      </c>
      <c r="Q828" s="10">
        <v>56</v>
      </c>
      <c r="R828" s="10">
        <v>68</v>
      </c>
      <c r="S828" s="10">
        <v>89</v>
      </c>
      <c r="T828" s="10">
        <v>4</v>
      </c>
      <c r="U828" s="10">
        <v>0</v>
      </c>
      <c r="V828" s="10">
        <v>33</v>
      </c>
      <c r="W828" s="10">
        <v>19</v>
      </c>
    </row>
    <row r="829" spans="1:23">
      <c r="A829" s="2" t="s">
        <v>1394</v>
      </c>
      <c r="B829" s="2" t="s">
        <v>1417</v>
      </c>
      <c r="C829">
        <v>1</v>
      </c>
      <c r="D829" s="5">
        <v>44722</v>
      </c>
      <c r="E829">
        <v>736</v>
      </c>
      <c r="F829">
        <v>0</v>
      </c>
      <c r="G829">
        <v>330881149</v>
      </c>
      <c r="H829" t="str">
        <f t="shared" si="12"/>
        <v>yes</v>
      </c>
      <c r="I829">
        <v>5</v>
      </c>
      <c r="J829">
        <v>132</v>
      </c>
      <c r="K829">
        <v>17</v>
      </c>
      <c r="L829">
        <v>0</v>
      </c>
      <c r="M829">
        <v>3</v>
      </c>
      <c r="N829">
        <v>77</v>
      </c>
      <c r="O829" t="s">
        <v>63</v>
      </c>
      <c r="P829" t="s">
        <v>26</v>
      </c>
      <c r="Q829" s="10">
        <v>72</v>
      </c>
      <c r="R829" s="10">
        <v>70</v>
      </c>
      <c r="S829" s="10">
        <v>82</v>
      </c>
      <c r="T829" s="10">
        <v>2</v>
      </c>
      <c r="U829" s="10">
        <v>0</v>
      </c>
      <c r="V829" s="10">
        <v>4</v>
      </c>
      <c r="W829" s="10">
        <v>17</v>
      </c>
    </row>
    <row r="830" spans="1:23" ht="45.75">
      <c r="A830" s="2" t="s">
        <v>1394</v>
      </c>
      <c r="B830" s="2" t="s">
        <v>1418</v>
      </c>
      <c r="C830">
        <v>1</v>
      </c>
      <c r="D830" s="5">
        <v>44701</v>
      </c>
      <c r="E830">
        <v>4449</v>
      </c>
      <c r="F830">
        <v>1</v>
      </c>
      <c r="G830">
        <v>334733572</v>
      </c>
      <c r="H830" t="str">
        <f t="shared" si="12"/>
        <v>yes</v>
      </c>
      <c r="I830">
        <v>80</v>
      </c>
      <c r="J830">
        <v>11</v>
      </c>
      <c r="K830">
        <v>66</v>
      </c>
      <c r="L830">
        <v>0</v>
      </c>
      <c r="M830">
        <v>1</v>
      </c>
      <c r="N830">
        <v>107</v>
      </c>
      <c r="O830" t="s">
        <v>25</v>
      </c>
      <c r="P830" t="s">
        <v>26</v>
      </c>
      <c r="Q830" s="10">
        <v>72</v>
      </c>
      <c r="R830" s="10">
        <v>36</v>
      </c>
      <c r="S830" s="10">
        <v>72</v>
      </c>
      <c r="T830" s="10">
        <v>26</v>
      </c>
      <c r="U830" s="10">
        <v>6</v>
      </c>
      <c r="V830" s="10">
        <v>11</v>
      </c>
      <c r="W830" s="10">
        <v>4</v>
      </c>
    </row>
    <row r="831" spans="1:23">
      <c r="A831" s="2" t="s">
        <v>1394</v>
      </c>
      <c r="B831" s="2" t="s">
        <v>1419</v>
      </c>
      <c r="C831">
        <v>1</v>
      </c>
      <c r="D831" s="5">
        <v>44701</v>
      </c>
      <c r="E831">
        <v>3218</v>
      </c>
      <c r="F831">
        <v>3</v>
      </c>
      <c r="G831">
        <v>366214458</v>
      </c>
      <c r="H831" t="str">
        <f t="shared" si="12"/>
        <v>yes</v>
      </c>
      <c r="I831">
        <v>29</v>
      </c>
      <c r="J831">
        <v>10</v>
      </c>
      <c r="K831">
        <v>79</v>
      </c>
      <c r="L831">
        <v>0</v>
      </c>
      <c r="M831">
        <v>0</v>
      </c>
      <c r="N831">
        <v>114</v>
      </c>
      <c r="O831" t="s">
        <v>51</v>
      </c>
      <c r="P831" t="s">
        <v>26</v>
      </c>
      <c r="Q831" s="10">
        <v>51</v>
      </c>
      <c r="R831" s="10">
        <v>39</v>
      </c>
      <c r="S831" s="10">
        <v>29</v>
      </c>
      <c r="T831" s="10">
        <v>90</v>
      </c>
      <c r="U831" s="10">
        <v>0</v>
      </c>
      <c r="V831" s="10">
        <v>10</v>
      </c>
      <c r="W831" s="10">
        <v>4</v>
      </c>
    </row>
    <row r="832" spans="1:23">
      <c r="A832" s="2" t="s">
        <v>1394</v>
      </c>
      <c r="B832" s="2" t="s">
        <v>1420</v>
      </c>
      <c r="C832">
        <v>1</v>
      </c>
      <c r="D832" s="5">
        <v>44722</v>
      </c>
      <c r="E832">
        <v>327</v>
      </c>
      <c r="F832">
        <v>0</v>
      </c>
      <c r="G832">
        <v>114546317</v>
      </c>
      <c r="H832" t="str">
        <f t="shared" si="12"/>
        <v>no</v>
      </c>
      <c r="I832">
        <v>5</v>
      </c>
      <c r="J832">
        <v>40</v>
      </c>
      <c r="K832">
        <v>12</v>
      </c>
      <c r="L832">
        <v>0</v>
      </c>
      <c r="M832">
        <v>0</v>
      </c>
      <c r="N832">
        <v>117</v>
      </c>
      <c r="O832" t="s">
        <v>51</v>
      </c>
      <c r="P832" t="s">
        <v>26</v>
      </c>
      <c r="Q832" s="10">
        <v>63</v>
      </c>
      <c r="R832" s="10">
        <v>29</v>
      </c>
      <c r="S832" s="10">
        <v>51</v>
      </c>
      <c r="T832" s="10">
        <v>43</v>
      </c>
      <c r="U832" s="10">
        <v>0</v>
      </c>
      <c r="V832" s="10">
        <v>25</v>
      </c>
      <c r="W832" s="10">
        <v>4</v>
      </c>
    </row>
    <row r="833" spans="1:23">
      <c r="A833" s="2" t="s">
        <v>1394</v>
      </c>
      <c r="B833" s="2" t="s">
        <v>58</v>
      </c>
      <c r="C833">
        <v>1</v>
      </c>
      <c r="D833" s="5">
        <v>44701</v>
      </c>
      <c r="E833">
        <v>2775</v>
      </c>
      <c r="F833">
        <v>0</v>
      </c>
      <c r="G833">
        <v>290833204</v>
      </c>
      <c r="H833" t="str">
        <f t="shared" si="12"/>
        <v>yes</v>
      </c>
      <c r="I833">
        <v>21</v>
      </c>
      <c r="J833">
        <v>11</v>
      </c>
      <c r="K833">
        <v>40</v>
      </c>
      <c r="L833">
        <v>0</v>
      </c>
      <c r="M833">
        <v>0</v>
      </c>
      <c r="N833">
        <v>146</v>
      </c>
      <c r="P833" t="s">
        <v>26</v>
      </c>
      <c r="Q833" s="10">
        <v>69</v>
      </c>
      <c r="R833" s="10">
        <v>63</v>
      </c>
      <c r="S833" s="10">
        <v>45</v>
      </c>
      <c r="T833" s="10">
        <v>48</v>
      </c>
      <c r="U833" s="10">
        <v>0</v>
      </c>
      <c r="V833" s="10">
        <v>18</v>
      </c>
      <c r="W833" s="10">
        <v>4</v>
      </c>
    </row>
    <row r="834" spans="1:23" ht="91.5">
      <c r="A834" s="2" t="s">
        <v>1394</v>
      </c>
      <c r="B834" s="2" t="s">
        <v>1421</v>
      </c>
      <c r="C834">
        <v>1</v>
      </c>
      <c r="D834" s="5">
        <v>44687</v>
      </c>
      <c r="E834">
        <v>4576</v>
      </c>
      <c r="F834">
        <v>0</v>
      </c>
      <c r="G834">
        <v>448500832</v>
      </c>
      <c r="H834" t="str">
        <f t="shared" ref="H834:H897" si="13">IF(G834&gt;$Z$2,$Z$4,$Z$5)</f>
        <v>yes</v>
      </c>
      <c r="I834">
        <v>79</v>
      </c>
      <c r="J834">
        <v>13</v>
      </c>
      <c r="K834">
        <v>93</v>
      </c>
      <c r="L834">
        <v>0</v>
      </c>
      <c r="M834">
        <v>17</v>
      </c>
      <c r="N834">
        <v>160</v>
      </c>
      <c r="O834" t="s">
        <v>63</v>
      </c>
      <c r="P834" t="s">
        <v>41</v>
      </c>
      <c r="Q834" s="10">
        <v>80</v>
      </c>
      <c r="R834" s="10">
        <v>74</v>
      </c>
      <c r="S834" s="10">
        <v>60</v>
      </c>
      <c r="T834" s="10">
        <v>8</v>
      </c>
      <c r="U834" s="10">
        <v>0</v>
      </c>
      <c r="V834" s="10">
        <v>14</v>
      </c>
      <c r="W834" s="10">
        <v>26</v>
      </c>
    </row>
    <row r="835" spans="1:23" ht="30.75">
      <c r="A835" s="2" t="s">
        <v>1394</v>
      </c>
      <c r="B835" s="2" t="s">
        <v>1422</v>
      </c>
      <c r="C835">
        <v>4</v>
      </c>
      <c r="D835" s="5">
        <v>44722</v>
      </c>
      <c r="E835">
        <v>2313</v>
      </c>
      <c r="F835">
        <v>0</v>
      </c>
      <c r="G835">
        <v>136676504</v>
      </c>
      <c r="H835" t="str">
        <f t="shared" si="13"/>
        <v>no</v>
      </c>
      <c r="I835">
        <v>34</v>
      </c>
      <c r="J835">
        <v>0</v>
      </c>
      <c r="K835">
        <v>29</v>
      </c>
      <c r="L835">
        <v>0</v>
      </c>
      <c r="M835">
        <v>0</v>
      </c>
      <c r="N835">
        <v>120</v>
      </c>
      <c r="O835" t="s">
        <v>72</v>
      </c>
      <c r="P835" t="s">
        <v>26</v>
      </c>
      <c r="Q835" s="10">
        <v>88</v>
      </c>
      <c r="R835" s="10">
        <v>15</v>
      </c>
      <c r="S835" s="10">
        <v>56</v>
      </c>
      <c r="T835" s="10">
        <v>1</v>
      </c>
      <c r="U835" s="10">
        <v>0</v>
      </c>
      <c r="V835" s="10">
        <v>8</v>
      </c>
      <c r="W835" s="10">
        <v>6</v>
      </c>
    </row>
    <row r="836" spans="1:23" ht="45.75">
      <c r="A836" s="2" t="s">
        <v>1394</v>
      </c>
      <c r="B836" s="2" t="s">
        <v>1423</v>
      </c>
      <c r="C836">
        <v>3</v>
      </c>
      <c r="D836" s="5">
        <v>44708</v>
      </c>
      <c r="E836">
        <v>3983</v>
      </c>
      <c r="F836">
        <v>0</v>
      </c>
      <c r="G836">
        <v>190625045</v>
      </c>
      <c r="H836" t="str">
        <f t="shared" si="13"/>
        <v>no</v>
      </c>
      <c r="I836">
        <v>73</v>
      </c>
      <c r="J836">
        <v>45</v>
      </c>
      <c r="K836">
        <v>119</v>
      </c>
      <c r="L836">
        <v>0</v>
      </c>
      <c r="M836">
        <v>0</v>
      </c>
      <c r="N836">
        <v>100</v>
      </c>
      <c r="O836" t="s">
        <v>25</v>
      </c>
      <c r="P836" t="s">
        <v>41</v>
      </c>
      <c r="Q836" s="10">
        <v>82</v>
      </c>
      <c r="R836" s="10">
        <v>76</v>
      </c>
      <c r="S836" s="10">
        <v>70</v>
      </c>
      <c r="T836" s="10">
        <v>16</v>
      </c>
      <c r="U836" s="10">
        <v>0</v>
      </c>
      <c r="V836" s="10">
        <v>8</v>
      </c>
      <c r="W836" s="10">
        <v>5</v>
      </c>
    </row>
    <row r="837" spans="1:23">
      <c r="A837" s="2" t="s">
        <v>1394</v>
      </c>
      <c r="B837" s="2" t="s">
        <v>1424</v>
      </c>
      <c r="C837">
        <v>1</v>
      </c>
      <c r="D837" s="5">
        <v>44722</v>
      </c>
      <c r="E837">
        <v>279</v>
      </c>
      <c r="F837">
        <v>0</v>
      </c>
      <c r="G837">
        <v>79095270</v>
      </c>
      <c r="H837" t="str">
        <f t="shared" si="13"/>
        <v>no</v>
      </c>
      <c r="I837">
        <v>0</v>
      </c>
      <c r="J837">
        <v>18</v>
      </c>
      <c r="K837">
        <v>6</v>
      </c>
      <c r="L837">
        <v>0</v>
      </c>
      <c r="M837">
        <v>0</v>
      </c>
      <c r="N837">
        <v>158</v>
      </c>
      <c r="O837" t="s">
        <v>63</v>
      </c>
      <c r="P837" t="s">
        <v>41</v>
      </c>
      <c r="Q837" s="10">
        <v>60</v>
      </c>
      <c r="R837" s="10">
        <v>68</v>
      </c>
      <c r="S837" s="10">
        <v>84</v>
      </c>
      <c r="T837" s="10">
        <v>4</v>
      </c>
      <c r="U837" s="10">
        <v>0</v>
      </c>
      <c r="V837" s="10">
        <v>24</v>
      </c>
      <c r="W837" s="10">
        <v>11</v>
      </c>
    </row>
    <row r="838" spans="1:23">
      <c r="A838" s="2" t="s">
        <v>1394</v>
      </c>
      <c r="B838" s="2" t="s">
        <v>1425</v>
      </c>
      <c r="C838">
        <v>1</v>
      </c>
      <c r="D838" s="5">
        <v>44701</v>
      </c>
      <c r="E838">
        <v>2302</v>
      </c>
      <c r="F838">
        <v>0</v>
      </c>
      <c r="G838">
        <v>273194684</v>
      </c>
      <c r="H838" t="str">
        <f t="shared" si="13"/>
        <v>yes</v>
      </c>
      <c r="I838">
        <v>20</v>
      </c>
      <c r="J838">
        <v>3</v>
      </c>
      <c r="K838">
        <v>39</v>
      </c>
      <c r="L838">
        <v>0</v>
      </c>
      <c r="M838">
        <v>0</v>
      </c>
      <c r="N838">
        <v>142</v>
      </c>
      <c r="O838" t="s">
        <v>196</v>
      </c>
      <c r="P838" t="s">
        <v>26</v>
      </c>
      <c r="Q838" s="10">
        <v>56</v>
      </c>
      <c r="R838" s="10">
        <v>40</v>
      </c>
      <c r="S838" s="10">
        <v>54</v>
      </c>
      <c r="T838" s="10">
        <v>72</v>
      </c>
      <c r="U838" s="10">
        <v>0</v>
      </c>
      <c r="V838" s="10">
        <v>10</v>
      </c>
      <c r="W838" s="10">
        <v>4</v>
      </c>
    </row>
    <row r="839" spans="1:23" ht="45.75">
      <c r="A839" s="2" t="s">
        <v>1394</v>
      </c>
      <c r="B839" s="2" t="s">
        <v>1426</v>
      </c>
      <c r="C839">
        <v>4</v>
      </c>
      <c r="D839" s="5">
        <v>44701</v>
      </c>
      <c r="E839">
        <v>3559</v>
      </c>
      <c r="F839">
        <v>3</v>
      </c>
      <c r="G839">
        <v>333146475</v>
      </c>
      <c r="H839" t="str">
        <f t="shared" si="13"/>
        <v>yes</v>
      </c>
      <c r="I839">
        <v>36</v>
      </c>
      <c r="J839">
        <v>1</v>
      </c>
      <c r="K839">
        <v>31</v>
      </c>
      <c r="L839">
        <v>0</v>
      </c>
      <c r="M839">
        <v>1</v>
      </c>
      <c r="N839">
        <v>170</v>
      </c>
      <c r="O839" t="s">
        <v>37</v>
      </c>
      <c r="P839" t="s">
        <v>41</v>
      </c>
      <c r="Q839" s="10">
        <v>80</v>
      </c>
      <c r="R839" s="10">
        <v>77</v>
      </c>
      <c r="S839" s="10">
        <v>85</v>
      </c>
      <c r="T839" s="10">
        <v>11</v>
      </c>
      <c r="U839" s="10">
        <v>0</v>
      </c>
      <c r="V839" s="10">
        <v>17</v>
      </c>
      <c r="W839" s="10">
        <v>14</v>
      </c>
    </row>
    <row r="840" spans="1:23" ht="30.75">
      <c r="A840" s="2" t="s">
        <v>1427</v>
      </c>
      <c r="B840" s="2" t="s">
        <v>1428</v>
      </c>
      <c r="C840">
        <v>2</v>
      </c>
      <c r="D840" s="5">
        <v>44708</v>
      </c>
      <c r="E840">
        <v>2129</v>
      </c>
      <c r="F840">
        <v>0</v>
      </c>
      <c r="G840">
        <v>194902696</v>
      </c>
      <c r="H840" t="str">
        <f t="shared" si="13"/>
        <v>no</v>
      </c>
      <c r="I840">
        <v>23</v>
      </c>
      <c r="J840">
        <v>1</v>
      </c>
      <c r="K840">
        <v>44</v>
      </c>
      <c r="L840">
        <v>1</v>
      </c>
      <c r="M840">
        <v>0</v>
      </c>
      <c r="N840">
        <v>84</v>
      </c>
      <c r="O840" t="s">
        <v>32</v>
      </c>
      <c r="P840" t="s">
        <v>41</v>
      </c>
      <c r="Q840" s="10">
        <v>71</v>
      </c>
      <c r="R840" s="10">
        <v>39</v>
      </c>
      <c r="S840" s="10">
        <v>86</v>
      </c>
      <c r="T840" s="10">
        <v>2</v>
      </c>
      <c r="U840" s="10">
        <v>0</v>
      </c>
      <c r="V840" s="10">
        <v>51</v>
      </c>
      <c r="W840" s="10">
        <v>25</v>
      </c>
    </row>
    <row r="841" spans="1:23" ht="30.75">
      <c r="A841" s="2" t="s">
        <v>1429</v>
      </c>
      <c r="B841" s="2" t="s">
        <v>1430</v>
      </c>
      <c r="C841">
        <v>1</v>
      </c>
      <c r="D841" s="5">
        <v>44701</v>
      </c>
      <c r="E841">
        <v>3291</v>
      </c>
      <c r="F841">
        <v>5</v>
      </c>
      <c r="G841">
        <v>311482393</v>
      </c>
      <c r="H841" t="str">
        <f t="shared" si="13"/>
        <v>yes</v>
      </c>
      <c r="I841">
        <v>43</v>
      </c>
      <c r="J841">
        <v>28</v>
      </c>
      <c r="K841">
        <v>79</v>
      </c>
      <c r="L841">
        <v>0</v>
      </c>
      <c r="M841">
        <v>208</v>
      </c>
      <c r="N841">
        <v>139</v>
      </c>
      <c r="P841" t="s">
        <v>26</v>
      </c>
      <c r="Q841" s="10">
        <v>58</v>
      </c>
      <c r="R841" s="10">
        <v>30</v>
      </c>
      <c r="S841" s="10">
        <v>46</v>
      </c>
      <c r="T841" s="10">
        <v>14</v>
      </c>
      <c r="U841" s="10">
        <v>0</v>
      </c>
      <c r="V841" s="10">
        <v>9</v>
      </c>
      <c r="W841" s="10">
        <v>3</v>
      </c>
    </row>
    <row r="842" spans="1:23" ht="30.75">
      <c r="A842" s="2" t="s">
        <v>1431</v>
      </c>
      <c r="B842" s="2" t="s">
        <v>1432</v>
      </c>
      <c r="C842">
        <v>1</v>
      </c>
      <c r="D842" s="5">
        <v>29952</v>
      </c>
      <c r="E842">
        <v>5328</v>
      </c>
      <c r="F842">
        <v>0</v>
      </c>
      <c r="G842">
        <v>195918494</v>
      </c>
      <c r="H842" t="str">
        <f t="shared" si="13"/>
        <v>no</v>
      </c>
      <c r="I842">
        <v>54</v>
      </c>
      <c r="J842">
        <v>76</v>
      </c>
      <c r="K842">
        <v>900</v>
      </c>
      <c r="L842">
        <v>0</v>
      </c>
      <c r="M842">
        <v>0</v>
      </c>
      <c r="N842">
        <v>151</v>
      </c>
      <c r="O842" t="s">
        <v>72</v>
      </c>
      <c r="P842" t="s">
        <v>26</v>
      </c>
      <c r="Q842" s="10">
        <v>73</v>
      </c>
      <c r="R842" s="10">
        <v>88</v>
      </c>
      <c r="S842" s="10">
        <v>67</v>
      </c>
      <c r="T842" s="10">
        <v>20</v>
      </c>
      <c r="U842" s="10">
        <v>0</v>
      </c>
      <c r="V842" s="10">
        <v>32</v>
      </c>
      <c r="W842" s="10">
        <v>5</v>
      </c>
    </row>
    <row r="843" spans="1:23" ht="76.5">
      <c r="A843" s="2" t="s">
        <v>1433</v>
      </c>
      <c r="B843" s="2" t="s">
        <v>1434</v>
      </c>
      <c r="C843">
        <v>2</v>
      </c>
      <c r="D843" s="5">
        <v>44720</v>
      </c>
      <c r="E843">
        <v>1401</v>
      </c>
      <c r="F843">
        <v>0</v>
      </c>
      <c r="G843">
        <v>248511839</v>
      </c>
      <c r="H843" t="str">
        <f t="shared" si="13"/>
        <v>yes</v>
      </c>
      <c r="I843">
        <v>26</v>
      </c>
      <c r="J843">
        <v>16</v>
      </c>
      <c r="K843">
        <v>17</v>
      </c>
      <c r="L843">
        <v>0</v>
      </c>
      <c r="M843">
        <v>1</v>
      </c>
      <c r="N843">
        <v>128</v>
      </c>
      <c r="O843" t="s">
        <v>29</v>
      </c>
      <c r="P843" t="s">
        <v>41</v>
      </c>
      <c r="Q843" s="10">
        <v>82</v>
      </c>
      <c r="R843" s="10">
        <v>42</v>
      </c>
      <c r="S843" s="10">
        <v>75</v>
      </c>
      <c r="T843" s="10">
        <v>6</v>
      </c>
      <c r="U843" s="10">
        <v>0</v>
      </c>
      <c r="V843" s="10">
        <v>63</v>
      </c>
      <c r="W843" s="10">
        <v>6</v>
      </c>
    </row>
    <row r="844" spans="1:23" ht="30.75">
      <c r="A844" s="2" t="s">
        <v>1435</v>
      </c>
      <c r="B844" s="2" t="s">
        <v>1436</v>
      </c>
      <c r="C844">
        <v>1</v>
      </c>
      <c r="D844" s="5">
        <v>44701</v>
      </c>
      <c r="E844">
        <v>1933</v>
      </c>
      <c r="F844">
        <v>0</v>
      </c>
      <c r="G844">
        <v>233671263</v>
      </c>
      <c r="H844" t="str">
        <f t="shared" si="13"/>
        <v>yes</v>
      </c>
      <c r="I844">
        <v>13</v>
      </c>
      <c r="J844">
        <v>2</v>
      </c>
      <c r="K844">
        <v>31</v>
      </c>
      <c r="L844">
        <v>0</v>
      </c>
      <c r="M844">
        <v>0</v>
      </c>
      <c r="N844">
        <v>118</v>
      </c>
      <c r="O844" t="s">
        <v>72</v>
      </c>
      <c r="P844" t="s">
        <v>26</v>
      </c>
      <c r="Q844" s="10">
        <v>56</v>
      </c>
      <c r="R844" s="10">
        <v>20</v>
      </c>
      <c r="S844" s="10">
        <v>54</v>
      </c>
      <c r="T844" s="10">
        <v>67</v>
      </c>
      <c r="U844" s="10">
        <v>0</v>
      </c>
      <c r="V844" s="10">
        <v>6</v>
      </c>
      <c r="W844" s="10">
        <v>5</v>
      </c>
    </row>
    <row r="845" spans="1:23" ht="45.75">
      <c r="A845" s="2" t="s">
        <v>1437</v>
      </c>
      <c r="B845" s="2" t="s">
        <v>1438</v>
      </c>
      <c r="C845">
        <v>1</v>
      </c>
      <c r="D845" s="5">
        <v>44701</v>
      </c>
      <c r="E845">
        <v>1986</v>
      </c>
      <c r="F845">
        <v>0</v>
      </c>
      <c r="G845">
        <v>199587884</v>
      </c>
      <c r="H845" t="str">
        <f t="shared" si="13"/>
        <v>no</v>
      </c>
      <c r="I845">
        <v>7</v>
      </c>
      <c r="J845">
        <v>1</v>
      </c>
      <c r="K845">
        <v>15</v>
      </c>
      <c r="L845">
        <v>0</v>
      </c>
      <c r="M845">
        <v>0</v>
      </c>
      <c r="N845">
        <v>183</v>
      </c>
      <c r="O845" t="s">
        <v>32</v>
      </c>
      <c r="P845" t="s">
        <v>26</v>
      </c>
      <c r="Q845" s="10">
        <v>65</v>
      </c>
      <c r="R845" s="10">
        <v>88</v>
      </c>
      <c r="S845" s="10">
        <v>72</v>
      </c>
      <c r="T845" s="10">
        <v>36</v>
      </c>
      <c r="U845" s="10">
        <v>14</v>
      </c>
      <c r="V845" s="10">
        <v>20</v>
      </c>
      <c r="W845" s="10">
        <v>3</v>
      </c>
    </row>
    <row r="846" spans="1:23" ht="45.75">
      <c r="A846" s="2" t="s">
        <v>1439</v>
      </c>
      <c r="B846" s="2" t="s">
        <v>1440</v>
      </c>
      <c r="C846">
        <v>1</v>
      </c>
      <c r="D846" s="5">
        <v>44721</v>
      </c>
      <c r="E846">
        <v>1057</v>
      </c>
      <c r="F846">
        <v>0</v>
      </c>
      <c r="G846">
        <v>91781263</v>
      </c>
      <c r="H846" t="str">
        <f t="shared" si="13"/>
        <v>no</v>
      </c>
      <c r="I846">
        <v>51</v>
      </c>
      <c r="J846">
        <v>14</v>
      </c>
      <c r="K846">
        <v>19</v>
      </c>
      <c r="L846">
        <v>0</v>
      </c>
      <c r="M846">
        <v>0</v>
      </c>
      <c r="N846">
        <v>83</v>
      </c>
      <c r="O846" t="s">
        <v>196</v>
      </c>
      <c r="P846" t="s">
        <v>41</v>
      </c>
      <c r="Q846" s="10">
        <v>63</v>
      </c>
      <c r="R846" s="10">
        <v>29</v>
      </c>
      <c r="S846" s="10">
        <v>62</v>
      </c>
      <c r="T846" s="10">
        <v>4</v>
      </c>
      <c r="U846" s="10">
        <v>0</v>
      </c>
      <c r="V846" s="10">
        <v>18</v>
      </c>
      <c r="W846" s="10">
        <v>4</v>
      </c>
    </row>
    <row r="847" spans="1:23" ht="30.75">
      <c r="A847" s="2" t="s">
        <v>1441</v>
      </c>
      <c r="B847" s="2" t="s">
        <v>1442</v>
      </c>
      <c r="C847">
        <v>2</v>
      </c>
      <c r="D847" s="5">
        <v>44610</v>
      </c>
      <c r="E847">
        <v>5115</v>
      </c>
      <c r="F847">
        <v>13</v>
      </c>
      <c r="G847">
        <v>383835984</v>
      </c>
      <c r="H847" t="str">
        <f t="shared" si="13"/>
        <v>yes</v>
      </c>
      <c r="I847">
        <v>109</v>
      </c>
      <c r="J847">
        <v>38</v>
      </c>
      <c r="K847">
        <v>301</v>
      </c>
      <c r="L847">
        <v>1</v>
      </c>
      <c r="M847">
        <v>33</v>
      </c>
      <c r="N847">
        <v>122</v>
      </c>
      <c r="O847" t="s">
        <v>29</v>
      </c>
      <c r="P847" t="s">
        <v>26</v>
      </c>
      <c r="Q847" s="10">
        <v>85</v>
      </c>
      <c r="R847" s="10">
        <v>42</v>
      </c>
      <c r="S847" s="10">
        <v>80</v>
      </c>
      <c r="T847" s="10">
        <v>6</v>
      </c>
      <c r="U847" s="10">
        <v>0</v>
      </c>
      <c r="V847" s="10">
        <v>17</v>
      </c>
      <c r="W847" s="10">
        <v>14</v>
      </c>
    </row>
    <row r="848" spans="1:23">
      <c r="A848" s="2" t="s">
        <v>1443</v>
      </c>
      <c r="B848" s="2" t="s">
        <v>1444</v>
      </c>
      <c r="C848">
        <v>1</v>
      </c>
      <c r="D848" s="5">
        <v>44701</v>
      </c>
      <c r="E848">
        <v>2094</v>
      </c>
      <c r="F848">
        <v>1</v>
      </c>
      <c r="G848">
        <v>236060709</v>
      </c>
      <c r="H848" t="str">
        <f t="shared" si="13"/>
        <v>yes</v>
      </c>
      <c r="I848">
        <v>8</v>
      </c>
      <c r="J848">
        <v>1</v>
      </c>
      <c r="K848">
        <v>18</v>
      </c>
      <c r="L848">
        <v>0</v>
      </c>
      <c r="M848">
        <v>0</v>
      </c>
      <c r="N848">
        <v>165</v>
      </c>
      <c r="O848" t="s">
        <v>37</v>
      </c>
      <c r="P848" t="s">
        <v>26</v>
      </c>
      <c r="Q848" s="10">
        <v>72</v>
      </c>
      <c r="R848" s="10">
        <v>90</v>
      </c>
      <c r="S848" s="10">
        <v>48</v>
      </c>
      <c r="T848" s="10">
        <v>32</v>
      </c>
      <c r="U848" s="10">
        <v>0</v>
      </c>
      <c r="V848" s="10">
        <v>18</v>
      </c>
      <c r="W848" s="10">
        <v>23</v>
      </c>
    </row>
    <row r="849" spans="1:23">
      <c r="A849" s="2" t="s">
        <v>1443</v>
      </c>
      <c r="B849" s="2" t="s">
        <v>1445</v>
      </c>
      <c r="C849">
        <v>1</v>
      </c>
      <c r="D849" s="5">
        <v>44701</v>
      </c>
      <c r="E849">
        <v>2171</v>
      </c>
      <c r="F849">
        <v>0</v>
      </c>
      <c r="G849">
        <v>189236868</v>
      </c>
      <c r="H849" t="str">
        <f t="shared" si="13"/>
        <v>no</v>
      </c>
      <c r="I849">
        <v>18</v>
      </c>
      <c r="J849">
        <v>1</v>
      </c>
      <c r="K849">
        <v>28</v>
      </c>
      <c r="L849">
        <v>0</v>
      </c>
      <c r="M849">
        <v>0</v>
      </c>
      <c r="N849">
        <v>106</v>
      </c>
      <c r="O849" t="s">
        <v>37</v>
      </c>
      <c r="P849" t="s">
        <v>41</v>
      </c>
      <c r="Q849" s="10">
        <v>83</v>
      </c>
      <c r="R849" s="10">
        <v>90</v>
      </c>
      <c r="S849" s="10">
        <v>64</v>
      </c>
      <c r="T849" s="10">
        <v>35</v>
      </c>
      <c r="U849" s="10">
        <v>5</v>
      </c>
      <c r="V849" s="10">
        <v>9</v>
      </c>
      <c r="W849" s="10">
        <v>4</v>
      </c>
    </row>
    <row r="850" spans="1:23" ht="45.75">
      <c r="A850" s="2" t="s">
        <v>1446</v>
      </c>
      <c r="B850" s="2" t="s">
        <v>1447</v>
      </c>
      <c r="C850">
        <v>2</v>
      </c>
      <c r="D850" s="5">
        <v>44706</v>
      </c>
      <c r="E850">
        <v>896</v>
      </c>
      <c r="F850">
        <v>0</v>
      </c>
      <c r="G850">
        <v>160845341</v>
      </c>
      <c r="H850" t="str">
        <f t="shared" si="13"/>
        <v>no</v>
      </c>
      <c r="I850">
        <v>19</v>
      </c>
      <c r="J850">
        <v>0</v>
      </c>
      <c r="K850">
        <v>15</v>
      </c>
      <c r="L850">
        <v>0</v>
      </c>
      <c r="M850">
        <v>0</v>
      </c>
      <c r="N850">
        <v>77</v>
      </c>
      <c r="O850" t="s">
        <v>25</v>
      </c>
      <c r="P850" t="s">
        <v>26</v>
      </c>
      <c r="Q850" s="10">
        <v>81</v>
      </c>
      <c r="R850" s="10">
        <v>68</v>
      </c>
      <c r="S850" s="10">
        <v>58</v>
      </c>
      <c r="T850" s="10">
        <v>83</v>
      </c>
      <c r="U850" s="10">
        <v>0</v>
      </c>
      <c r="V850" s="10">
        <v>11</v>
      </c>
      <c r="W850" s="10">
        <v>34</v>
      </c>
    </row>
    <row r="851" spans="1:23" ht="30.75">
      <c r="A851" s="2" t="s">
        <v>1448</v>
      </c>
      <c r="B851" s="2" t="s">
        <v>1449</v>
      </c>
      <c r="C851">
        <v>1</v>
      </c>
      <c r="D851" s="5">
        <v>41640</v>
      </c>
      <c r="E851">
        <v>5148</v>
      </c>
      <c r="F851">
        <v>0</v>
      </c>
      <c r="G851">
        <v>588955257</v>
      </c>
      <c r="H851" t="str">
        <f t="shared" si="13"/>
        <v>yes</v>
      </c>
      <c r="I851">
        <v>90</v>
      </c>
      <c r="J851">
        <v>22</v>
      </c>
      <c r="K851">
        <v>365</v>
      </c>
      <c r="L851">
        <v>0</v>
      </c>
      <c r="M851">
        <v>114</v>
      </c>
      <c r="N851">
        <v>91</v>
      </c>
      <c r="O851" t="s">
        <v>63</v>
      </c>
      <c r="P851" t="s">
        <v>26</v>
      </c>
      <c r="Q851" s="10">
        <v>57</v>
      </c>
      <c r="R851" s="10">
        <v>30</v>
      </c>
      <c r="S851" s="10">
        <v>89</v>
      </c>
      <c r="T851" s="10">
        <v>10</v>
      </c>
      <c r="U851" s="10">
        <v>0</v>
      </c>
      <c r="V851" s="10">
        <v>33</v>
      </c>
      <c r="W851" s="10">
        <v>8</v>
      </c>
    </row>
    <row r="852" spans="1:23" ht="30.75">
      <c r="A852" s="2" t="s">
        <v>1448</v>
      </c>
      <c r="B852" s="2" t="s">
        <v>1450</v>
      </c>
      <c r="C852">
        <v>1</v>
      </c>
      <c r="D852" s="5">
        <v>44684</v>
      </c>
      <c r="E852">
        <v>2528</v>
      </c>
      <c r="F852">
        <v>0</v>
      </c>
      <c r="G852">
        <v>238350348</v>
      </c>
      <c r="H852" t="str">
        <f t="shared" si="13"/>
        <v>yes</v>
      </c>
      <c r="I852">
        <v>63</v>
      </c>
      <c r="J852">
        <v>8</v>
      </c>
      <c r="K852">
        <v>270</v>
      </c>
      <c r="L852">
        <v>2</v>
      </c>
      <c r="M852">
        <v>105</v>
      </c>
      <c r="N852">
        <v>148</v>
      </c>
      <c r="O852" t="s">
        <v>72</v>
      </c>
      <c r="P852" t="s">
        <v>26</v>
      </c>
      <c r="Q852" s="10">
        <v>51</v>
      </c>
      <c r="R852" s="10">
        <v>21</v>
      </c>
      <c r="S852" s="10">
        <v>63</v>
      </c>
      <c r="T852" s="10">
        <v>5</v>
      </c>
      <c r="U852" s="10">
        <v>0</v>
      </c>
      <c r="V852" s="10">
        <v>41</v>
      </c>
      <c r="W852" s="10">
        <v>3</v>
      </c>
    </row>
    <row r="853" spans="1:23" ht="30.75">
      <c r="A853" s="2" t="s">
        <v>1448</v>
      </c>
      <c r="B853" s="2" t="s">
        <v>1451</v>
      </c>
      <c r="C853">
        <v>1</v>
      </c>
      <c r="D853" s="5">
        <v>44701</v>
      </c>
      <c r="E853">
        <v>1900</v>
      </c>
      <c r="F853">
        <v>1</v>
      </c>
      <c r="G853">
        <v>187703102</v>
      </c>
      <c r="H853" t="str">
        <f t="shared" si="13"/>
        <v>no</v>
      </c>
      <c r="I853">
        <v>15</v>
      </c>
      <c r="J853">
        <v>1</v>
      </c>
      <c r="K853">
        <v>23</v>
      </c>
      <c r="L853">
        <v>0</v>
      </c>
      <c r="M853">
        <v>0</v>
      </c>
      <c r="N853">
        <v>114</v>
      </c>
      <c r="O853" t="s">
        <v>98</v>
      </c>
      <c r="P853" t="s">
        <v>41</v>
      </c>
      <c r="Q853" s="10">
        <v>71</v>
      </c>
      <c r="R853" s="10">
        <v>90</v>
      </c>
      <c r="S853" s="10">
        <v>81</v>
      </c>
      <c r="T853" s="10">
        <v>31</v>
      </c>
      <c r="U853" s="10">
        <v>2</v>
      </c>
      <c r="V853" s="10">
        <v>13</v>
      </c>
      <c r="W853" s="10">
        <v>3</v>
      </c>
    </row>
    <row r="854" spans="1:23">
      <c r="A854" s="2" t="s">
        <v>1452</v>
      </c>
      <c r="B854" s="2" t="s">
        <v>594</v>
      </c>
      <c r="C854">
        <v>2</v>
      </c>
      <c r="D854" s="5">
        <v>44722</v>
      </c>
      <c r="E854">
        <v>3879</v>
      </c>
      <c r="F854">
        <v>2</v>
      </c>
      <c r="G854">
        <v>295307001</v>
      </c>
      <c r="H854" t="str">
        <f t="shared" si="13"/>
        <v>yes</v>
      </c>
      <c r="I854">
        <v>107</v>
      </c>
      <c r="J854">
        <v>76</v>
      </c>
      <c r="K854">
        <v>86</v>
      </c>
      <c r="L854">
        <v>1</v>
      </c>
      <c r="M854">
        <v>9</v>
      </c>
      <c r="N854">
        <v>120</v>
      </c>
      <c r="P854" t="s">
        <v>41</v>
      </c>
      <c r="Q854" s="10">
        <v>91</v>
      </c>
      <c r="R854" s="10">
        <v>63</v>
      </c>
      <c r="S854" s="10">
        <v>77</v>
      </c>
      <c r="T854" s="10">
        <v>12</v>
      </c>
      <c r="U854" s="10">
        <v>1</v>
      </c>
      <c r="V854" s="10">
        <v>10</v>
      </c>
      <c r="W854" s="10">
        <v>5</v>
      </c>
    </row>
    <row r="855" spans="1:23" ht="30.75">
      <c r="A855" s="2" t="s">
        <v>1453</v>
      </c>
      <c r="B855" s="2" t="s">
        <v>1454</v>
      </c>
      <c r="C855">
        <v>2</v>
      </c>
      <c r="D855" s="5">
        <v>44714</v>
      </c>
      <c r="E855">
        <v>896</v>
      </c>
      <c r="F855">
        <v>0</v>
      </c>
      <c r="G855">
        <v>138334433</v>
      </c>
      <c r="H855" t="str">
        <f t="shared" si="13"/>
        <v>no</v>
      </c>
      <c r="I855">
        <v>0</v>
      </c>
      <c r="J855">
        <v>0</v>
      </c>
      <c r="K855">
        <v>2</v>
      </c>
      <c r="L855">
        <v>0</v>
      </c>
      <c r="M855">
        <v>0</v>
      </c>
      <c r="N855">
        <v>92</v>
      </c>
      <c r="O855" t="s">
        <v>53</v>
      </c>
      <c r="P855" t="s">
        <v>26</v>
      </c>
      <c r="Q855" s="10">
        <v>83</v>
      </c>
      <c r="R855" s="10">
        <v>56</v>
      </c>
      <c r="S855" s="10">
        <v>82</v>
      </c>
      <c r="T855" s="10">
        <v>10</v>
      </c>
      <c r="U855" s="10">
        <v>0</v>
      </c>
      <c r="V855" s="10">
        <v>9</v>
      </c>
      <c r="W855" s="10">
        <v>5</v>
      </c>
    </row>
    <row r="856" spans="1:23" ht="30.75">
      <c r="A856" s="2" t="s">
        <v>1455</v>
      </c>
      <c r="B856" s="2" t="s">
        <v>1456</v>
      </c>
      <c r="C856">
        <v>1</v>
      </c>
      <c r="D856" s="5">
        <v>42684</v>
      </c>
      <c r="E856">
        <v>8775</v>
      </c>
      <c r="F856">
        <v>0</v>
      </c>
      <c r="G856">
        <v>445590495</v>
      </c>
      <c r="H856" t="str">
        <f t="shared" si="13"/>
        <v>yes</v>
      </c>
      <c r="I856">
        <v>33</v>
      </c>
      <c r="J856">
        <v>60</v>
      </c>
      <c r="K856">
        <v>107</v>
      </c>
      <c r="L856">
        <v>1</v>
      </c>
      <c r="M856">
        <v>0</v>
      </c>
      <c r="N856">
        <v>118</v>
      </c>
      <c r="O856" t="s">
        <v>32</v>
      </c>
      <c r="P856" t="s">
        <v>26</v>
      </c>
      <c r="Q856" s="10">
        <v>56</v>
      </c>
      <c r="R856" s="10">
        <v>25</v>
      </c>
      <c r="S856" s="10">
        <v>45</v>
      </c>
      <c r="T856" s="10">
        <v>1</v>
      </c>
      <c r="U856" s="10">
        <v>3</v>
      </c>
      <c r="V856" s="10">
        <v>7</v>
      </c>
      <c r="W856" s="10">
        <v>3</v>
      </c>
    </row>
    <row r="857" spans="1:23" ht="30.75">
      <c r="A857" s="2" t="s">
        <v>1457</v>
      </c>
      <c r="B857" s="2" t="s">
        <v>1458</v>
      </c>
      <c r="C857">
        <v>3</v>
      </c>
      <c r="D857" s="5">
        <v>44638</v>
      </c>
      <c r="E857">
        <v>5290</v>
      </c>
      <c r="F857">
        <v>0</v>
      </c>
      <c r="G857">
        <v>286739476</v>
      </c>
      <c r="H857" t="str">
        <f t="shared" si="13"/>
        <v>yes</v>
      </c>
      <c r="I857">
        <v>139</v>
      </c>
      <c r="J857">
        <v>73</v>
      </c>
      <c r="K857">
        <v>142</v>
      </c>
      <c r="L857">
        <v>0</v>
      </c>
      <c r="M857">
        <v>5</v>
      </c>
      <c r="N857">
        <v>123</v>
      </c>
      <c r="O857" t="s">
        <v>98</v>
      </c>
      <c r="P857" t="s">
        <v>41</v>
      </c>
      <c r="Q857" s="10">
        <v>60</v>
      </c>
      <c r="R857" s="10">
        <v>46</v>
      </c>
      <c r="S857" s="10">
        <v>71</v>
      </c>
      <c r="T857" s="10">
        <v>3</v>
      </c>
      <c r="U857" s="10">
        <v>0</v>
      </c>
      <c r="V857" s="10">
        <v>16</v>
      </c>
      <c r="W857" s="10">
        <v>4</v>
      </c>
    </row>
    <row r="858" spans="1:23" ht="45.75">
      <c r="A858" s="2" t="s">
        <v>1459</v>
      </c>
      <c r="B858" s="2" t="s">
        <v>1460</v>
      </c>
      <c r="C858">
        <v>1</v>
      </c>
      <c r="D858" s="5">
        <v>43355</v>
      </c>
      <c r="E858">
        <v>10211</v>
      </c>
      <c r="F858">
        <v>0</v>
      </c>
      <c r="G858">
        <v>1122364376</v>
      </c>
      <c r="H858" t="str">
        <f t="shared" si="13"/>
        <v>yes</v>
      </c>
      <c r="I858">
        <v>38</v>
      </c>
      <c r="J858">
        <v>79</v>
      </c>
      <c r="K858">
        <v>65</v>
      </c>
      <c r="L858">
        <v>0</v>
      </c>
      <c r="M858">
        <v>1</v>
      </c>
      <c r="N858">
        <v>89</v>
      </c>
      <c r="O858" t="s">
        <v>196</v>
      </c>
      <c r="P858" t="s">
        <v>26</v>
      </c>
      <c r="Q858" s="10">
        <v>52</v>
      </c>
      <c r="R858" s="10">
        <v>28</v>
      </c>
      <c r="S858" s="10">
        <v>48</v>
      </c>
      <c r="T858" s="10">
        <v>54</v>
      </c>
      <c r="U858" s="10">
        <v>1</v>
      </c>
      <c r="V858" s="10">
        <v>19</v>
      </c>
      <c r="W858" s="10">
        <v>3</v>
      </c>
    </row>
    <row r="859" spans="1:23" ht="30.75">
      <c r="A859" s="2" t="s">
        <v>1459</v>
      </c>
      <c r="B859" s="2" t="s">
        <v>1461</v>
      </c>
      <c r="C859">
        <v>1</v>
      </c>
      <c r="D859" s="5">
        <v>44714</v>
      </c>
      <c r="E859">
        <v>584</v>
      </c>
      <c r="F859">
        <v>8</v>
      </c>
      <c r="G859">
        <v>157136970</v>
      </c>
      <c r="H859" t="str">
        <f t="shared" si="13"/>
        <v>no</v>
      </c>
      <c r="I859">
        <v>12</v>
      </c>
      <c r="J859">
        <v>1</v>
      </c>
      <c r="K859">
        <v>8</v>
      </c>
      <c r="L859">
        <v>0</v>
      </c>
      <c r="M859">
        <v>1</v>
      </c>
      <c r="N859">
        <v>110</v>
      </c>
      <c r="O859" t="s">
        <v>32</v>
      </c>
      <c r="P859" t="s">
        <v>41</v>
      </c>
      <c r="Q859" s="10">
        <v>81</v>
      </c>
      <c r="R859" s="10">
        <v>61</v>
      </c>
      <c r="S859" s="10">
        <v>93</v>
      </c>
      <c r="T859" s="10">
        <v>49</v>
      </c>
      <c r="U859" s="10">
        <v>0</v>
      </c>
      <c r="V859" s="10">
        <v>12</v>
      </c>
      <c r="W859" s="10">
        <v>11</v>
      </c>
    </row>
    <row r="860" spans="1:23">
      <c r="A860" s="2" t="s">
        <v>1459</v>
      </c>
      <c r="B860" s="2" t="s">
        <v>1462</v>
      </c>
      <c r="C860">
        <v>1</v>
      </c>
      <c r="D860" s="5">
        <v>44701</v>
      </c>
      <c r="E860">
        <v>1517</v>
      </c>
      <c r="F860">
        <v>0</v>
      </c>
      <c r="G860">
        <v>137070925</v>
      </c>
      <c r="H860" t="str">
        <f t="shared" si="13"/>
        <v>no</v>
      </c>
      <c r="I860">
        <v>26</v>
      </c>
      <c r="J860">
        <v>2</v>
      </c>
      <c r="K860">
        <v>30</v>
      </c>
      <c r="L860">
        <v>0</v>
      </c>
      <c r="M860">
        <v>0</v>
      </c>
      <c r="N860">
        <v>118</v>
      </c>
      <c r="P860" t="s">
        <v>26</v>
      </c>
      <c r="Q860" s="10">
        <v>42</v>
      </c>
      <c r="R860" s="10">
        <v>32</v>
      </c>
      <c r="S860" s="10">
        <v>20</v>
      </c>
      <c r="T860" s="10">
        <v>94</v>
      </c>
      <c r="U860" s="10">
        <v>0</v>
      </c>
      <c r="V860" s="10">
        <v>11</v>
      </c>
      <c r="W860" s="10">
        <v>4</v>
      </c>
    </row>
    <row r="861" spans="1:23">
      <c r="A861" s="2" t="s">
        <v>1459</v>
      </c>
      <c r="B861" s="2">
        <v>295</v>
      </c>
      <c r="C861">
        <v>1</v>
      </c>
      <c r="D861" s="5">
        <v>44331</v>
      </c>
      <c r="E861">
        <v>246</v>
      </c>
      <c r="F861">
        <v>4</v>
      </c>
      <c r="G861">
        <v>183273246</v>
      </c>
      <c r="H861" t="str">
        <f t="shared" si="13"/>
        <v>no</v>
      </c>
      <c r="I861">
        <v>4</v>
      </c>
      <c r="J861">
        <v>106</v>
      </c>
      <c r="K861">
        <v>0</v>
      </c>
      <c r="L861">
        <v>0</v>
      </c>
      <c r="M861">
        <v>7</v>
      </c>
      <c r="N861">
        <v>90</v>
      </c>
      <c r="O861" t="s">
        <v>25</v>
      </c>
      <c r="P861" t="s">
        <v>41</v>
      </c>
      <c r="Q861" s="10">
        <v>68</v>
      </c>
      <c r="R861" s="10">
        <v>54</v>
      </c>
      <c r="S861" s="10">
        <v>76</v>
      </c>
      <c r="T861" s="10">
        <v>21</v>
      </c>
      <c r="U861" s="10">
        <v>0</v>
      </c>
      <c r="V861" s="10">
        <v>11</v>
      </c>
      <c r="W861" s="10">
        <v>20</v>
      </c>
    </row>
    <row r="862" spans="1:23">
      <c r="A862" s="2" t="s">
        <v>1459</v>
      </c>
      <c r="B862" s="2" t="s">
        <v>1463</v>
      </c>
      <c r="C862">
        <v>1</v>
      </c>
      <c r="D862" s="5">
        <v>44694</v>
      </c>
      <c r="E862">
        <v>220</v>
      </c>
      <c r="F862">
        <v>4</v>
      </c>
      <c r="G862">
        <v>184807630</v>
      </c>
      <c r="H862" t="str">
        <f t="shared" si="13"/>
        <v>no</v>
      </c>
      <c r="I862">
        <v>16</v>
      </c>
      <c r="J862">
        <v>5</v>
      </c>
      <c r="K862">
        <v>0</v>
      </c>
      <c r="L862">
        <v>0</v>
      </c>
      <c r="M862">
        <v>6</v>
      </c>
      <c r="N862">
        <v>130</v>
      </c>
      <c r="P862" t="s">
        <v>26</v>
      </c>
      <c r="Q862" s="10">
        <v>49</v>
      </c>
      <c r="R862" s="10">
        <v>14</v>
      </c>
      <c r="S862" s="10">
        <v>40</v>
      </c>
      <c r="T862" s="10">
        <v>82</v>
      </c>
      <c r="U862" s="10">
        <v>0</v>
      </c>
      <c r="V862" s="10">
        <v>11</v>
      </c>
      <c r="W862" s="10">
        <v>3</v>
      </c>
    </row>
    <row r="863" spans="1:23" ht="30.75">
      <c r="A863" s="2" t="s">
        <v>1459</v>
      </c>
      <c r="B863" s="2" t="s">
        <v>1464</v>
      </c>
      <c r="C863">
        <v>1</v>
      </c>
      <c r="D863" s="5">
        <v>44694</v>
      </c>
      <c r="E863">
        <v>514</v>
      </c>
      <c r="F863">
        <v>0</v>
      </c>
      <c r="G863">
        <v>164856284</v>
      </c>
      <c r="H863" t="str">
        <f t="shared" si="13"/>
        <v>no</v>
      </c>
      <c r="I863">
        <v>5</v>
      </c>
      <c r="J863">
        <v>36</v>
      </c>
      <c r="K863">
        <v>1</v>
      </c>
      <c r="L863">
        <v>0</v>
      </c>
      <c r="M863">
        <v>0</v>
      </c>
      <c r="N863">
        <v>154</v>
      </c>
      <c r="O863" t="s">
        <v>53</v>
      </c>
      <c r="P863" t="s">
        <v>41</v>
      </c>
      <c r="Q863" s="10">
        <v>70</v>
      </c>
      <c r="R863" s="10">
        <v>97</v>
      </c>
      <c r="S863" s="10">
        <v>62</v>
      </c>
      <c r="T863" s="10">
        <v>47</v>
      </c>
      <c r="U863" s="10">
        <v>0</v>
      </c>
      <c r="V863" s="10">
        <v>10</v>
      </c>
      <c r="W863" s="10">
        <v>4</v>
      </c>
    </row>
    <row r="864" spans="1:23" ht="45.75">
      <c r="A864" s="2" t="s">
        <v>1459</v>
      </c>
      <c r="B864" s="2" t="s">
        <v>1465</v>
      </c>
      <c r="C864">
        <v>1</v>
      </c>
      <c r="D864" s="5">
        <v>31474</v>
      </c>
      <c r="E864">
        <v>6080</v>
      </c>
      <c r="F864">
        <v>0</v>
      </c>
      <c r="G864">
        <v>704171068</v>
      </c>
      <c r="H864" t="str">
        <f t="shared" si="13"/>
        <v>yes</v>
      </c>
      <c r="I864">
        <v>112</v>
      </c>
      <c r="J864">
        <v>198</v>
      </c>
      <c r="K864">
        <v>406</v>
      </c>
      <c r="L864">
        <v>1</v>
      </c>
      <c r="M864">
        <v>0</v>
      </c>
      <c r="N864">
        <v>105</v>
      </c>
      <c r="O864" t="s">
        <v>98</v>
      </c>
      <c r="P864" t="s">
        <v>41</v>
      </c>
      <c r="Q864" s="10">
        <v>54</v>
      </c>
      <c r="R864" s="10">
        <v>59</v>
      </c>
      <c r="S864" s="10">
        <v>83</v>
      </c>
      <c r="T864" s="10">
        <v>0</v>
      </c>
      <c r="U864" s="10">
        <v>44</v>
      </c>
      <c r="V864" s="10">
        <v>20</v>
      </c>
      <c r="W864" s="10">
        <v>4</v>
      </c>
    </row>
    <row r="865" spans="1:23" ht="30.75">
      <c r="A865" s="2" t="s">
        <v>1459</v>
      </c>
      <c r="B865" s="2" t="s">
        <v>1466</v>
      </c>
      <c r="C865">
        <v>1</v>
      </c>
      <c r="D865" s="5">
        <v>44733</v>
      </c>
      <c r="E865">
        <v>9724</v>
      </c>
      <c r="F865">
        <v>0</v>
      </c>
      <c r="G865">
        <v>354614964</v>
      </c>
      <c r="H865" t="str">
        <f t="shared" si="13"/>
        <v>yes</v>
      </c>
      <c r="I865">
        <v>222</v>
      </c>
      <c r="J865">
        <v>61</v>
      </c>
      <c r="K865">
        <v>259</v>
      </c>
      <c r="L865">
        <v>14</v>
      </c>
      <c r="M865">
        <v>2</v>
      </c>
      <c r="N865">
        <v>115</v>
      </c>
      <c r="O865" t="s">
        <v>29</v>
      </c>
      <c r="P865" t="s">
        <v>41</v>
      </c>
      <c r="Q865" s="10">
        <v>70</v>
      </c>
      <c r="R865" s="10">
        <v>87</v>
      </c>
      <c r="S865" s="10">
        <v>88</v>
      </c>
      <c r="T865" s="10">
        <v>4</v>
      </c>
      <c r="U865" s="10">
        <v>0</v>
      </c>
      <c r="V865" s="10">
        <v>26</v>
      </c>
      <c r="W865" s="10">
        <v>8</v>
      </c>
    </row>
    <row r="866" spans="1:23" ht="30.75">
      <c r="A866" s="2" t="s">
        <v>1459</v>
      </c>
      <c r="B866" s="2" t="s">
        <v>1467</v>
      </c>
      <c r="C866">
        <v>5</v>
      </c>
      <c r="D866" s="5">
        <v>44728</v>
      </c>
      <c r="E866">
        <v>2341</v>
      </c>
      <c r="F866">
        <v>0</v>
      </c>
      <c r="G866">
        <v>279717388</v>
      </c>
      <c r="H866" t="str">
        <f t="shared" si="13"/>
        <v>yes</v>
      </c>
      <c r="I866">
        <v>37</v>
      </c>
      <c r="J866">
        <v>2</v>
      </c>
      <c r="K866">
        <v>38</v>
      </c>
      <c r="L866">
        <v>2</v>
      </c>
      <c r="M866">
        <v>0</v>
      </c>
      <c r="N866">
        <v>110</v>
      </c>
      <c r="O866" t="s">
        <v>29</v>
      </c>
      <c r="P866" t="s">
        <v>26</v>
      </c>
      <c r="Q866" s="10">
        <v>91</v>
      </c>
      <c r="R866" s="10">
        <v>59</v>
      </c>
      <c r="S866" s="10">
        <v>82</v>
      </c>
      <c r="T866" s="10">
        <v>8</v>
      </c>
      <c r="U866" s="10">
        <v>0</v>
      </c>
      <c r="V866" s="10">
        <v>6</v>
      </c>
      <c r="W866" s="10">
        <v>8</v>
      </c>
    </row>
    <row r="867" spans="1:23">
      <c r="A867" s="2" t="s">
        <v>1459</v>
      </c>
      <c r="B867" s="2" t="s">
        <v>1468</v>
      </c>
      <c r="C867">
        <v>1</v>
      </c>
      <c r="D867" s="5">
        <v>44729</v>
      </c>
      <c r="E867">
        <v>5263</v>
      </c>
      <c r="F867">
        <v>0</v>
      </c>
      <c r="G867">
        <v>195628667</v>
      </c>
      <c r="H867" t="str">
        <f t="shared" si="13"/>
        <v>no</v>
      </c>
      <c r="I867">
        <v>66</v>
      </c>
      <c r="J867">
        <v>89</v>
      </c>
      <c r="K867">
        <v>61</v>
      </c>
      <c r="L867">
        <v>0</v>
      </c>
      <c r="M867">
        <v>11</v>
      </c>
      <c r="N867">
        <v>125</v>
      </c>
      <c r="O867" t="s">
        <v>98</v>
      </c>
      <c r="P867" t="s">
        <v>41</v>
      </c>
      <c r="Q867" s="10">
        <v>51</v>
      </c>
      <c r="R867" s="10">
        <v>5</v>
      </c>
      <c r="S867" s="10">
        <v>68</v>
      </c>
      <c r="T867" s="10">
        <v>12</v>
      </c>
      <c r="U867" s="10">
        <v>2</v>
      </c>
      <c r="V867" s="10">
        <v>15</v>
      </c>
      <c r="W867" s="10">
        <v>6</v>
      </c>
    </row>
    <row r="868" spans="1:23" ht="30.75">
      <c r="A868" s="2" t="s">
        <v>1459</v>
      </c>
      <c r="B868" s="2" t="s">
        <v>1469</v>
      </c>
      <c r="C868">
        <v>1</v>
      </c>
      <c r="D868" s="5">
        <v>44722</v>
      </c>
      <c r="E868">
        <v>2402</v>
      </c>
      <c r="F868">
        <v>0</v>
      </c>
      <c r="G868">
        <v>221752937</v>
      </c>
      <c r="H868" t="str">
        <f t="shared" si="13"/>
        <v>yes</v>
      </c>
      <c r="I868">
        <v>45</v>
      </c>
      <c r="J868">
        <v>2</v>
      </c>
      <c r="K868">
        <v>26</v>
      </c>
      <c r="L868">
        <v>0</v>
      </c>
      <c r="M868">
        <v>1</v>
      </c>
      <c r="N868">
        <v>102</v>
      </c>
      <c r="O868" t="s">
        <v>29</v>
      </c>
      <c r="P868" t="s">
        <v>26</v>
      </c>
      <c r="Q868" s="10">
        <v>73</v>
      </c>
      <c r="R868" s="10">
        <v>62</v>
      </c>
      <c r="S868" s="10">
        <v>75</v>
      </c>
      <c r="T868" s="10">
        <v>0</v>
      </c>
      <c r="U868" s="10">
        <v>0</v>
      </c>
      <c r="V868" s="10">
        <v>34</v>
      </c>
      <c r="W868" s="10">
        <v>8</v>
      </c>
    </row>
    <row r="869" spans="1:23">
      <c r="A869" s="2" t="s">
        <v>1459</v>
      </c>
      <c r="B869" s="2" t="s">
        <v>1470</v>
      </c>
      <c r="C869">
        <v>1</v>
      </c>
      <c r="D869" s="5">
        <v>44598</v>
      </c>
      <c r="E869">
        <v>795</v>
      </c>
      <c r="F869">
        <v>11</v>
      </c>
      <c r="G869">
        <v>263280370</v>
      </c>
      <c r="H869" t="str">
        <f t="shared" si="13"/>
        <v>yes</v>
      </c>
      <c r="I869">
        <v>26</v>
      </c>
      <c r="J869">
        <v>18</v>
      </c>
      <c r="K869">
        <v>15</v>
      </c>
      <c r="L869">
        <v>1</v>
      </c>
      <c r="M869">
        <v>4</v>
      </c>
      <c r="N869">
        <v>120</v>
      </c>
      <c r="O869" t="s">
        <v>63</v>
      </c>
      <c r="P869" t="s">
        <v>41</v>
      </c>
      <c r="Q869" s="10">
        <v>81</v>
      </c>
      <c r="R869" s="10">
        <v>72</v>
      </c>
      <c r="S869" s="10">
        <v>65</v>
      </c>
      <c r="T869" s="10">
        <v>4</v>
      </c>
      <c r="U869" s="10">
        <v>0</v>
      </c>
      <c r="V869" s="10">
        <v>14</v>
      </c>
      <c r="W869" s="10">
        <v>4</v>
      </c>
    </row>
    <row r="870" spans="1:23">
      <c r="A870" s="2" t="s">
        <v>1459</v>
      </c>
      <c r="B870" s="2" t="s">
        <v>1471</v>
      </c>
      <c r="C870">
        <v>1</v>
      </c>
      <c r="D870" s="5">
        <v>44736</v>
      </c>
      <c r="E870">
        <v>571</v>
      </c>
      <c r="F870">
        <v>0</v>
      </c>
      <c r="G870">
        <v>213505179</v>
      </c>
      <c r="H870" t="str">
        <f t="shared" si="13"/>
        <v>yes</v>
      </c>
      <c r="I870">
        <v>19</v>
      </c>
      <c r="J870">
        <v>21</v>
      </c>
      <c r="K870">
        <v>14</v>
      </c>
      <c r="L870">
        <v>0</v>
      </c>
      <c r="M870">
        <v>2</v>
      </c>
      <c r="N870">
        <v>97</v>
      </c>
      <c r="O870" t="s">
        <v>51</v>
      </c>
      <c r="P870" t="s">
        <v>26</v>
      </c>
      <c r="Q870" s="10">
        <v>80</v>
      </c>
      <c r="R870" s="10">
        <v>36</v>
      </c>
      <c r="S870" s="10">
        <v>86</v>
      </c>
      <c r="T870" s="10">
        <v>4</v>
      </c>
      <c r="U870" s="10">
        <v>0</v>
      </c>
      <c r="V870" s="10">
        <v>3</v>
      </c>
      <c r="W870" s="10">
        <v>5</v>
      </c>
    </row>
    <row r="871" spans="1:23">
      <c r="A871" s="2" t="s">
        <v>1459</v>
      </c>
      <c r="B871" s="2" t="s">
        <v>1472</v>
      </c>
      <c r="C871">
        <v>2</v>
      </c>
      <c r="D871" s="5">
        <v>44644</v>
      </c>
      <c r="E871">
        <v>832</v>
      </c>
      <c r="F871">
        <v>3</v>
      </c>
      <c r="G871">
        <v>130419412</v>
      </c>
      <c r="H871" t="str">
        <f t="shared" si="13"/>
        <v>no</v>
      </c>
      <c r="I871">
        <v>18</v>
      </c>
      <c r="J871">
        <v>124</v>
      </c>
      <c r="K871">
        <v>24</v>
      </c>
      <c r="L871">
        <v>1</v>
      </c>
      <c r="M871">
        <v>0</v>
      </c>
      <c r="N871">
        <v>140</v>
      </c>
      <c r="O871" t="s">
        <v>32</v>
      </c>
      <c r="P871" t="s">
        <v>41</v>
      </c>
      <c r="Q871" s="10">
        <v>44</v>
      </c>
      <c r="R871" s="10">
        <v>41</v>
      </c>
      <c r="S871" s="10">
        <v>92</v>
      </c>
      <c r="T871" s="10">
        <v>0</v>
      </c>
      <c r="U871" s="10">
        <v>0</v>
      </c>
      <c r="V871" s="10">
        <v>44</v>
      </c>
      <c r="W871" s="10">
        <v>7</v>
      </c>
    </row>
    <row r="872" spans="1:23">
      <c r="A872" s="2" t="s">
        <v>1459</v>
      </c>
      <c r="B872" s="2" t="s">
        <v>1473</v>
      </c>
      <c r="C872">
        <v>1</v>
      </c>
      <c r="D872" s="5">
        <v>44743</v>
      </c>
      <c r="E872">
        <v>565</v>
      </c>
      <c r="F872">
        <v>0</v>
      </c>
      <c r="G872">
        <v>155795783</v>
      </c>
      <c r="H872" t="str">
        <f t="shared" si="13"/>
        <v>no</v>
      </c>
      <c r="I872">
        <v>6</v>
      </c>
      <c r="J872">
        <v>52</v>
      </c>
      <c r="K872">
        <v>11</v>
      </c>
      <c r="L872">
        <v>0</v>
      </c>
      <c r="M872">
        <v>0</v>
      </c>
      <c r="N872">
        <v>97</v>
      </c>
      <c r="O872" t="s">
        <v>51</v>
      </c>
      <c r="P872" t="s">
        <v>26</v>
      </c>
      <c r="Q872" s="10">
        <v>78</v>
      </c>
      <c r="R872" s="10">
        <v>31</v>
      </c>
      <c r="S872" s="10">
        <v>72</v>
      </c>
      <c r="T872" s="10">
        <v>1</v>
      </c>
      <c r="U872" s="10">
        <v>0</v>
      </c>
      <c r="V872" s="10">
        <v>11</v>
      </c>
      <c r="W872" s="10">
        <v>4</v>
      </c>
    </row>
    <row r="873" spans="1:23" ht="30.75">
      <c r="A873" s="2" t="s">
        <v>1459</v>
      </c>
      <c r="B873" s="2" t="s">
        <v>1474</v>
      </c>
      <c r="C873">
        <v>1</v>
      </c>
      <c r="D873" s="5">
        <v>31778</v>
      </c>
      <c r="E873">
        <v>41231</v>
      </c>
      <c r="F873">
        <v>1</v>
      </c>
      <c r="G873">
        <v>1553497987</v>
      </c>
      <c r="H873" t="str">
        <f t="shared" si="13"/>
        <v>yes</v>
      </c>
      <c r="I873">
        <v>228</v>
      </c>
      <c r="J873">
        <v>151</v>
      </c>
      <c r="K873" s="1">
        <v>6720</v>
      </c>
      <c r="L873">
        <v>3</v>
      </c>
      <c r="M873">
        <v>99</v>
      </c>
      <c r="N873">
        <v>125</v>
      </c>
      <c r="O873" t="s">
        <v>53</v>
      </c>
      <c r="P873" t="s">
        <v>26</v>
      </c>
      <c r="Q873" s="10">
        <v>45</v>
      </c>
      <c r="R873" s="10">
        <v>67</v>
      </c>
      <c r="S873" s="10">
        <v>90</v>
      </c>
      <c r="T873" s="10">
        <v>9</v>
      </c>
      <c r="U873" s="10">
        <v>11</v>
      </c>
      <c r="V873" s="10">
        <v>10</v>
      </c>
      <c r="W873" s="10">
        <v>5</v>
      </c>
    </row>
    <row r="874" spans="1:23">
      <c r="A874" s="2" t="s">
        <v>1459</v>
      </c>
      <c r="B874" s="2" t="s">
        <v>1475</v>
      </c>
      <c r="C874">
        <v>1</v>
      </c>
      <c r="D874" s="5">
        <v>44693</v>
      </c>
      <c r="E874">
        <v>4526</v>
      </c>
      <c r="F874">
        <v>12</v>
      </c>
      <c r="G874">
        <v>293466523</v>
      </c>
      <c r="H874" t="str">
        <f t="shared" si="13"/>
        <v>yes</v>
      </c>
      <c r="I874">
        <v>156</v>
      </c>
      <c r="J874">
        <v>275</v>
      </c>
      <c r="K874">
        <v>150</v>
      </c>
      <c r="L874">
        <v>3</v>
      </c>
      <c r="M874">
        <v>128</v>
      </c>
      <c r="N874">
        <v>88</v>
      </c>
      <c r="O874" t="s">
        <v>196</v>
      </c>
      <c r="P874" t="s">
        <v>41</v>
      </c>
      <c r="Q874" s="10">
        <v>80</v>
      </c>
      <c r="R874" s="10">
        <v>55</v>
      </c>
      <c r="S874" s="10">
        <v>56</v>
      </c>
      <c r="T874" s="10">
        <v>13</v>
      </c>
      <c r="U874" s="10">
        <v>0</v>
      </c>
      <c r="V874" s="10">
        <v>8</v>
      </c>
      <c r="W874" s="10">
        <v>9</v>
      </c>
    </row>
    <row r="875" spans="1:23">
      <c r="A875" s="2" t="s">
        <v>1459</v>
      </c>
      <c r="B875" s="2" t="s">
        <v>340</v>
      </c>
      <c r="C875">
        <v>1</v>
      </c>
      <c r="D875" s="5">
        <v>44639</v>
      </c>
      <c r="E875">
        <v>1818</v>
      </c>
      <c r="F875">
        <v>0</v>
      </c>
      <c r="G875">
        <v>711366595</v>
      </c>
      <c r="H875" t="str">
        <f t="shared" si="13"/>
        <v>yes</v>
      </c>
      <c r="I875">
        <v>3</v>
      </c>
      <c r="J875">
        <v>0</v>
      </c>
      <c r="K875">
        <v>63</v>
      </c>
      <c r="L875">
        <v>0</v>
      </c>
      <c r="M875">
        <v>353</v>
      </c>
      <c r="N875">
        <v>170</v>
      </c>
      <c r="P875" t="s">
        <v>26</v>
      </c>
      <c r="Q875" s="10">
        <v>56</v>
      </c>
      <c r="R875" s="10">
        <v>52</v>
      </c>
      <c r="S875" s="10">
        <v>64</v>
      </c>
      <c r="T875" s="10">
        <v>11</v>
      </c>
      <c r="U875" s="10">
        <v>0</v>
      </c>
      <c r="V875" s="10">
        <v>45</v>
      </c>
      <c r="W875" s="10">
        <v>7</v>
      </c>
    </row>
    <row r="876" spans="1:23">
      <c r="A876" s="2" t="s">
        <v>1459</v>
      </c>
      <c r="B876" s="2" t="s">
        <v>1476</v>
      </c>
      <c r="C876">
        <v>1</v>
      </c>
      <c r="D876" s="5">
        <v>44729</v>
      </c>
      <c r="E876">
        <v>2814</v>
      </c>
      <c r="F876">
        <v>0</v>
      </c>
      <c r="G876">
        <v>191448892</v>
      </c>
      <c r="H876" t="str">
        <f t="shared" si="13"/>
        <v>no</v>
      </c>
      <c r="I876">
        <v>38</v>
      </c>
      <c r="J876">
        <v>105</v>
      </c>
      <c r="K876">
        <v>25</v>
      </c>
      <c r="L876">
        <v>0</v>
      </c>
      <c r="M876">
        <v>2</v>
      </c>
      <c r="N876">
        <v>137</v>
      </c>
      <c r="O876" t="s">
        <v>128</v>
      </c>
      <c r="P876" t="s">
        <v>41</v>
      </c>
      <c r="Q876" s="10">
        <v>88</v>
      </c>
      <c r="R876" s="10">
        <v>8</v>
      </c>
      <c r="S876" s="10">
        <v>49</v>
      </c>
      <c r="T876" s="10">
        <v>9</v>
      </c>
      <c r="U876" s="10">
        <v>0</v>
      </c>
      <c r="V876" s="10">
        <v>9</v>
      </c>
      <c r="W876" s="10">
        <v>14</v>
      </c>
    </row>
    <row r="877" spans="1:23" ht="30.75">
      <c r="A877" s="2" t="s">
        <v>1459</v>
      </c>
      <c r="B877" s="2" t="s">
        <v>1477</v>
      </c>
      <c r="C877">
        <v>3</v>
      </c>
      <c r="D877" s="5">
        <v>44743</v>
      </c>
      <c r="E877">
        <v>1601</v>
      </c>
      <c r="F877">
        <v>0</v>
      </c>
      <c r="G877">
        <v>85924992</v>
      </c>
      <c r="H877" t="str">
        <f t="shared" si="13"/>
        <v>no</v>
      </c>
      <c r="I877">
        <v>11</v>
      </c>
      <c r="J877">
        <v>0</v>
      </c>
      <c r="K877">
        <v>2</v>
      </c>
      <c r="L877">
        <v>0</v>
      </c>
      <c r="M877">
        <v>0</v>
      </c>
      <c r="N877">
        <v>157</v>
      </c>
      <c r="O877" t="s">
        <v>37</v>
      </c>
      <c r="P877" t="s">
        <v>26</v>
      </c>
      <c r="Q877" s="10">
        <v>88</v>
      </c>
      <c r="R877" s="10">
        <v>52</v>
      </c>
      <c r="S877" s="10">
        <v>69</v>
      </c>
      <c r="T877" s="10">
        <v>0</v>
      </c>
      <c r="U877" s="10">
        <v>0</v>
      </c>
      <c r="V877" s="10">
        <v>8</v>
      </c>
      <c r="W877" s="10">
        <v>23</v>
      </c>
    </row>
    <row r="878" spans="1:23">
      <c r="A878" s="2" t="s">
        <v>1459</v>
      </c>
      <c r="B878" s="2" t="s">
        <v>1478</v>
      </c>
      <c r="C878">
        <v>3</v>
      </c>
      <c r="D878" s="5">
        <v>44715</v>
      </c>
      <c r="E878">
        <v>894</v>
      </c>
      <c r="F878">
        <v>4</v>
      </c>
      <c r="G878">
        <v>176103902</v>
      </c>
      <c r="H878" t="str">
        <f t="shared" si="13"/>
        <v>no</v>
      </c>
      <c r="I878">
        <v>28</v>
      </c>
      <c r="J878">
        <v>0</v>
      </c>
      <c r="K878">
        <v>54</v>
      </c>
      <c r="L878">
        <v>0</v>
      </c>
      <c r="M878">
        <v>0</v>
      </c>
      <c r="N878">
        <v>130</v>
      </c>
      <c r="O878" t="s">
        <v>53</v>
      </c>
      <c r="P878" t="s">
        <v>26</v>
      </c>
      <c r="Q878" s="10">
        <v>95</v>
      </c>
      <c r="R878" s="10">
        <v>83</v>
      </c>
      <c r="S878" s="10">
        <v>57</v>
      </c>
      <c r="T878" s="10">
        <v>54</v>
      </c>
      <c r="U878" s="10">
        <v>0</v>
      </c>
      <c r="V878" s="10">
        <v>10</v>
      </c>
      <c r="W878" s="10">
        <v>25</v>
      </c>
    </row>
    <row r="879" spans="1:23">
      <c r="A879" s="2" t="s">
        <v>1459</v>
      </c>
      <c r="B879" s="2" t="s">
        <v>1479</v>
      </c>
      <c r="C879">
        <v>3</v>
      </c>
      <c r="D879" s="5">
        <v>44748</v>
      </c>
      <c r="E879">
        <v>945</v>
      </c>
      <c r="F879">
        <v>0</v>
      </c>
      <c r="G879">
        <v>121189256</v>
      </c>
      <c r="H879" t="str">
        <f t="shared" si="13"/>
        <v>no</v>
      </c>
      <c r="I879">
        <v>49</v>
      </c>
      <c r="J879">
        <v>3</v>
      </c>
      <c r="K879">
        <v>57</v>
      </c>
      <c r="L879">
        <v>0</v>
      </c>
      <c r="M879">
        <v>0</v>
      </c>
      <c r="N879">
        <v>90</v>
      </c>
      <c r="O879" t="s">
        <v>29</v>
      </c>
      <c r="P879" t="s">
        <v>26</v>
      </c>
      <c r="Q879" s="10">
        <v>85</v>
      </c>
      <c r="R879" s="10">
        <v>80</v>
      </c>
      <c r="S879" s="10">
        <v>83</v>
      </c>
      <c r="T879" s="10">
        <v>10</v>
      </c>
      <c r="U879" s="10">
        <v>0</v>
      </c>
      <c r="V879" s="10">
        <v>8</v>
      </c>
      <c r="W879" s="10">
        <v>11</v>
      </c>
    </row>
    <row r="880" spans="1:23" ht="45.75">
      <c r="A880" s="2" t="s">
        <v>1480</v>
      </c>
      <c r="B880" s="2" t="s">
        <v>1481</v>
      </c>
      <c r="C880">
        <v>1</v>
      </c>
      <c r="D880" s="5">
        <v>44736</v>
      </c>
      <c r="E880">
        <v>767</v>
      </c>
      <c r="F880">
        <v>0</v>
      </c>
      <c r="G880">
        <v>131746175</v>
      </c>
      <c r="H880" t="str">
        <f t="shared" si="13"/>
        <v>no</v>
      </c>
      <c r="I880">
        <v>25</v>
      </c>
      <c r="J880">
        <v>0</v>
      </c>
      <c r="K880">
        <v>22</v>
      </c>
      <c r="L880">
        <v>0</v>
      </c>
      <c r="M880">
        <v>0</v>
      </c>
      <c r="N880">
        <v>183</v>
      </c>
      <c r="O880" t="s">
        <v>63</v>
      </c>
      <c r="P880" t="s">
        <v>41</v>
      </c>
      <c r="Q880" s="10">
        <v>44</v>
      </c>
      <c r="R880" s="10">
        <v>44</v>
      </c>
      <c r="S880" s="10">
        <v>67</v>
      </c>
      <c r="T880" s="10">
        <v>7</v>
      </c>
      <c r="U880" s="10">
        <v>0</v>
      </c>
      <c r="V880" s="10">
        <v>12</v>
      </c>
      <c r="W880" s="10">
        <v>13</v>
      </c>
    </row>
    <row r="881" spans="1:23" ht="30.75">
      <c r="A881" s="2" t="s">
        <v>1482</v>
      </c>
      <c r="B881" s="2" t="s">
        <v>1483</v>
      </c>
      <c r="C881">
        <v>1</v>
      </c>
      <c r="D881" s="5">
        <v>44683</v>
      </c>
      <c r="E881">
        <v>5898</v>
      </c>
      <c r="F881">
        <v>5</v>
      </c>
      <c r="G881">
        <v>244790012</v>
      </c>
      <c r="H881" t="str">
        <f t="shared" si="13"/>
        <v>yes</v>
      </c>
      <c r="I881">
        <v>129</v>
      </c>
      <c r="J881">
        <v>55</v>
      </c>
      <c r="K881">
        <v>128</v>
      </c>
      <c r="L881">
        <v>0</v>
      </c>
      <c r="M881">
        <v>101</v>
      </c>
      <c r="N881">
        <v>128</v>
      </c>
      <c r="O881" t="s">
        <v>29</v>
      </c>
      <c r="P881" t="s">
        <v>26</v>
      </c>
      <c r="Q881" s="10">
        <v>58</v>
      </c>
      <c r="R881" s="10">
        <v>68</v>
      </c>
      <c r="S881" s="10">
        <v>91</v>
      </c>
      <c r="T881" s="10">
        <v>2</v>
      </c>
      <c r="U881" s="10">
        <v>0</v>
      </c>
      <c r="V881" s="10">
        <v>27</v>
      </c>
      <c r="W881" s="10">
        <v>11</v>
      </c>
    </row>
    <row r="882" spans="1:23" ht="30.75">
      <c r="A882" s="2" t="s">
        <v>1484</v>
      </c>
      <c r="B882" s="2" t="s">
        <v>1485</v>
      </c>
      <c r="C882">
        <v>3</v>
      </c>
      <c r="D882" s="5">
        <v>44722</v>
      </c>
      <c r="E882">
        <v>685</v>
      </c>
      <c r="F882">
        <v>2</v>
      </c>
      <c r="G882">
        <v>129314708</v>
      </c>
      <c r="H882" t="str">
        <f t="shared" si="13"/>
        <v>no</v>
      </c>
      <c r="I882">
        <v>17</v>
      </c>
      <c r="J882">
        <v>0</v>
      </c>
      <c r="K882">
        <v>24</v>
      </c>
      <c r="L882">
        <v>0</v>
      </c>
      <c r="M882">
        <v>30</v>
      </c>
      <c r="N882">
        <v>130</v>
      </c>
      <c r="O882" t="s">
        <v>196</v>
      </c>
      <c r="P882" t="s">
        <v>41</v>
      </c>
      <c r="Q882" s="10">
        <v>71</v>
      </c>
      <c r="R882" s="10">
        <v>78</v>
      </c>
      <c r="S882" s="10">
        <v>40</v>
      </c>
      <c r="T882" s="10">
        <v>46</v>
      </c>
      <c r="U882" s="10">
        <v>0</v>
      </c>
      <c r="V882" s="10">
        <v>7</v>
      </c>
      <c r="W882" s="10">
        <v>45</v>
      </c>
    </row>
    <row r="883" spans="1:23" ht="30.75">
      <c r="A883" s="2" t="s">
        <v>1486</v>
      </c>
      <c r="B883" s="2" t="s">
        <v>1487</v>
      </c>
      <c r="C883">
        <v>1</v>
      </c>
      <c r="D883" s="5">
        <v>44777</v>
      </c>
      <c r="E883">
        <v>1452</v>
      </c>
      <c r="F883">
        <v>35</v>
      </c>
      <c r="G883">
        <v>331511413</v>
      </c>
      <c r="H883" t="str">
        <f t="shared" si="13"/>
        <v>yes</v>
      </c>
      <c r="I883">
        <v>16</v>
      </c>
      <c r="J883">
        <v>15</v>
      </c>
      <c r="K883">
        <v>20</v>
      </c>
      <c r="L883">
        <v>0</v>
      </c>
      <c r="M883">
        <v>0</v>
      </c>
      <c r="N883">
        <v>126</v>
      </c>
      <c r="O883" t="s">
        <v>29</v>
      </c>
      <c r="P883" t="s">
        <v>26</v>
      </c>
      <c r="Q883" s="10">
        <v>63</v>
      </c>
      <c r="R883" s="10">
        <v>56</v>
      </c>
      <c r="S883" s="10">
        <v>43</v>
      </c>
      <c r="T883" s="10">
        <v>24</v>
      </c>
      <c r="U883" s="10">
        <v>0</v>
      </c>
      <c r="V883" s="10">
        <v>12</v>
      </c>
      <c r="W883" s="10">
        <v>23</v>
      </c>
    </row>
    <row r="884" spans="1:23" ht="45.75">
      <c r="A884" s="2" t="s">
        <v>1486</v>
      </c>
      <c r="B884" s="2" t="s">
        <v>1488</v>
      </c>
      <c r="C884">
        <v>3</v>
      </c>
      <c r="D884" s="5">
        <v>44778</v>
      </c>
      <c r="E884">
        <v>1456</v>
      </c>
      <c r="F884">
        <v>0</v>
      </c>
      <c r="G884">
        <v>219196651</v>
      </c>
      <c r="H884" t="str">
        <f t="shared" si="13"/>
        <v>yes</v>
      </c>
      <c r="I884">
        <v>53</v>
      </c>
      <c r="J884">
        <v>2</v>
      </c>
      <c r="K884">
        <v>33</v>
      </c>
      <c r="L884">
        <v>0</v>
      </c>
      <c r="M884">
        <v>0</v>
      </c>
      <c r="N884">
        <v>120</v>
      </c>
      <c r="P884" t="s">
        <v>26</v>
      </c>
      <c r="Q884" s="10">
        <v>77</v>
      </c>
      <c r="R884" s="10">
        <v>94</v>
      </c>
      <c r="S884" s="10">
        <v>87</v>
      </c>
      <c r="T884" s="10">
        <v>2</v>
      </c>
      <c r="U884" s="10">
        <v>0</v>
      </c>
      <c r="V884" s="10">
        <v>23</v>
      </c>
      <c r="W884" s="10">
        <v>12</v>
      </c>
    </row>
    <row r="885" spans="1:23" ht="45.75">
      <c r="A885" s="2" t="s">
        <v>1489</v>
      </c>
      <c r="B885" s="2" t="s">
        <v>1490</v>
      </c>
      <c r="C885">
        <v>3</v>
      </c>
      <c r="D885" s="5">
        <v>44778</v>
      </c>
      <c r="E885">
        <v>2107</v>
      </c>
      <c r="F885">
        <v>0</v>
      </c>
      <c r="G885">
        <v>170732845</v>
      </c>
      <c r="H885" t="str">
        <f t="shared" si="13"/>
        <v>no</v>
      </c>
      <c r="I885">
        <v>51</v>
      </c>
      <c r="J885">
        <v>1</v>
      </c>
      <c r="K885">
        <v>50</v>
      </c>
      <c r="L885">
        <v>0</v>
      </c>
      <c r="M885">
        <v>0</v>
      </c>
      <c r="N885">
        <v>130</v>
      </c>
      <c r="O885" t="s">
        <v>98</v>
      </c>
      <c r="P885" t="s">
        <v>41</v>
      </c>
      <c r="Q885" s="10">
        <v>72</v>
      </c>
      <c r="R885" s="10">
        <v>18</v>
      </c>
      <c r="S885" s="10">
        <v>46</v>
      </c>
      <c r="T885" s="10">
        <v>7</v>
      </c>
      <c r="U885" s="10">
        <v>0</v>
      </c>
      <c r="V885" s="10">
        <v>28</v>
      </c>
      <c r="W885" s="10">
        <v>8</v>
      </c>
    </row>
    <row r="886" spans="1:23" ht="30.75">
      <c r="A886" s="2" t="s">
        <v>1491</v>
      </c>
      <c r="B886" s="2" t="s">
        <v>1492</v>
      </c>
      <c r="C886">
        <v>1</v>
      </c>
      <c r="D886" s="5">
        <v>44183</v>
      </c>
      <c r="E886">
        <v>1494</v>
      </c>
      <c r="F886">
        <v>2</v>
      </c>
      <c r="G886">
        <v>273914335</v>
      </c>
      <c r="H886" t="str">
        <f t="shared" si="13"/>
        <v>yes</v>
      </c>
      <c r="I886">
        <v>17</v>
      </c>
      <c r="J886">
        <v>12</v>
      </c>
      <c r="K886">
        <v>15</v>
      </c>
      <c r="L886">
        <v>0</v>
      </c>
      <c r="M886">
        <v>0</v>
      </c>
      <c r="N886">
        <v>122</v>
      </c>
      <c r="P886" t="s">
        <v>26</v>
      </c>
      <c r="Q886" s="10">
        <v>70</v>
      </c>
      <c r="R886" s="10">
        <v>46</v>
      </c>
      <c r="S886" s="10">
        <v>76</v>
      </c>
      <c r="T886" s="10">
        <v>30</v>
      </c>
      <c r="U886" s="10">
        <v>0</v>
      </c>
      <c r="V886" s="10">
        <v>9</v>
      </c>
      <c r="W886" s="10">
        <v>45</v>
      </c>
    </row>
    <row r="887" spans="1:23" ht="45.75">
      <c r="A887" s="2" t="s">
        <v>1493</v>
      </c>
      <c r="B887" s="2" t="s">
        <v>1494</v>
      </c>
      <c r="C887">
        <v>1</v>
      </c>
      <c r="D887" s="5">
        <v>44778</v>
      </c>
      <c r="E887">
        <v>1379</v>
      </c>
      <c r="F887">
        <v>4</v>
      </c>
      <c r="G887">
        <v>179061440</v>
      </c>
      <c r="H887" t="str">
        <f t="shared" si="13"/>
        <v>no</v>
      </c>
      <c r="I887">
        <v>23</v>
      </c>
      <c r="J887">
        <v>10</v>
      </c>
      <c r="K887">
        <v>18</v>
      </c>
      <c r="L887">
        <v>0</v>
      </c>
      <c r="M887">
        <v>0</v>
      </c>
      <c r="N887">
        <v>172</v>
      </c>
      <c r="O887" t="s">
        <v>63</v>
      </c>
      <c r="P887" t="s">
        <v>41</v>
      </c>
      <c r="Q887" s="10">
        <v>74</v>
      </c>
      <c r="R887" s="10">
        <v>46</v>
      </c>
      <c r="S887" s="10">
        <v>58</v>
      </c>
      <c r="T887" s="10">
        <v>15</v>
      </c>
      <c r="U887" s="10">
        <v>0</v>
      </c>
      <c r="V887" s="10">
        <v>13</v>
      </c>
      <c r="W887" s="10">
        <v>8</v>
      </c>
    </row>
    <row r="888" spans="1:23" ht="30.75">
      <c r="A888" s="2" t="s">
        <v>1495</v>
      </c>
      <c r="B888" s="2" t="s">
        <v>1496</v>
      </c>
      <c r="C888">
        <v>1</v>
      </c>
      <c r="D888" s="5">
        <v>44762</v>
      </c>
      <c r="E888">
        <v>625</v>
      </c>
      <c r="F888">
        <v>4</v>
      </c>
      <c r="G888">
        <v>185236961</v>
      </c>
      <c r="H888" t="str">
        <f t="shared" si="13"/>
        <v>no</v>
      </c>
      <c r="I888">
        <v>13</v>
      </c>
      <c r="J888">
        <v>18</v>
      </c>
      <c r="K888">
        <v>12</v>
      </c>
      <c r="L888">
        <v>0</v>
      </c>
      <c r="M888">
        <v>0</v>
      </c>
      <c r="N888">
        <v>103</v>
      </c>
      <c r="O888" t="s">
        <v>63</v>
      </c>
      <c r="P888" t="s">
        <v>26</v>
      </c>
      <c r="Q888" s="10">
        <v>61</v>
      </c>
      <c r="R888" s="10">
        <v>38</v>
      </c>
      <c r="S888" s="10">
        <v>62</v>
      </c>
      <c r="T888" s="10">
        <v>14</v>
      </c>
      <c r="U888" s="10">
        <v>0</v>
      </c>
      <c r="V888" s="10">
        <v>23</v>
      </c>
      <c r="W888" s="10">
        <v>40</v>
      </c>
    </row>
    <row r="889" spans="1:23" ht="30.75">
      <c r="A889" s="2" t="s">
        <v>1497</v>
      </c>
      <c r="B889" s="2" t="s">
        <v>1498</v>
      </c>
      <c r="C889">
        <v>1</v>
      </c>
      <c r="D889" s="5">
        <v>44771</v>
      </c>
      <c r="E889">
        <v>2688</v>
      </c>
      <c r="F889">
        <v>0</v>
      </c>
      <c r="G889">
        <v>171788484</v>
      </c>
      <c r="H889" t="str">
        <f t="shared" si="13"/>
        <v>no</v>
      </c>
      <c r="I889">
        <v>39</v>
      </c>
      <c r="J889">
        <v>47</v>
      </c>
      <c r="K889">
        <v>36</v>
      </c>
      <c r="L889">
        <v>0</v>
      </c>
      <c r="M889">
        <v>0</v>
      </c>
      <c r="N889">
        <v>122</v>
      </c>
      <c r="O889" t="s">
        <v>128</v>
      </c>
      <c r="P889" t="s">
        <v>41</v>
      </c>
      <c r="Q889" s="10">
        <v>55</v>
      </c>
      <c r="R889" s="10">
        <v>46</v>
      </c>
      <c r="S889" s="10">
        <v>64</v>
      </c>
      <c r="T889" s="10">
        <v>0</v>
      </c>
      <c r="U889" s="10">
        <v>0</v>
      </c>
      <c r="V889" s="10">
        <v>17</v>
      </c>
      <c r="W889" s="10">
        <v>10</v>
      </c>
    </row>
    <row r="890" spans="1:23" ht="45.75">
      <c r="A890" s="2" t="s">
        <v>1499</v>
      </c>
      <c r="B890" s="2" t="s">
        <v>1500</v>
      </c>
      <c r="C890">
        <v>1</v>
      </c>
      <c r="D890" s="5">
        <v>43721</v>
      </c>
      <c r="E890">
        <v>2668</v>
      </c>
      <c r="F890">
        <v>2</v>
      </c>
      <c r="G890">
        <v>387080183</v>
      </c>
      <c r="H890" t="str">
        <f t="shared" si="13"/>
        <v>yes</v>
      </c>
      <c r="I890">
        <v>38</v>
      </c>
      <c r="J890">
        <v>266</v>
      </c>
      <c r="K890">
        <v>78</v>
      </c>
      <c r="L890">
        <v>0</v>
      </c>
      <c r="M890">
        <v>141</v>
      </c>
      <c r="N890">
        <v>130</v>
      </c>
      <c r="O890" t="s">
        <v>25</v>
      </c>
      <c r="P890" t="s">
        <v>26</v>
      </c>
      <c r="Q890" s="10">
        <v>47</v>
      </c>
      <c r="R890" s="10">
        <v>56</v>
      </c>
      <c r="S890" s="10">
        <v>90</v>
      </c>
      <c r="T890" s="10">
        <v>0</v>
      </c>
      <c r="U890" s="10">
        <v>0</v>
      </c>
      <c r="V890" s="10">
        <v>10</v>
      </c>
      <c r="W890" s="10">
        <v>4</v>
      </c>
    </row>
    <row r="891" spans="1:23" ht="30.75">
      <c r="A891" s="2" t="s">
        <v>1501</v>
      </c>
      <c r="B891" s="2" t="s">
        <v>1502</v>
      </c>
      <c r="C891">
        <v>1</v>
      </c>
      <c r="D891" s="5">
        <v>44774</v>
      </c>
      <c r="E891">
        <v>799</v>
      </c>
      <c r="F891">
        <v>12</v>
      </c>
      <c r="G891">
        <v>264717480</v>
      </c>
      <c r="H891" t="str">
        <f t="shared" si="13"/>
        <v>yes</v>
      </c>
      <c r="I891">
        <v>14</v>
      </c>
      <c r="J891">
        <v>141</v>
      </c>
      <c r="K891">
        <v>9</v>
      </c>
      <c r="L891">
        <v>0</v>
      </c>
      <c r="M891">
        <v>1</v>
      </c>
      <c r="N891">
        <v>105</v>
      </c>
      <c r="O891" t="s">
        <v>128</v>
      </c>
      <c r="P891" t="s">
        <v>41</v>
      </c>
      <c r="Q891" s="10">
        <v>81</v>
      </c>
      <c r="R891" s="10">
        <v>70</v>
      </c>
      <c r="S891" s="10">
        <v>65</v>
      </c>
      <c r="T891" s="10">
        <v>24</v>
      </c>
      <c r="U891" s="10">
        <v>0</v>
      </c>
      <c r="V891" s="10">
        <v>8</v>
      </c>
      <c r="W891" s="10">
        <v>4</v>
      </c>
    </row>
    <row r="892" spans="1:23">
      <c r="A892" s="2" t="s">
        <v>1503</v>
      </c>
      <c r="B892" s="2" t="s">
        <v>1504</v>
      </c>
      <c r="C892">
        <v>1</v>
      </c>
      <c r="D892" s="5">
        <v>44631</v>
      </c>
      <c r="E892">
        <v>1189</v>
      </c>
      <c r="F892">
        <v>6</v>
      </c>
      <c r="G892">
        <v>244928911</v>
      </c>
      <c r="H892" t="str">
        <f t="shared" si="13"/>
        <v>yes</v>
      </c>
      <c r="I892">
        <v>17</v>
      </c>
      <c r="J892">
        <v>10</v>
      </c>
      <c r="K892">
        <v>16</v>
      </c>
      <c r="L892">
        <v>0</v>
      </c>
      <c r="M892">
        <v>4</v>
      </c>
      <c r="N892">
        <v>120</v>
      </c>
      <c r="O892" t="s">
        <v>32</v>
      </c>
      <c r="P892" t="s">
        <v>26</v>
      </c>
      <c r="Q892" s="10">
        <v>90</v>
      </c>
      <c r="R892" s="10">
        <v>73</v>
      </c>
      <c r="S892" s="10">
        <v>51</v>
      </c>
      <c r="T892" s="10">
        <v>39</v>
      </c>
      <c r="U892" s="10">
        <v>0</v>
      </c>
      <c r="V892" s="10">
        <v>9</v>
      </c>
      <c r="W892" s="10">
        <v>6</v>
      </c>
    </row>
    <row r="893" spans="1:23" ht="60.75">
      <c r="A893" s="2" t="s">
        <v>1503</v>
      </c>
      <c r="B893" s="2" t="s">
        <v>1505</v>
      </c>
      <c r="C893">
        <v>1</v>
      </c>
      <c r="D893" s="5">
        <v>44754</v>
      </c>
      <c r="E893">
        <v>367</v>
      </c>
      <c r="F893">
        <v>0</v>
      </c>
      <c r="G893">
        <v>97610446</v>
      </c>
      <c r="H893" t="str">
        <f t="shared" si="13"/>
        <v>no</v>
      </c>
      <c r="I893">
        <v>28</v>
      </c>
      <c r="J893">
        <v>67</v>
      </c>
      <c r="K893">
        <v>195</v>
      </c>
      <c r="L893">
        <v>0</v>
      </c>
      <c r="M893">
        <v>0</v>
      </c>
      <c r="N893">
        <v>145</v>
      </c>
      <c r="O893" t="s">
        <v>72</v>
      </c>
      <c r="P893" t="s">
        <v>26</v>
      </c>
      <c r="Q893" s="10">
        <v>56</v>
      </c>
      <c r="R893" s="10">
        <v>43</v>
      </c>
      <c r="S893" s="10">
        <v>53</v>
      </c>
      <c r="T893" s="10">
        <v>24</v>
      </c>
      <c r="U893" s="10">
        <v>0</v>
      </c>
      <c r="V893" s="10">
        <v>12</v>
      </c>
      <c r="W893" s="10">
        <v>4</v>
      </c>
    </row>
    <row r="894" spans="1:23">
      <c r="A894" s="2" t="s">
        <v>1506</v>
      </c>
      <c r="B894" s="2" t="s">
        <v>1507</v>
      </c>
      <c r="C894">
        <v>2</v>
      </c>
      <c r="D894" s="5">
        <v>44764</v>
      </c>
      <c r="E894">
        <v>527</v>
      </c>
      <c r="F894">
        <v>4</v>
      </c>
      <c r="G894">
        <v>287278853</v>
      </c>
      <c r="H894" t="str">
        <f t="shared" si="13"/>
        <v>yes</v>
      </c>
      <c r="I894">
        <v>10</v>
      </c>
      <c r="J894">
        <v>43</v>
      </c>
      <c r="K894">
        <v>3</v>
      </c>
      <c r="L894">
        <v>1</v>
      </c>
      <c r="M894">
        <v>0</v>
      </c>
      <c r="N894">
        <v>99</v>
      </c>
      <c r="O894" t="s">
        <v>72</v>
      </c>
      <c r="P894" t="s">
        <v>41</v>
      </c>
      <c r="Q894" s="10">
        <v>79</v>
      </c>
      <c r="R894" s="10">
        <v>64</v>
      </c>
      <c r="S894" s="10">
        <v>59</v>
      </c>
      <c r="T894" s="10">
        <v>28</v>
      </c>
      <c r="U894" s="10">
        <v>0</v>
      </c>
      <c r="V894" s="10">
        <v>11</v>
      </c>
      <c r="W894" s="10">
        <v>14</v>
      </c>
    </row>
    <row r="895" spans="1:23">
      <c r="A895" s="2" t="s">
        <v>1508</v>
      </c>
      <c r="B895" s="2" t="s">
        <v>1509</v>
      </c>
      <c r="C895">
        <v>1</v>
      </c>
      <c r="D895" s="5">
        <v>39448</v>
      </c>
      <c r="E895">
        <v>17504</v>
      </c>
      <c r="F895">
        <v>34</v>
      </c>
      <c r="G895">
        <v>887906111</v>
      </c>
      <c r="H895" t="str">
        <f t="shared" si="13"/>
        <v>yes</v>
      </c>
      <c r="I895">
        <v>63</v>
      </c>
      <c r="J895">
        <v>39</v>
      </c>
      <c r="K895" s="1">
        <v>1315</v>
      </c>
      <c r="L895">
        <v>0</v>
      </c>
      <c r="M895">
        <v>2</v>
      </c>
      <c r="N895">
        <v>88</v>
      </c>
      <c r="O895" t="s">
        <v>128</v>
      </c>
      <c r="P895" t="s">
        <v>41</v>
      </c>
      <c r="Q895" s="10">
        <v>79</v>
      </c>
      <c r="R895" s="10">
        <v>66</v>
      </c>
      <c r="S895" s="10">
        <v>65</v>
      </c>
      <c r="T895" s="10">
        <v>5</v>
      </c>
      <c r="U895" s="10">
        <v>0</v>
      </c>
      <c r="V895" s="10">
        <v>25</v>
      </c>
      <c r="W895" s="10">
        <v>14</v>
      </c>
    </row>
    <row r="896" spans="1:23" ht="76.5">
      <c r="A896" s="2" t="s">
        <v>1510</v>
      </c>
      <c r="B896" s="2" t="s">
        <v>1511</v>
      </c>
      <c r="C896">
        <v>4</v>
      </c>
      <c r="D896" s="5">
        <v>44757</v>
      </c>
      <c r="E896">
        <v>3113</v>
      </c>
      <c r="F896">
        <v>0</v>
      </c>
      <c r="G896">
        <v>123473120</v>
      </c>
      <c r="H896" t="str">
        <f t="shared" si="13"/>
        <v>no</v>
      </c>
      <c r="I896">
        <v>54</v>
      </c>
      <c r="J896">
        <v>6</v>
      </c>
      <c r="K896">
        <v>124</v>
      </c>
      <c r="L896">
        <v>1</v>
      </c>
      <c r="M896">
        <v>0</v>
      </c>
      <c r="N896">
        <v>126</v>
      </c>
      <c r="O896" t="s">
        <v>37</v>
      </c>
      <c r="P896" t="s">
        <v>26</v>
      </c>
      <c r="Q896" s="10">
        <v>81</v>
      </c>
      <c r="R896" s="10">
        <v>90</v>
      </c>
      <c r="S896" s="10">
        <v>73</v>
      </c>
      <c r="T896" s="10">
        <v>28</v>
      </c>
      <c r="U896" s="10">
        <v>0</v>
      </c>
      <c r="V896" s="10">
        <v>29</v>
      </c>
      <c r="W896" s="10">
        <v>4</v>
      </c>
    </row>
    <row r="897" spans="1:23" ht="30.75">
      <c r="A897" s="2" t="s">
        <v>1512</v>
      </c>
      <c r="B897" s="2" t="s">
        <v>1513</v>
      </c>
      <c r="C897">
        <v>2</v>
      </c>
      <c r="D897" s="5">
        <v>44788</v>
      </c>
      <c r="E897">
        <v>685</v>
      </c>
      <c r="F897">
        <v>5</v>
      </c>
      <c r="G897">
        <v>295152154</v>
      </c>
      <c r="H897" t="str">
        <f t="shared" si="13"/>
        <v>yes</v>
      </c>
      <c r="I897">
        <v>15</v>
      </c>
      <c r="J897">
        <v>79</v>
      </c>
      <c r="K897">
        <v>4</v>
      </c>
      <c r="L897">
        <v>2</v>
      </c>
      <c r="M897">
        <v>0</v>
      </c>
      <c r="N897">
        <v>136</v>
      </c>
      <c r="P897" t="s">
        <v>26</v>
      </c>
      <c r="Q897" s="10">
        <v>77</v>
      </c>
      <c r="R897" s="10">
        <v>71</v>
      </c>
      <c r="S897" s="10">
        <v>75</v>
      </c>
      <c r="T897" s="10">
        <v>33</v>
      </c>
      <c r="U897" s="10">
        <v>1</v>
      </c>
      <c r="V897" s="10">
        <v>13</v>
      </c>
      <c r="W897" s="10">
        <v>4</v>
      </c>
    </row>
    <row r="898" spans="1:23">
      <c r="A898" s="2" t="s">
        <v>1514</v>
      </c>
      <c r="B898" s="2" t="s">
        <v>1515</v>
      </c>
      <c r="C898">
        <v>2</v>
      </c>
      <c r="D898" s="5">
        <v>44610</v>
      </c>
      <c r="E898">
        <v>782</v>
      </c>
      <c r="F898">
        <v>9</v>
      </c>
      <c r="G898">
        <v>323455692</v>
      </c>
      <c r="H898" t="str">
        <f t="shared" ref="H898:H961" si="14">IF(G898&gt;$Z$2,$Z$4,$Z$5)</f>
        <v>yes</v>
      </c>
      <c r="I898">
        <v>15</v>
      </c>
      <c r="J898">
        <v>33</v>
      </c>
      <c r="K898">
        <v>6</v>
      </c>
      <c r="L898">
        <v>1</v>
      </c>
      <c r="M898">
        <v>0</v>
      </c>
      <c r="N898">
        <v>113</v>
      </c>
      <c r="O898" t="s">
        <v>63</v>
      </c>
      <c r="P898" t="s">
        <v>26</v>
      </c>
      <c r="Q898" s="10">
        <v>70</v>
      </c>
      <c r="R898" s="10">
        <v>97</v>
      </c>
      <c r="S898" s="10">
        <v>59</v>
      </c>
      <c r="T898" s="10">
        <v>55</v>
      </c>
      <c r="U898" s="10">
        <v>0</v>
      </c>
      <c r="V898" s="10">
        <v>27</v>
      </c>
      <c r="W898" s="10">
        <v>12</v>
      </c>
    </row>
    <row r="899" spans="1:23" ht="30.75">
      <c r="A899" s="2" t="s">
        <v>1516</v>
      </c>
      <c r="B899" s="2" t="s">
        <v>1517</v>
      </c>
      <c r="C899">
        <v>3</v>
      </c>
      <c r="D899" s="5">
        <v>44728</v>
      </c>
      <c r="E899">
        <v>2442</v>
      </c>
      <c r="F899">
        <v>0</v>
      </c>
      <c r="G899">
        <v>240918092</v>
      </c>
      <c r="H899" t="str">
        <f t="shared" si="14"/>
        <v>yes</v>
      </c>
      <c r="I899">
        <v>81</v>
      </c>
      <c r="J899">
        <v>4</v>
      </c>
      <c r="K899">
        <v>248</v>
      </c>
      <c r="L899">
        <v>1</v>
      </c>
      <c r="M899">
        <v>6</v>
      </c>
      <c r="N899">
        <v>132</v>
      </c>
      <c r="O899" t="s">
        <v>25</v>
      </c>
      <c r="P899" t="s">
        <v>26</v>
      </c>
      <c r="Q899" s="10">
        <v>82</v>
      </c>
      <c r="R899" s="10">
        <v>49</v>
      </c>
      <c r="S899" s="10">
        <v>88</v>
      </c>
      <c r="T899" s="10">
        <v>20</v>
      </c>
      <c r="U899" s="10">
        <v>0</v>
      </c>
      <c r="V899" s="10">
        <v>21</v>
      </c>
      <c r="W899" s="10">
        <v>3</v>
      </c>
    </row>
    <row r="900" spans="1:23" ht="30.75">
      <c r="A900" s="2" t="s">
        <v>1518</v>
      </c>
      <c r="B900" s="2" t="s">
        <v>1519</v>
      </c>
      <c r="C900">
        <v>3</v>
      </c>
      <c r="D900" s="5">
        <v>44701</v>
      </c>
      <c r="E900">
        <v>1112</v>
      </c>
      <c r="F900">
        <v>4</v>
      </c>
      <c r="G900">
        <v>191873381</v>
      </c>
      <c r="H900" t="str">
        <f t="shared" si="14"/>
        <v>no</v>
      </c>
      <c r="I900">
        <v>22</v>
      </c>
      <c r="J900">
        <v>2</v>
      </c>
      <c r="K900">
        <v>65</v>
      </c>
      <c r="L900">
        <v>1</v>
      </c>
      <c r="M900">
        <v>3</v>
      </c>
      <c r="N900">
        <v>135</v>
      </c>
      <c r="O900" t="s">
        <v>63</v>
      </c>
      <c r="P900" t="s">
        <v>26</v>
      </c>
      <c r="Q900" s="10">
        <v>77</v>
      </c>
      <c r="R900" s="10">
        <v>74</v>
      </c>
      <c r="S900" s="10">
        <v>74</v>
      </c>
      <c r="T900" s="10">
        <v>47</v>
      </c>
      <c r="U900" s="10">
        <v>0</v>
      </c>
      <c r="V900" s="10">
        <v>34</v>
      </c>
      <c r="W900" s="10">
        <v>8</v>
      </c>
    </row>
    <row r="901" spans="1:23" ht="30.75">
      <c r="A901" s="2" t="s">
        <v>1520</v>
      </c>
      <c r="B901" s="2" t="s">
        <v>1521</v>
      </c>
      <c r="C901">
        <v>2</v>
      </c>
      <c r="D901" s="5">
        <v>43049</v>
      </c>
      <c r="E901">
        <v>4967</v>
      </c>
      <c r="F901">
        <v>0</v>
      </c>
      <c r="G901">
        <v>284216603</v>
      </c>
      <c r="H901" t="str">
        <f t="shared" si="14"/>
        <v>yes</v>
      </c>
      <c r="I901">
        <v>165</v>
      </c>
      <c r="J901">
        <v>10</v>
      </c>
      <c r="K901">
        <v>177</v>
      </c>
      <c r="L901">
        <v>4</v>
      </c>
      <c r="M901">
        <v>73</v>
      </c>
      <c r="N901">
        <v>126</v>
      </c>
      <c r="P901" t="s">
        <v>26</v>
      </c>
      <c r="Q901" s="10">
        <v>67</v>
      </c>
      <c r="R901" s="10">
        <v>49</v>
      </c>
      <c r="S901" s="10">
        <v>77</v>
      </c>
      <c r="T901" s="10">
        <v>11</v>
      </c>
      <c r="U901" s="10">
        <v>0</v>
      </c>
      <c r="V901" s="10">
        <v>19</v>
      </c>
      <c r="W901" s="10">
        <v>11</v>
      </c>
    </row>
    <row r="902" spans="1:23" ht="30.75">
      <c r="A902" s="2" t="s">
        <v>1522</v>
      </c>
      <c r="B902" s="2" t="s">
        <v>1523</v>
      </c>
      <c r="C902">
        <v>1</v>
      </c>
      <c r="D902" s="5">
        <v>44813</v>
      </c>
      <c r="E902">
        <v>2520</v>
      </c>
      <c r="F902">
        <v>4</v>
      </c>
      <c r="G902">
        <v>239411309</v>
      </c>
      <c r="H902" t="str">
        <f t="shared" si="14"/>
        <v>yes</v>
      </c>
      <c r="I902">
        <v>93</v>
      </c>
      <c r="J902">
        <v>95</v>
      </c>
      <c r="K902">
        <v>84</v>
      </c>
      <c r="L902">
        <v>9</v>
      </c>
      <c r="M902">
        <v>202</v>
      </c>
      <c r="N902">
        <v>102</v>
      </c>
      <c r="O902" t="s">
        <v>29</v>
      </c>
      <c r="P902" t="s">
        <v>41</v>
      </c>
      <c r="Q902" s="10">
        <v>67</v>
      </c>
      <c r="R902" s="10">
        <v>72</v>
      </c>
      <c r="S902" s="10">
        <v>74</v>
      </c>
      <c r="T902" s="10">
        <v>30</v>
      </c>
      <c r="U902" s="10">
        <v>0</v>
      </c>
      <c r="V902" s="10">
        <v>36</v>
      </c>
      <c r="W902" s="10">
        <v>4</v>
      </c>
    </row>
    <row r="903" spans="1:23">
      <c r="A903" s="2" t="s">
        <v>1524</v>
      </c>
      <c r="B903" s="2" t="s">
        <v>1525</v>
      </c>
      <c r="C903">
        <v>1</v>
      </c>
      <c r="D903" s="5">
        <v>44795</v>
      </c>
      <c r="E903">
        <v>767</v>
      </c>
      <c r="F903">
        <v>12</v>
      </c>
      <c r="G903">
        <v>265548837</v>
      </c>
      <c r="H903" t="str">
        <f t="shared" si="14"/>
        <v>yes</v>
      </c>
      <c r="I903">
        <v>20</v>
      </c>
      <c r="J903">
        <v>129</v>
      </c>
      <c r="K903">
        <v>11</v>
      </c>
      <c r="L903">
        <v>0</v>
      </c>
      <c r="M903">
        <v>12</v>
      </c>
      <c r="N903">
        <v>125</v>
      </c>
      <c r="P903" t="s">
        <v>26</v>
      </c>
      <c r="Q903" s="10">
        <v>68</v>
      </c>
      <c r="R903" s="10">
        <v>80</v>
      </c>
      <c r="S903" s="10">
        <v>92</v>
      </c>
      <c r="T903" s="10">
        <v>10</v>
      </c>
      <c r="U903" s="10">
        <v>0</v>
      </c>
      <c r="V903" s="10">
        <v>9</v>
      </c>
      <c r="W903" s="10">
        <v>12</v>
      </c>
    </row>
    <row r="904" spans="1:23" ht="30.75">
      <c r="A904" s="2" t="s">
        <v>1526</v>
      </c>
      <c r="B904" s="2" t="s">
        <v>1527</v>
      </c>
      <c r="C904">
        <v>1</v>
      </c>
      <c r="D904" s="5">
        <v>41275</v>
      </c>
      <c r="E904">
        <v>19806</v>
      </c>
      <c r="F904">
        <v>7</v>
      </c>
      <c r="G904">
        <v>703301727</v>
      </c>
      <c r="H904" t="str">
        <f t="shared" si="14"/>
        <v>yes</v>
      </c>
      <c r="I904">
        <v>33</v>
      </c>
      <c r="J904">
        <v>11</v>
      </c>
      <c r="K904">
        <v>274</v>
      </c>
      <c r="L904">
        <v>0</v>
      </c>
      <c r="M904">
        <v>0</v>
      </c>
      <c r="N904">
        <v>149</v>
      </c>
      <c r="O904" t="s">
        <v>29</v>
      </c>
      <c r="P904" t="s">
        <v>26</v>
      </c>
      <c r="Q904" s="10">
        <v>37</v>
      </c>
      <c r="R904" s="10">
        <v>28</v>
      </c>
      <c r="S904" s="10">
        <v>66</v>
      </c>
      <c r="T904" s="10">
        <v>14</v>
      </c>
      <c r="U904" s="10">
        <v>0</v>
      </c>
      <c r="V904" s="10">
        <v>9</v>
      </c>
      <c r="W904" s="10">
        <v>5</v>
      </c>
    </row>
    <row r="905" spans="1:23" ht="60.75">
      <c r="A905" s="2" t="s">
        <v>1528</v>
      </c>
      <c r="B905" s="2" t="s">
        <v>1529</v>
      </c>
      <c r="C905">
        <v>2</v>
      </c>
      <c r="D905" s="5">
        <v>44727</v>
      </c>
      <c r="E905">
        <v>5153</v>
      </c>
      <c r="F905">
        <v>6</v>
      </c>
      <c r="G905">
        <v>244585109</v>
      </c>
      <c r="H905" t="str">
        <f t="shared" si="14"/>
        <v>yes</v>
      </c>
      <c r="I905">
        <v>102</v>
      </c>
      <c r="J905">
        <v>53</v>
      </c>
      <c r="K905">
        <v>113</v>
      </c>
      <c r="L905">
        <v>12</v>
      </c>
      <c r="M905">
        <v>0</v>
      </c>
      <c r="N905">
        <v>137</v>
      </c>
      <c r="P905" t="s">
        <v>26</v>
      </c>
      <c r="Q905" s="10">
        <v>74</v>
      </c>
      <c r="R905" s="10">
        <v>71</v>
      </c>
      <c r="S905" s="10">
        <v>89</v>
      </c>
      <c r="T905" s="10">
        <v>24</v>
      </c>
      <c r="U905" s="10">
        <v>61</v>
      </c>
      <c r="V905" s="10">
        <v>15</v>
      </c>
      <c r="W905" s="10">
        <v>5</v>
      </c>
    </row>
    <row r="906" spans="1:23" ht="45.75">
      <c r="A906" s="2" t="s">
        <v>1530</v>
      </c>
      <c r="B906" s="2" t="s">
        <v>1531</v>
      </c>
      <c r="C906">
        <v>1</v>
      </c>
      <c r="D906" s="5">
        <v>44799</v>
      </c>
      <c r="E906">
        <v>615</v>
      </c>
      <c r="F906">
        <v>0</v>
      </c>
      <c r="G906">
        <v>189476119</v>
      </c>
      <c r="H906" t="str">
        <f t="shared" si="14"/>
        <v>no</v>
      </c>
      <c r="I906">
        <v>14</v>
      </c>
      <c r="J906">
        <v>77</v>
      </c>
      <c r="K906">
        <v>15</v>
      </c>
      <c r="L906">
        <v>1</v>
      </c>
      <c r="M906">
        <v>2</v>
      </c>
      <c r="N906">
        <v>120</v>
      </c>
      <c r="O906" t="s">
        <v>196</v>
      </c>
      <c r="P906" t="s">
        <v>41</v>
      </c>
      <c r="Q906" s="10">
        <v>77</v>
      </c>
      <c r="R906" s="10">
        <v>78</v>
      </c>
      <c r="S906" s="10">
        <v>91</v>
      </c>
      <c r="T906" s="10">
        <v>14</v>
      </c>
      <c r="U906" s="10">
        <v>0</v>
      </c>
      <c r="V906" s="10">
        <v>33</v>
      </c>
      <c r="W906" s="10">
        <v>12</v>
      </c>
    </row>
    <row r="907" spans="1:23" ht="30.75">
      <c r="A907" s="2" t="s">
        <v>1532</v>
      </c>
      <c r="B907" s="2" t="s">
        <v>1533</v>
      </c>
      <c r="C907">
        <v>1</v>
      </c>
      <c r="D907" s="5">
        <v>44581</v>
      </c>
      <c r="E907">
        <v>2537</v>
      </c>
      <c r="F907">
        <v>0</v>
      </c>
      <c r="G907">
        <v>277132266</v>
      </c>
      <c r="H907" t="str">
        <f t="shared" si="14"/>
        <v>yes</v>
      </c>
      <c r="I907">
        <v>49</v>
      </c>
      <c r="J907">
        <v>1</v>
      </c>
      <c r="K907">
        <v>67</v>
      </c>
      <c r="L907">
        <v>11</v>
      </c>
      <c r="M907">
        <v>1</v>
      </c>
      <c r="N907">
        <v>100</v>
      </c>
      <c r="O907" t="s">
        <v>29</v>
      </c>
      <c r="P907" t="s">
        <v>26</v>
      </c>
      <c r="Q907" s="10">
        <v>90</v>
      </c>
      <c r="R907" s="10">
        <v>75</v>
      </c>
      <c r="S907" s="10">
        <v>50</v>
      </c>
      <c r="T907" s="10">
        <v>11</v>
      </c>
      <c r="U907" s="10">
        <v>0</v>
      </c>
      <c r="V907" s="10">
        <v>9</v>
      </c>
      <c r="W907" s="10">
        <v>26</v>
      </c>
    </row>
    <row r="908" spans="1:23" ht="45.75">
      <c r="A908" s="2" t="s">
        <v>1534</v>
      </c>
      <c r="B908" s="2" t="s">
        <v>1535</v>
      </c>
      <c r="C908">
        <v>1</v>
      </c>
      <c r="D908" s="5">
        <v>44715</v>
      </c>
      <c r="E908">
        <v>1647</v>
      </c>
      <c r="F908">
        <v>30</v>
      </c>
      <c r="G908">
        <v>278920007</v>
      </c>
      <c r="H908" t="str">
        <f t="shared" si="14"/>
        <v>yes</v>
      </c>
      <c r="I908">
        <v>20</v>
      </c>
      <c r="J908">
        <v>49</v>
      </c>
      <c r="K908">
        <v>23</v>
      </c>
      <c r="L908">
        <v>2</v>
      </c>
      <c r="M908">
        <v>2</v>
      </c>
      <c r="N908">
        <v>164</v>
      </c>
      <c r="O908" t="s">
        <v>63</v>
      </c>
      <c r="P908" t="s">
        <v>41</v>
      </c>
      <c r="Q908" s="10">
        <v>70</v>
      </c>
      <c r="R908" s="10">
        <v>58</v>
      </c>
      <c r="S908" s="10">
        <v>57</v>
      </c>
      <c r="T908" s="10">
        <v>25</v>
      </c>
      <c r="U908" s="10">
        <v>0</v>
      </c>
      <c r="V908" s="10">
        <v>15</v>
      </c>
      <c r="W908" s="10">
        <v>7</v>
      </c>
    </row>
    <row r="909" spans="1:23" ht="45.75">
      <c r="A909" s="2" t="s">
        <v>1536</v>
      </c>
      <c r="B909" s="2" t="s">
        <v>1537</v>
      </c>
      <c r="C909">
        <v>1</v>
      </c>
      <c r="D909" s="5">
        <v>44722</v>
      </c>
      <c r="E909">
        <v>2019</v>
      </c>
      <c r="F909">
        <v>8</v>
      </c>
      <c r="G909">
        <v>222410722</v>
      </c>
      <c r="H909" t="str">
        <f t="shared" si="14"/>
        <v>yes</v>
      </c>
      <c r="I909">
        <v>117</v>
      </c>
      <c r="J909">
        <v>72</v>
      </c>
      <c r="K909">
        <v>107</v>
      </c>
      <c r="L909">
        <v>1</v>
      </c>
      <c r="M909">
        <v>7</v>
      </c>
      <c r="N909">
        <v>93</v>
      </c>
      <c r="O909" t="s">
        <v>128</v>
      </c>
      <c r="P909" t="s">
        <v>41</v>
      </c>
      <c r="Q909" s="10">
        <v>65</v>
      </c>
      <c r="R909" s="10">
        <v>79</v>
      </c>
      <c r="S909" s="10">
        <v>66</v>
      </c>
      <c r="T909" s="10">
        <v>31</v>
      </c>
      <c r="U909" s="10">
        <v>0</v>
      </c>
      <c r="V909" s="10">
        <v>22</v>
      </c>
      <c r="W909" s="10">
        <v>7</v>
      </c>
    </row>
    <row r="910" spans="1:23">
      <c r="A910" s="2" t="s">
        <v>1538</v>
      </c>
      <c r="B910" s="2" t="s">
        <v>1539</v>
      </c>
      <c r="C910">
        <v>1</v>
      </c>
      <c r="D910" s="5">
        <v>44817</v>
      </c>
      <c r="E910">
        <v>1473</v>
      </c>
      <c r="F910">
        <v>12</v>
      </c>
      <c r="G910">
        <v>185392587</v>
      </c>
      <c r="H910" t="str">
        <f t="shared" si="14"/>
        <v>no</v>
      </c>
      <c r="I910">
        <v>25</v>
      </c>
      <c r="J910">
        <v>36</v>
      </c>
      <c r="K910">
        <v>25</v>
      </c>
      <c r="L910">
        <v>1</v>
      </c>
      <c r="M910">
        <v>0</v>
      </c>
      <c r="N910">
        <v>180</v>
      </c>
      <c r="O910" t="s">
        <v>29</v>
      </c>
      <c r="P910" t="s">
        <v>41</v>
      </c>
      <c r="Q910" s="10">
        <v>65</v>
      </c>
      <c r="R910" s="10">
        <v>52</v>
      </c>
      <c r="S910" s="10">
        <v>80</v>
      </c>
      <c r="T910" s="10">
        <v>5</v>
      </c>
      <c r="U910" s="10">
        <v>0</v>
      </c>
      <c r="V910" s="10">
        <v>6</v>
      </c>
      <c r="W910" s="10">
        <v>25</v>
      </c>
    </row>
    <row r="911" spans="1:23">
      <c r="A911" s="2" t="s">
        <v>1540</v>
      </c>
      <c r="B911" s="2" t="s">
        <v>1541</v>
      </c>
      <c r="C911">
        <v>1</v>
      </c>
      <c r="D911" s="5">
        <v>44757</v>
      </c>
      <c r="E911">
        <v>1613</v>
      </c>
      <c r="F911">
        <v>0</v>
      </c>
      <c r="G911">
        <v>202452860</v>
      </c>
      <c r="H911" t="str">
        <f t="shared" si="14"/>
        <v>yes</v>
      </c>
      <c r="I911">
        <v>21</v>
      </c>
      <c r="J911">
        <v>15</v>
      </c>
      <c r="K911">
        <v>13</v>
      </c>
      <c r="L911">
        <v>0</v>
      </c>
      <c r="M911">
        <v>0</v>
      </c>
      <c r="N911">
        <v>79</v>
      </c>
      <c r="O911" t="s">
        <v>29</v>
      </c>
      <c r="P911" t="s">
        <v>26</v>
      </c>
      <c r="Q911" s="10">
        <v>34</v>
      </c>
      <c r="R911" s="10">
        <v>22</v>
      </c>
      <c r="S911" s="10">
        <v>31</v>
      </c>
      <c r="T911" s="10">
        <v>43</v>
      </c>
      <c r="U911" s="10">
        <v>63</v>
      </c>
      <c r="V911" s="10">
        <v>10</v>
      </c>
      <c r="W911" s="10">
        <v>7</v>
      </c>
    </row>
    <row r="912" spans="1:23">
      <c r="A912" s="2" t="s">
        <v>1540</v>
      </c>
      <c r="B912" s="2" t="s">
        <v>1542</v>
      </c>
      <c r="C912">
        <v>1</v>
      </c>
      <c r="D912" s="5">
        <v>37473</v>
      </c>
      <c r="E912">
        <v>30992</v>
      </c>
      <c r="F912">
        <v>6</v>
      </c>
      <c r="G912">
        <v>1608164312</v>
      </c>
      <c r="H912" t="str">
        <f t="shared" si="14"/>
        <v>yes</v>
      </c>
      <c r="I912">
        <v>124</v>
      </c>
      <c r="J912">
        <v>25</v>
      </c>
      <c r="K912" s="1">
        <v>7827</v>
      </c>
      <c r="L912">
        <v>1</v>
      </c>
      <c r="M912">
        <v>0</v>
      </c>
      <c r="N912">
        <v>146</v>
      </c>
      <c r="O912" t="s">
        <v>32</v>
      </c>
      <c r="P912" t="s">
        <v>26</v>
      </c>
      <c r="Q912" s="10">
        <v>56</v>
      </c>
      <c r="R912" s="10">
        <v>21</v>
      </c>
      <c r="S912" s="10">
        <v>44</v>
      </c>
      <c r="T912" s="10">
        <v>73</v>
      </c>
      <c r="U912" s="10">
        <v>0</v>
      </c>
      <c r="V912" s="10">
        <v>11</v>
      </c>
      <c r="W912" s="10">
        <v>2</v>
      </c>
    </row>
    <row r="913" spans="1:23">
      <c r="A913" s="2" t="s">
        <v>1543</v>
      </c>
      <c r="B913" s="2" t="s">
        <v>1544</v>
      </c>
      <c r="C913">
        <v>1</v>
      </c>
      <c r="D913" s="5">
        <v>36717</v>
      </c>
      <c r="E913">
        <v>10826</v>
      </c>
      <c r="F913">
        <v>4</v>
      </c>
      <c r="G913">
        <v>624101957</v>
      </c>
      <c r="H913" t="str">
        <f t="shared" si="14"/>
        <v>yes</v>
      </c>
      <c r="I913">
        <v>24</v>
      </c>
      <c r="J913">
        <v>0</v>
      </c>
      <c r="K913">
        <v>805</v>
      </c>
      <c r="L913">
        <v>0</v>
      </c>
      <c r="M913">
        <v>0</v>
      </c>
      <c r="N913">
        <v>103</v>
      </c>
      <c r="O913" t="s">
        <v>29</v>
      </c>
      <c r="P913" t="s">
        <v>26</v>
      </c>
      <c r="Q913" s="10">
        <v>37</v>
      </c>
      <c r="R913" s="10">
        <v>17</v>
      </c>
      <c r="S913" s="10">
        <v>27</v>
      </c>
      <c r="T913" s="10">
        <v>75</v>
      </c>
      <c r="U913" s="10">
        <v>5</v>
      </c>
      <c r="V913" s="10">
        <v>10</v>
      </c>
      <c r="W913" s="10">
        <v>3</v>
      </c>
    </row>
    <row r="914" spans="1:23">
      <c r="A914" s="2" t="s">
        <v>1545</v>
      </c>
      <c r="B914" s="2" t="s">
        <v>1546</v>
      </c>
      <c r="C914">
        <v>1</v>
      </c>
      <c r="D914" s="5">
        <v>44806</v>
      </c>
      <c r="E914">
        <v>920</v>
      </c>
      <c r="F914">
        <v>0</v>
      </c>
      <c r="G914">
        <v>148461629</v>
      </c>
      <c r="H914" t="str">
        <f t="shared" si="14"/>
        <v>no</v>
      </c>
      <c r="I914">
        <v>10</v>
      </c>
      <c r="J914">
        <v>1</v>
      </c>
      <c r="K914">
        <v>8</v>
      </c>
      <c r="L914">
        <v>0</v>
      </c>
      <c r="M914">
        <v>0</v>
      </c>
      <c r="N914">
        <v>140</v>
      </c>
      <c r="O914" t="s">
        <v>98</v>
      </c>
      <c r="P914" t="s">
        <v>41</v>
      </c>
      <c r="Q914" s="10">
        <v>70</v>
      </c>
      <c r="R914" s="10">
        <v>26</v>
      </c>
      <c r="S914" s="10">
        <v>76</v>
      </c>
      <c r="T914" s="10">
        <v>8</v>
      </c>
      <c r="U914" s="10">
        <v>0</v>
      </c>
      <c r="V914" s="10">
        <v>54</v>
      </c>
      <c r="W914" s="10">
        <v>23</v>
      </c>
    </row>
    <row r="915" spans="1:23" ht="30.75">
      <c r="A915" s="2" t="s">
        <v>1547</v>
      </c>
      <c r="B915" s="2" t="s">
        <v>1548</v>
      </c>
      <c r="C915">
        <v>2</v>
      </c>
      <c r="D915" s="5">
        <v>44817</v>
      </c>
      <c r="E915">
        <v>308</v>
      </c>
      <c r="F915">
        <v>0</v>
      </c>
      <c r="G915">
        <v>47093942</v>
      </c>
      <c r="H915" t="str">
        <f t="shared" si="14"/>
        <v>no</v>
      </c>
      <c r="I915">
        <v>6</v>
      </c>
      <c r="J915">
        <v>1</v>
      </c>
      <c r="K915">
        <v>6</v>
      </c>
      <c r="L915">
        <v>0</v>
      </c>
      <c r="M915">
        <v>0</v>
      </c>
      <c r="N915">
        <v>92</v>
      </c>
      <c r="O915" t="s">
        <v>128</v>
      </c>
      <c r="P915" t="s">
        <v>26</v>
      </c>
      <c r="Q915" s="10">
        <v>81</v>
      </c>
      <c r="R915" s="10">
        <v>48</v>
      </c>
      <c r="S915" s="10">
        <v>70</v>
      </c>
      <c r="T915" s="10">
        <v>13</v>
      </c>
      <c r="U915" s="10">
        <v>0</v>
      </c>
      <c r="V915" s="10">
        <v>15</v>
      </c>
      <c r="W915" s="10">
        <v>7</v>
      </c>
    </row>
    <row r="916" spans="1:23">
      <c r="A916" s="2" t="s">
        <v>1549</v>
      </c>
      <c r="B916" s="2" t="s">
        <v>1550</v>
      </c>
      <c r="C916">
        <v>1</v>
      </c>
      <c r="D916" s="5">
        <v>42544</v>
      </c>
      <c r="E916">
        <v>2468</v>
      </c>
      <c r="F916">
        <v>0</v>
      </c>
      <c r="G916">
        <v>380319238</v>
      </c>
      <c r="H916" t="str">
        <f t="shared" si="14"/>
        <v>yes</v>
      </c>
      <c r="I916">
        <v>15</v>
      </c>
      <c r="J916">
        <v>0</v>
      </c>
      <c r="K916">
        <v>0</v>
      </c>
      <c r="L916">
        <v>0</v>
      </c>
      <c r="M916">
        <v>0</v>
      </c>
      <c r="N916">
        <v>102</v>
      </c>
      <c r="O916" t="s">
        <v>29</v>
      </c>
      <c r="P916" t="s">
        <v>41</v>
      </c>
      <c r="Q916" s="10">
        <v>64</v>
      </c>
      <c r="R916" s="10">
        <v>4</v>
      </c>
      <c r="S916" s="10">
        <v>60</v>
      </c>
      <c r="T916" s="10">
        <v>11</v>
      </c>
      <c r="U916" s="10">
        <v>0</v>
      </c>
      <c r="V916" s="10">
        <v>19</v>
      </c>
      <c r="W916" s="10">
        <v>4</v>
      </c>
    </row>
    <row r="917" spans="1:23">
      <c r="A917" s="2" t="s">
        <v>1551</v>
      </c>
      <c r="B917" s="2" t="s">
        <v>1552</v>
      </c>
      <c r="C917">
        <v>2</v>
      </c>
      <c r="D917" s="5">
        <v>44764</v>
      </c>
      <c r="E917">
        <v>1097</v>
      </c>
      <c r="F917">
        <v>2</v>
      </c>
      <c r="G917">
        <v>209106362</v>
      </c>
      <c r="H917" t="str">
        <f t="shared" si="14"/>
        <v>yes</v>
      </c>
      <c r="I917">
        <v>18</v>
      </c>
      <c r="J917">
        <v>10</v>
      </c>
      <c r="K917">
        <v>13</v>
      </c>
      <c r="L917">
        <v>1</v>
      </c>
      <c r="M917">
        <v>1</v>
      </c>
      <c r="N917">
        <v>118</v>
      </c>
      <c r="O917" t="s">
        <v>25</v>
      </c>
      <c r="P917" t="s">
        <v>41</v>
      </c>
      <c r="Q917" s="10">
        <v>82</v>
      </c>
      <c r="R917" s="10">
        <v>75</v>
      </c>
      <c r="S917" s="10">
        <v>85</v>
      </c>
      <c r="T917" s="10">
        <v>33</v>
      </c>
      <c r="U917" s="10">
        <v>1</v>
      </c>
      <c r="V917" s="10">
        <v>11</v>
      </c>
      <c r="W917" s="10">
        <v>4</v>
      </c>
    </row>
    <row r="918" spans="1:23">
      <c r="A918" s="2" t="s">
        <v>1551</v>
      </c>
      <c r="B918" s="2" t="s">
        <v>1553</v>
      </c>
      <c r="C918">
        <v>1</v>
      </c>
      <c r="D918" s="5">
        <v>44817</v>
      </c>
      <c r="E918">
        <v>330</v>
      </c>
      <c r="F918">
        <v>0</v>
      </c>
      <c r="G918">
        <v>53987404</v>
      </c>
      <c r="H918" t="str">
        <f t="shared" si="14"/>
        <v>no</v>
      </c>
      <c r="I918">
        <v>3</v>
      </c>
      <c r="J918">
        <v>0</v>
      </c>
      <c r="K918">
        <v>2</v>
      </c>
      <c r="L918">
        <v>0</v>
      </c>
      <c r="M918">
        <v>0</v>
      </c>
      <c r="N918">
        <v>93</v>
      </c>
      <c r="O918" t="s">
        <v>51</v>
      </c>
      <c r="P918" t="s">
        <v>26</v>
      </c>
      <c r="Q918" s="10">
        <v>78</v>
      </c>
      <c r="R918" s="10">
        <v>75</v>
      </c>
      <c r="S918" s="10">
        <v>62</v>
      </c>
      <c r="T918" s="10">
        <v>6</v>
      </c>
      <c r="U918" s="10">
        <v>0</v>
      </c>
      <c r="V918" s="10">
        <v>15</v>
      </c>
      <c r="W918" s="10">
        <v>6</v>
      </c>
    </row>
    <row r="919" spans="1:23" ht="30.75">
      <c r="A919" s="2" t="s">
        <v>1554</v>
      </c>
      <c r="B919" s="2" t="s">
        <v>1555</v>
      </c>
      <c r="C919">
        <v>1</v>
      </c>
      <c r="D919" s="5">
        <v>44735</v>
      </c>
      <c r="E919">
        <v>1584</v>
      </c>
      <c r="F919">
        <v>0</v>
      </c>
      <c r="G919">
        <v>115331792</v>
      </c>
      <c r="H919" t="str">
        <f t="shared" si="14"/>
        <v>no</v>
      </c>
      <c r="I919">
        <v>38</v>
      </c>
      <c r="J919">
        <v>0</v>
      </c>
      <c r="K919">
        <v>24</v>
      </c>
      <c r="L919">
        <v>0</v>
      </c>
      <c r="M919">
        <v>0</v>
      </c>
      <c r="N919">
        <v>150</v>
      </c>
      <c r="O919" t="s">
        <v>32</v>
      </c>
      <c r="P919" t="s">
        <v>41</v>
      </c>
      <c r="Q919" s="10">
        <v>70</v>
      </c>
      <c r="R919" s="10">
        <v>26</v>
      </c>
      <c r="S919" s="10">
        <v>56</v>
      </c>
      <c r="T919" s="10">
        <v>14</v>
      </c>
      <c r="U919" s="10">
        <v>83</v>
      </c>
      <c r="V919" s="10">
        <v>11</v>
      </c>
      <c r="W919" s="10">
        <v>5</v>
      </c>
    </row>
    <row r="920" spans="1:23" ht="30.75">
      <c r="A920" s="2" t="s">
        <v>1556</v>
      </c>
      <c r="B920" s="2" t="s">
        <v>1557</v>
      </c>
      <c r="C920">
        <v>1</v>
      </c>
      <c r="D920" s="5">
        <v>44841</v>
      </c>
      <c r="E920">
        <v>1585</v>
      </c>
      <c r="F920">
        <v>5</v>
      </c>
      <c r="G920">
        <v>225093344</v>
      </c>
      <c r="H920" t="str">
        <f t="shared" si="14"/>
        <v>yes</v>
      </c>
      <c r="I920">
        <v>78</v>
      </c>
      <c r="J920">
        <v>65</v>
      </c>
      <c r="K920">
        <v>328</v>
      </c>
      <c r="L920">
        <v>1</v>
      </c>
      <c r="M920">
        <v>198</v>
      </c>
      <c r="N920">
        <v>130</v>
      </c>
      <c r="O920" t="s">
        <v>51</v>
      </c>
      <c r="P920" t="s">
        <v>26</v>
      </c>
      <c r="Q920" s="10">
        <v>52</v>
      </c>
      <c r="R920" s="10">
        <v>24</v>
      </c>
      <c r="S920" s="10">
        <v>60</v>
      </c>
      <c r="T920" s="10">
        <v>0</v>
      </c>
      <c r="U920" s="10">
        <v>0</v>
      </c>
      <c r="V920" s="10">
        <v>8</v>
      </c>
      <c r="W920" s="10">
        <v>3</v>
      </c>
    </row>
    <row r="921" spans="1:23">
      <c r="A921" s="2" t="s">
        <v>1558</v>
      </c>
      <c r="B921" s="2" t="s">
        <v>1559</v>
      </c>
      <c r="C921">
        <v>2</v>
      </c>
      <c r="D921" s="5">
        <v>44848</v>
      </c>
      <c r="E921">
        <v>766</v>
      </c>
      <c r="F921">
        <v>0</v>
      </c>
      <c r="G921">
        <v>84697729</v>
      </c>
      <c r="H921" t="str">
        <f t="shared" si="14"/>
        <v>no</v>
      </c>
      <c r="I921">
        <v>16</v>
      </c>
      <c r="J921">
        <v>0</v>
      </c>
      <c r="K921">
        <v>9</v>
      </c>
      <c r="L921">
        <v>0</v>
      </c>
      <c r="M921">
        <v>0</v>
      </c>
      <c r="N921">
        <v>83</v>
      </c>
      <c r="O921" t="s">
        <v>196</v>
      </c>
      <c r="P921" t="s">
        <v>41</v>
      </c>
      <c r="Q921" s="10">
        <v>65</v>
      </c>
      <c r="R921" s="10">
        <v>24</v>
      </c>
      <c r="S921" s="10">
        <v>53</v>
      </c>
      <c r="T921" s="10">
        <v>6</v>
      </c>
      <c r="U921" s="10">
        <v>0</v>
      </c>
      <c r="V921" s="10">
        <v>51</v>
      </c>
      <c r="W921" s="10">
        <v>4</v>
      </c>
    </row>
    <row r="922" spans="1:23">
      <c r="A922" s="2" t="s">
        <v>1558</v>
      </c>
      <c r="B922" s="2" t="s">
        <v>1560</v>
      </c>
      <c r="C922">
        <v>4</v>
      </c>
      <c r="D922" s="5">
        <v>44791</v>
      </c>
      <c r="E922">
        <v>836</v>
      </c>
      <c r="F922">
        <v>0</v>
      </c>
      <c r="G922">
        <v>159240673</v>
      </c>
      <c r="H922" t="str">
        <f t="shared" si="14"/>
        <v>no</v>
      </c>
      <c r="I922">
        <v>14</v>
      </c>
      <c r="J922">
        <v>1</v>
      </c>
      <c r="K922">
        <v>13</v>
      </c>
      <c r="L922">
        <v>0</v>
      </c>
      <c r="M922">
        <v>0</v>
      </c>
      <c r="N922">
        <v>102</v>
      </c>
      <c r="O922" t="s">
        <v>37</v>
      </c>
      <c r="P922" t="s">
        <v>26</v>
      </c>
      <c r="Q922" s="10">
        <v>84</v>
      </c>
      <c r="R922" s="10">
        <v>43</v>
      </c>
      <c r="S922" s="10">
        <v>75</v>
      </c>
      <c r="T922" s="10">
        <v>5</v>
      </c>
      <c r="U922" s="10">
        <v>0</v>
      </c>
      <c r="V922" s="10">
        <v>6</v>
      </c>
      <c r="W922" s="10">
        <v>8</v>
      </c>
    </row>
    <row r="923" spans="1:23">
      <c r="A923" s="2" t="s">
        <v>1558</v>
      </c>
      <c r="B923" s="2" t="s">
        <v>1561</v>
      </c>
      <c r="C923">
        <v>1</v>
      </c>
      <c r="D923" s="5">
        <v>44851</v>
      </c>
      <c r="E923">
        <v>430</v>
      </c>
      <c r="F923">
        <v>6</v>
      </c>
      <c r="G923">
        <v>170709584</v>
      </c>
      <c r="H923" t="str">
        <f t="shared" si="14"/>
        <v>no</v>
      </c>
      <c r="I923">
        <v>14</v>
      </c>
      <c r="J923">
        <v>116</v>
      </c>
      <c r="K923">
        <v>9</v>
      </c>
      <c r="L923">
        <v>0</v>
      </c>
      <c r="M923">
        <v>11</v>
      </c>
      <c r="N923">
        <v>136</v>
      </c>
      <c r="O923" t="s">
        <v>98</v>
      </c>
      <c r="P923" t="s">
        <v>41</v>
      </c>
      <c r="Q923" s="10">
        <v>73</v>
      </c>
      <c r="R923" s="10">
        <v>65</v>
      </c>
      <c r="S923" s="10">
        <v>91</v>
      </c>
      <c r="T923" s="10">
        <v>4</v>
      </c>
      <c r="U923" s="10">
        <v>0</v>
      </c>
      <c r="V923" s="10">
        <v>48</v>
      </c>
      <c r="W923" s="10">
        <v>18</v>
      </c>
    </row>
    <row r="924" spans="1:23" ht="45.75">
      <c r="A924" s="2" t="s">
        <v>1562</v>
      </c>
      <c r="B924" s="2" t="s">
        <v>598</v>
      </c>
      <c r="C924">
        <v>1</v>
      </c>
      <c r="D924" s="5">
        <v>30087</v>
      </c>
      <c r="E924">
        <v>2020</v>
      </c>
      <c r="F924">
        <v>0</v>
      </c>
      <c r="G924">
        <v>154356956</v>
      </c>
      <c r="H924" t="str">
        <f t="shared" si="14"/>
        <v>no</v>
      </c>
      <c r="I924">
        <v>77</v>
      </c>
      <c r="J924">
        <v>10</v>
      </c>
      <c r="K924">
        <v>119</v>
      </c>
      <c r="L924">
        <v>0</v>
      </c>
      <c r="M924">
        <v>40</v>
      </c>
      <c r="N924">
        <v>145</v>
      </c>
      <c r="O924" t="s">
        <v>37</v>
      </c>
      <c r="P924" t="s">
        <v>26</v>
      </c>
      <c r="Q924" s="10">
        <v>66</v>
      </c>
      <c r="R924" s="10">
        <v>24</v>
      </c>
      <c r="S924" s="10">
        <v>58</v>
      </c>
      <c r="T924" s="10">
        <v>17</v>
      </c>
      <c r="U924" s="10">
        <v>0</v>
      </c>
      <c r="V924" s="10">
        <v>19</v>
      </c>
      <c r="W924" s="10">
        <v>5</v>
      </c>
    </row>
    <row r="925" spans="1:23" ht="30.75">
      <c r="A925" s="2" t="s">
        <v>1563</v>
      </c>
      <c r="B925" s="2" t="s">
        <v>1564</v>
      </c>
      <c r="C925">
        <v>1</v>
      </c>
      <c r="D925" s="5">
        <v>43425</v>
      </c>
      <c r="E925">
        <v>6858</v>
      </c>
      <c r="F925">
        <v>0</v>
      </c>
      <c r="G925">
        <v>723043854</v>
      </c>
      <c r="H925" t="str">
        <f t="shared" si="14"/>
        <v>yes</v>
      </c>
      <c r="I925">
        <v>31</v>
      </c>
      <c r="J925">
        <v>21</v>
      </c>
      <c r="K925">
        <v>15</v>
      </c>
      <c r="L925">
        <v>0</v>
      </c>
      <c r="M925">
        <v>4</v>
      </c>
      <c r="N925">
        <v>130</v>
      </c>
      <c r="O925" t="s">
        <v>72</v>
      </c>
      <c r="P925" t="s">
        <v>26</v>
      </c>
      <c r="Q925" s="10">
        <v>57</v>
      </c>
      <c r="R925" s="10">
        <v>24</v>
      </c>
      <c r="S925" s="10">
        <v>37</v>
      </c>
      <c r="T925" s="10">
        <v>11</v>
      </c>
      <c r="U925" s="10">
        <v>18</v>
      </c>
      <c r="V925" s="10">
        <v>16</v>
      </c>
      <c r="W925" s="10">
        <v>3</v>
      </c>
    </row>
    <row r="926" spans="1:23" ht="30.75">
      <c r="A926" s="2" t="s">
        <v>1565</v>
      </c>
      <c r="B926" s="2" t="s">
        <v>1566</v>
      </c>
      <c r="C926">
        <v>1</v>
      </c>
      <c r="D926" s="5">
        <v>44756</v>
      </c>
      <c r="E926">
        <v>3682</v>
      </c>
      <c r="F926">
        <v>6</v>
      </c>
      <c r="G926">
        <v>247689123</v>
      </c>
      <c r="H926" t="str">
        <f t="shared" si="14"/>
        <v>yes</v>
      </c>
      <c r="I926">
        <v>41</v>
      </c>
      <c r="J926">
        <v>0</v>
      </c>
      <c r="K926">
        <v>158</v>
      </c>
      <c r="L926">
        <v>2</v>
      </c>
      <c r="M926">
        <v>68</v>
      </c>
      <c r="N926">
        <v>156</v>
      </c>
      <c r="O926" t="s">
        <v>72</v>
      </c>
      <c r="P926" t="s">
        <v>26</v>
      </c>
      <c r="Q926" s="10">
        <v>72</v>
      </c>
      <c r="R926" s="10">
        <v>92</v>
      </c>
      <c r="S926" s="10">
        <v>77</v>
      </c>
      <c r="T926" s="10">
        <v>9</v>
      </c>
      <c r="U926" s="10">
        <v>0</v>
      </c>
      <c r="V926" s="10">
        <v>8</v>
      </c>
      <c r="W926" s="10">
        <v>11</v>
      </c>
    </row>
    <row r="927" spans="1:23">
      <c r="A927" s="2" t="s">
        <v>1567</v>
      </c>
      <c r="B927" s="2" t="s">
        <v>1568</v>
      </c>
      <c r="C927">
        <v>1</v>
      </c>
      <c r="D927" s="5">
        <v>44833</v>
      </c>
      <c r="E927">
        <v>1639</v>
      </c>
      <c r="F927">
        <v>0</v>
      </c>
      <c r="G927">
        <v>176474912</v>
      </c>
      <c r="H927" t="str">
        <f t="shared" si="14"/>
        <v>no</v>
      </c>
      <c r="I927">
        <v>86</v>
      </c>
      <c r="J927">
        <v>14</v>
      </c>
      <c r="K927">
        <v>80</v>
      </c>
      <c r="L927">
        <v>0</v>
      </c>
      <c r="M927">
        <v>37</v>
      </c>
      <c r="N927">
        <v>123</v>
      </c>
      <c r="O927" t="s">
        <v>51</v>
      </c>
      <c r="P927" t="s">
        <v>26</v>
      </c>
      <c r="Q927" s="10">
        <v>57</v>
      </c>
      <c r="R927" s="10">
        <v>50</v>
      </c>
      <c r="S927" s="10">
        <v>85</v>
      </c>
      <c r="T927" s="10">
        <v>5</v>
      </c>
      <c r="U927" s="10">
        <v>0</v>
      </c>
      <c r="V927" s="10">
        <v>16</v>
      </c>
      <c r="W927" s="10">
        <v>4</v>
      </c>
    </row>
    <row r="928" spans="1:23" ht="45.75">
      <c r="A928" s="2" t="s">
        <v>1569</v>
      </c>
      <c r="B928" s="2" t="s">
        <v>1570</v>
      </c>
      <c r="C928">
        <v>1</v>
      </c>
      <c r="D928" s="5">
        <v>44820</v>
      </c>
      <c r="E928">
        <v>452</v>
      </c>
      <c r="F928">
        <v>10</v>
      </c>
      <c r="G928">
        <v>235549288</v>
      </c>
      <c r="H928" t="str">
        <f t="shared" si="14"/>
        <v>yes</v>
      </c>
      <c r="I928">
        <v>2</v>
      </c>
      <c r="J928">
        <v>129</v>
      </c>
      <c r="K928">
        <v>13</v>
      </c>
      <c r="L928">
        <v>0</v>
      </c>
      <c r="M928">
        <v>1</v>
      </c>
      <c r="N928">
        <v>132</v>
      </c>
      <c r="O928" t="s">
        <v>72</v>
      </c>
      <c r="P928" t="s">
        <v>26</v>
      </c>
      <c r="Q928" s="10">
        <v>92</v>
      </c>
      <c r="R928" s="10">
        <v>53</v>
      </c>
      <c r="S928" s="10">
        <v>62</v>
      </c>
      <c r="T928" s="10">
        <v>7</v>
      </c>
      <c r="U928" s="10">
        <v>0</v>
      </c>
      <c r="V928" s="10">
        <v>63</v>
      </c>
      <c r="W928" s="10">
        <v>10</v>
      </c>
    </row>
    <row r="929" spans="1:23" ht="45.75">
      <c r="A929" s="2" t="s">
        <v>1571</v>
      </c>
      <c r="B929" s="2" t="s">
        <v>1572</v>
      </c>
      <c r="C929">
        <v>2</v>
      </c>
      <c r="D929" s="5">
        <v>44183</v>
      </c>
      <c r="E929">
        <v>668</v>
      </c>
      <c r="F929">
        <v>1</v>
      </c>
      <c r="G929">
        <v>140430339</v>
      </c>
      <c r="H929" t="str">
        <f t="shared" si="14"/>
        <v>no</v>
      </c>
      <c r="I929">
        <v>0</v>
      </c>
      <c r="J929">
        <v>0</v>
      </c>
      <c r="K929">
        <v>31</v>
      </c>
      <c r="L929">
        <v>0</v>
      </c>
      <c r="N929">
        <v>125</v>
      </c>
      <c r="O929" t="s">
        <v>196</v>
      </c>
      <c r="P929" t="s">
        <v>41</v>
      </c>
      <c r="Q929" s="10">
        <v>49</v>
      </c>
      <c r="R929" s="10">
        <v>13</v>
      </c>
      <c r="S929" s="10">
        <v>74</v>
      </c>
      <c r="T929" s="10">
        <v>0</v>
      </c>
      <c r="U929" s="10">
        <v>0</v>
      </c>
      <c r="V929" s="10">
        <v>9</v>
      </c>
      <c r="W929" s="10">
        <v>4</v>
      </c>
    </row>
    <row r="930" spans="1:23" ht="106.5">
      <c r="A930" s="2" t="s">
        <v>1573</v>
      </c>
      <c r="B930" s="2" t="s">
        <v>1574</v>
      </c>
      <c r="C930">
        <v>1</v>
      </c>
      <c r="D930" s="5">
        <v>44848</v>
      </c>
      <c r="E930">
        <v>991</v>
      </c>
      <c r="F930">
        <v>0</v>
      </c>
      <c r="G930">
        <v>85559365</v>
      </c>
      <c r="H930" t="str">
        <f t="shared" si="14"/>
        <v>no</v>
      </c>
      <c r="I930">
        <v>36</v>
      </c>
      <c r="J930">
        <v>38</v>
      </c>
      <c r="K930">
        <v>13</v>
      </c>
      <c r="L930">
        <v>0</v>
      </c>
      <c r="M930">
        <v>3</v>
      </c>
      <c r="N930">
        <v>162</v>
      </c>
      <c r="O930" t="s">
        <v>32</v>
      </c>
      <c r="P930" t="s">
        <v>41</v>
      </c>
      <c r="Q930" s="10">
        <v>74</v>
      </c>
      <c r="R930" s="10">
        <v>22</v>
      </c>
      <c r="S930" s="10">
        <v>67</v>
      </c>
      <c r="T930" s="10">
        <v>0</v>
      </c>
      <c r="U930" s="10">
        <v>0</v>
      </c>
      <c r="V930" s="10">
        <v>11</v>
      </c>
      <c r="W930" s="10">
        <v>46</v>
      </c>
    </row>
    <row r="931" spans="1:23" ht="30.75">
      <c r="A931" s="2" t="s">
        <v>1575</v>
      </c>
      <c r="B931" s="2" t="s">
        <v>1576</v>
      </c>
      <c r="C931">
        <v>3</v>
      </c>
      <c r="D931" s="5">
        <v>44826</v>
      </c>
      <c r="E931">
        <v>869</v>
      </c>
      <c r="F931">
        <v>7</v>
      </c>
      <c r="G931">
        <v>146223492</v>
      </c>
      <c r="H931" t="str">
        <f t="shared" si="14"/>
        <v>no</v>
      </c>
      <c r="I931">
        <v>14</v>
      </c>
      <c r="J931">
        <v>12</v>
      </c>
      <c r="K931">
        <v>12</v>
      </c>
      <c r="L931">
        <v>2</v>
      </c>
      <c r="M931">
        <v>28</v>
      </c>
      <c r="N931">
        <v>138</v>
      </c>
      <c r="O931" t="s">
        <v>128</v>
      </c>
      <c r="P931" t="s">
        <v>26</v>
      </c>
      <c r="Q931" s="10">
        <v>80</v>
      </c>
      <c r="R931" s="10">
        <v>82</v>
      </c>
      <c r="S931" s="10">
        <v>81</v>
      </c>
      <c r="T931" s="10">
        <v>14</v>
      </c>
      <c r="U931" s="10">
        <v>0</v>
      </c>
      <c r="V931" s="10">
        <v>13</v>
      </c>
      <c r="W931" s="10">
        <v>36</v>
      </c>
    </row>
    <row r="932" spans="1:23" ht="30.75">
      <c r="A932" s="2" t="s">
        <v>1577</v>
      </c>
      <c r="B932" s="2" t="s">
        <v>1578</v>
      </c>
      <c r="C932">
        <v>3</v>
      </c>
      <c r="D932" s="5">
        <v>44743</v>
      </c>
      <c r="E932">
        <v>648</v>
      </c>
      <c r="F932">
        <v>4</v>
      </c>
      <c r="G932">
        <v>187701588</v>
      </c>
      <c r="H932" t="str">
        <f t="shared" si="14"/>
        <v>no</v>
      </c>
      <c r="I932">
        <v>0</v>
      </c>
      <c r="J932">
        <v>0</v>
      </c>
      <c r="K932">
        <v>30</v>
      </c>
      <c r="L932">
        <v>0</v>
      </c>
      <c r="M932">
        <v>0</v>
      </c>
      <c r="N932">
        <v>161</v>
      </c>
      <c r="O932" t="s">
        <v>128</v>
      </c>
      <c r="P932" t="s">
        <v>41</v>
      </c>
      <c r="Q932" s="10">
        <v>59</v>
      </c>
      <c r="R932" s="10">
        <v>62</v>
      </c>
      <c r="S932" s="10">
        <v>60</v>
      </c>
      <c r="T932" s="10">
        <v>12</v>
      </c>
      <c r="U932" s="10">
        <v>0</v>
      </c>
      <c r="V932" s="10">
        <v>5</v>
      </c>
      <c r="W932" s="10">
        <v>44</v>
      </c>
    </row>
    <row r="933" spans="1:23" ht="30.75">
      <c r="A933" s="2" t="s">
        <v>1579</v>
      </c>
      <c r="B933" s="2" t="s">
        <v>1580</v>
      </c>
      <c r="C933">
        <v>2</v>
      </c>
      <c r="D933" s="5">
        <v>44869</v>
      </c>
      <c r="E933">
        <v>1545</v>
      </c>
      <c r="F933">
        <v>0</v>
      </c>
      <c r="G933">
        <v>154863153</v>
      </c>
      <c r="H933" t="str">
        <f t="shared" si="14"/>
        <v>no</v>
      </c>
      <c r="I933">
        <v>22</v>
      </c>
      <c r="J933">
        <v>7</v>
      </c>
      <c r="K933">
        <v>15</v>
      </c>
      <c r="L933">
        <v>0</v>
      </c>
      <c r="M933">
        <v>0</v>
      </c>
      <c r="N933">
        <v>131</v>
      </c>
      <c r="O933" t="s">
        <v>63</v>
      </c>
      <c r="P933" t="s">
        <v>41</v>
      </c>
      <c r="Q933" s="10">
        <v>91</v>
      </c>
      <c r="R933" s="10">
        <v>23</v>
      </c>
      <c r="S933" s="10">
        <v>55</v>
      </c>
      <c r="T933" s="10">
        <v>1</v>
      </c>
      <c r="U933" s="10">
        <v>0</v>
      </c>
      <c r="V933" s="10">
        <v>7</v>
      </c>
      <c r="W933" s="10">
        <v>32</v>
      </c>
    </row>
    <row r="934" spans="1:23" ht="45.75">
      <c r="A934" s="2" t="s">
        <v>1581</v>
      </c>
      <c r="B934" s="2" t="s">
        <v>1582</v>
      </c>
      <c r="C934">
        <v>3</v>
      </c>
      <c r="D934" s="5">
        <v>44869</v>
      </c>
      <c r="E934">
        <v>1930</v>
      </c>
      <c r="F934">
        <v>0</v>
      </c>
      <c r="G934">
        <v>191333656</v>
      </c>
      <c r="H934" t="str">
        <f t="shared" si="14"/>
        <v>no</v>
      </c>
      <c r="I934">
        <v>24</v>
      </c>
      <c r="J934">
        <v>8</v>
      </c>
      <c r="K934">
        <v>17</v>
      </c>
      <c r="L934">
        <v>0</v>
      </c>
      <c r="M934">
        <v>1</v>
      </c>
      <c r="N934">
        <v>122</v>
      </c>
      <c r="O934" t="s">
        <v>98</v>
      </c>
      <c r="P934" t="s">
        <v>41</v>
      </c>
      <c r="Q934" s="10">
        <v>75</v>
      </c>
      <c r="R934" s="10">
        <v>45</v>
      </c>
      <c r="S934" s="10">
        <v>63</v>
      </c>
      <c r="T934" s="10">
        <v>6</v>
      </c>
      <c r="U934" s="10">
        <v>0</v>
      </c>
      <c r="V934" s="10">
        <v>35</v>
      </c>
      <c r="W934" s="10">
        <v>12</v>
      </c>
    </row>
    <row r="935" spans="1:23" ht="60.75">
      <c r="A935" s="2" t="s">
        <v>1583</v>
      </c>
      <c r="B935" s="2" t="s">
        <v>1584</v>
      </c>
      <c r="C935">
        <v>1</v>
      </c>
      <c r="D935" s="5">
        <v>44855</v>
      </c>
      <c r="E935">
        <v>1948</v>
      </c>
      <c r="F935">
        <v>0</v>
      </c>
      <c r="G935">
        <v>253650850</v>
      </c>
      <c r="H935" t="str">
        <f t="shared" si="14"/>
        <v>yes</v>
      </c>
      <c r="I935">
        <v>12</v>
      </c>
      <c r="J935">
        <v>9</v>
      </c>
      <c r="K935">
        <v>16</v>
      </c>
      <c r="L935">
        <v>0</v>
      </c>
      <c r="M935">
        <v>0</v>
      </c>
      <c r="N935">
        <v>80</v>
      </c>
      <c r="O935" t="s">
        <v>98</v>
      </c>
      <c r="P935" t="s">
        <v>41</v>
      </c>
      <c r="Q935" s="10">
        <v>80</v>
      </c>
      <c r="R935" s="10">
        <v>16</v>
      </c>
      <c r="S935" s="10">
        <v>28</v>
      </c>
      <c r="T935" s="10">
        <v>17</v>
      </c>
      <c r="U935" s="10">
        <v>0</v>
      </c>
      <c r="V935" s="10">
        <v>12</v>
      </c>
      <c r="W935" s="10">
        <v>39</v>
      </c>
    </row>
    <row r="936" spans="1:23" ht="30.75">
      <c r="A936" s="2" t="s">
        <v>1585</v>
      </c>
      <c r="B936" s="2" t="s">
        <v>1586</v>
      </c>
      <c r="C936">
        <v>1</v>
      </c>
      <c r="D936" s="5">
        <v>44855</v>
      </c>
      <c r="E936">
        <v>1608</v>
      </c>
      <c r="F936">
        <v>0</v>
      </c>
      <c r="G936">
        <v>223064273</v>
      </c>
      <c r="H936" t="str">
        <f t="shared" si="14"/>
        <v>yes</v>
      </c>
      <c r="I936">
        <v>10</v>
      </c>
      <c r="J936">
        <v>3</v>
      </c>
      <c r="K936">
        <v>12</v>
      </c>
      <c r="L936">
        <v>0</v>
      </c>
      <c r="M936">
        <v>0</v>
      </c>
      <c r="N936">
        <v>109</v>
      </c>
      <c r="O936" t="s">
        <v>72</v>
      </c>
      <c r="P936" t="s">
        <v>26</v>
      </c>
      <c r="Q936" s="10">
        <v>75</v>
      </c>
      <c r="R936" s="10">
        <v>11</v>
      </c>
      <c r="S936" s="10">
        <v>50</v>
      </c>
      <c r="T936" s="10">
        <v>20</v>
      </c>
      <c r="U936" s="10">
        <v>0</v>
      </c>
      <c r="V936" s="10">
        <v>30</v>
      </c>
      <c r="W936" s="10">
        <v>17</v>
      </c>
    </row>
    <row r="937" spans="1:23">
      <c r="A937" s="2" t="s">
        <v>1587</v>
      </c>
      <c r="B937" s="2" t="s">
        <v>1588</v>
      </c>
      <c r="C937">
        <v>2</v>
      </c>
      <c r="D937" s="5">
        <v>44869</v>
      </c>
      <c r="E937">
        <v>1338</v>
      </c>
      <c r="F937">
        <v>0</v>
      </c>
      <c r="G937">
        <v>170413877</v>
      </c>
      <c r="H937" t="str">
        <f t="shared" si="14"/>
        <v>no</v>
      </c>
      <c r="I937">
        <v>9</v>
      </c>
      <c r="J937">
        <v>20</v>
      </c>
      <c r="K937">
        <v>7</v>
      </c>
      <c r="L937">
        <v>0</v>
      </c>
      <c r="M937">
        <v>0</v>
      </c>
      <c r="N937">
        <v>158</v>
      </c>
      <c r="O937" t="s">
        <v>37</v>
      </c>
      <c r="P937" t="s">
        <v>26</v>
      </c>
      <c r="Q937" s="10">
        <v>84</v>
      </c>
      <c r="R937" s="10">
        <v>33</v>
      </c>
      <c r="S937" s="10">
        <v>36</v>
      </c>
      <c r="T937" s="10">
        <v>2</v>
      </c>
      <c r="U937" s="10">
        <v>0</v>
      </c>
      <c r="V937" s="10">
        <v>39</v>
      </c>
      <c r="W937" s="10">
        <v>59</v>
      </c>
    </row>
    <row r="938" spans="1:23">
      <c r="A938" s="2" t="s">
        <v>1587</v>
      </c>
      <c r="B938" s="2" t="s">
        <v>1589</v>
      </c>
      <c r="C938">
        <v>1</v>
      </c>
      <c r="D938" s="5">
        <v>44855</v>
      </c>
      <c r="E938">
        <v>1936</v>
      </c>
      <c r="F938">
        <v>0</v>
      </c>
      <c r="G938">
        <v>218320587</v>
      </c>
      <c r="H938" t="str">
        <f t="shared" si="14"/>
        <v>yes</v>
      </c>
      <c r="I938">
        <v>7</v>
      </c>
      <c r="J938">
        <v>5</v>
      </c>
      <c r="K938">
        <v>13</v>
      </c>
      <c r="L938">
        <v>0</v>
      </c>
      <c r="M938">
        <v>0</v>
      </c>
      <c r="N938">
        <v>126</v>
      </c>
      <c r="O938" t="s">
        <v>98</v>
      </c>
      <c r="P938" t="s">
        <v>26</v>
      </c>
      <c r="Q938" s="10">
        <v>66</v>
      </c>
      <c r="R938" s="10">
        <v>12</v>
      </c>
      <c r="S938" s="10">
        <v>35</v>
      </c>
      <c r="T938" s="10">
        <v>55</v>
      </c>
      <c r="U938" s="10">
        <v>0</v>
      </c>
      <c r="V938" s="10">
        <v>9</v>
      </c>
      <c r="W938" s="10">
        <v>14</v>
      </c>
    </row>
    <row r="939" spans="1:23" ht="30.75">
      <c r="A939" s="2" t="s">
        <v>1590</v>
      </c>
      <c r="B939" s="2" t="s">
        <v>1591</v>
      </c>
      <c r="C939">
        <v>2</v>
      </c>
      <c r="D939" s="5">
        <v>44869</v>
      </c>
      <c r="E939">
        <v>1794</v>
      </c>
      <c r="F939">
        <v>0</v>
      </c>
      <c r="G939">
        <v>141720999</v>
      </c>
      <c r="H939" t="str">
        <f t="shared" si="14"/>
        <v>no</v>
      </c>
      <c r="I939">
        <v>26</v>
      </c>
      <c r="J939">
        <v>9</v>
      </c>
      <c r="K939">
        <v>17</v>
      </c>
      <c r="L939">
        <v>0</v>
      </c>
      <c r="M939">
        <v>3</v>
      </c>
      <c r="N939">
        <v>104</v>
      </c>
      <c r="O939" t="s">
        <v>29</v>
      </c>
      <c r="P939" t="s">
        <v>26</v>
      </c>
      <c r="Q939" s="10">
        <v>73</v>
      </c>
      <c r="R939" s="10">
        <v>25</v>
      </c>
      <c r="S939" s="10">
        <v>61</v>
      </c>
      <c r="T939" s="10">
        <v>1</v>
      </c>
      <c r="U939" s="10">
        <v>0</v>
      </c>
      <c r="V939" s="10">
        <v>32</v>
      </c>
      <c r="W939" s="10">
        <v>7</v>
      </c>
    </row>
    <row r="940" spans="1:23" ht="45.75">
      <c r="A940" s="2" t="s">
        <v>1592</v>
      </c>
      <c r="B940" s="2" t="s">
        <v>1593</v>
      </c>
      <c r="C940">
        <v>1</v>
      </c>
      <c r="D940" s="5">
        <v>44855</v>
      </c>
      <c r="E940">
        <v>1597</v>
      </c>
      <c r="F940">
        <v>0</v>
      </c>
      <c r="G940">
        <v>187339835</v>
      </c>
      <c r="H940" t="str">
        <f t="shared" si="14"/>
        <v>no</v>
      </c>
      <c r="I940">
        <v>6</v>
      </c>
      <c r="J940">
        <v>3</v>
      </c>
      <c r="K940">
        <v>15</v>
      </c>
      <c r="L940">
        <v>0</v>
      </c>
      <c r="M940">
        <v>0</v>
      </c>
      <c r="N940">
        <v>110</v>
      </c>
      <c r="P940" t="s">
        <v>26</v>
      </c>
      <c r="Q940" s="10">
        <v>48</v>
      </c>
      <c r="R940" s="10">
        <v>15</v>
      </c>
      <c r="S940" s="10">
        <v>31</v>
      </c>
      <c r="T940" s="10">
        <v>80</v>
      </c>
      <c r="U940" s="10">
        <v>22</v>
      </c>
      <c r="V940" s="10">
        <v>12</v>
      </c>
      <c r="W940" s="10">
        <v>4</v>
      </c>
    </row>
    <row r="941" spans="1:23">
      <c r="A941" s="2" t="s">
        <v>1594</v>
      </c>
      <c r="B941" s="2" t="s">
        <v>1595</v>
      </c>
      <c r="C941">
        <v>2</v>
      </c>
      <c r="D941" s="5">
        <v>44869</v>
      </c>
      <c r="E941">
        <v>1652</v>
      </c>
      <c r="F941">
        <v>2</v>
      </c>
      <c r="G941">
        <v>198365537</v>
      </c>
      <c r="H941" t="str">
        <f t="shared" si="14"/>
        <v>no</v>
      </c>
      <c r="I941">
        <v>26</v>
      </c>
      <c r="J941">
        <v>52</v>
      </c>
      <c r="K941">
        <v>10</v>
      </c>
      <c r="L941">
        <v>0</v>
      </c>
      <c r="M941">
        <v>95</v>
      </c>
      <c r="N941">
        <v>130</v>
      </c>
      <c r="O941" t="s">
        <v>72</v>
      </c>
      <c r="P941" t="s">
        <v>26</v>
      </c>
      <c r="Q941" s="10">
        <v>77</v>
      </c>
      <c r="R941" s="10">
        <v>20</v>
      </c>
      <c r="S941" s="10">
        <v>70</v>
      </c>
      <c r="T941" s="10">
        <v>1</v>
      </c>
      <c r="U941" s="10">
        <v>0</v>
      </c>
      <c r="V941" s="10">
        <v>16</v>
      </c>
      <c r="W941" s="10">
        <v>5</v>
      </c>
    </row>
    <row r="942" spans="1:23">
      <c r="A942" s="2" t="s">
        <v>1594</v>
      </c>
      <c r="B942" s="2" t="s">
        <v>1596</v>
      </c>
      <c r="C942">
        <v>1</v>
      </c>
      <c r="D942" s="5">
        <v>44855</v>
      </c>
      <c r="E942">
        <v>1747</v>
      </c>
      <c r="F942">
        <v>0</v>
      </c>
      <c r="G942">
        <v>186104310</v>
      </c>
      <c r="H942" t="str">
        <f t="shared" si="14"/>
        <v>no</v>
      </c>
      <c r="I942">
        <v>9</v>
      </c>
      <c r="J942">
        <v>6</v>
      </c>
      <c r="K942">
        <v>13</v>
      </c>
      <c r="L942">
        <v>0</v>
      </c>
      <c r="M942">
        <v>2</v>
      </c>
      <c r="N942">
        <v>177</v>
      </c>
      <c r="P942" t="s">
        <v>26</v>
      </c>
      <c r="Q942" s="10">
        <v>34</v>
      </c>
      <c r="R942" s="10">
        <v>39</v>
      </c>
      <c r="S942" s="10">
        <v>16</v>
      </c>
      <c r="T942" s="10">
        <v>97</v>
      </c>
      <c r="U942" s="10">
        <v>0</v>
      </c>
      <c r="V942" s="10">
        <v>12</v>
      </c>
      <c r="W942" s="10">
        <v>5</v>
      </c>
    </row>
    <row r="943" spans="1:23" ht="45.75">
      <c r="A943" s="2" t="s">
        <v>1597</v>
      </c>
      <c r="B943" s="2" t="s">
        <v>1598</v>
      </c>
      <c r="C943">
        <v>1</v>
      </c>
      <c r="D943" s="5">
        <v>44855</v>
      </c>
      <c r="E943">
        <v>1715</v>
      </c>
      <c r="F943">
        <v>0</v>
      </c>
      <c r="G943">
        <v>177503916</v>
      </c>
      <c r="H943" t="str">
        <f t="shared" si="14"/>
        <v>no</v>
      </c>
      <c r="I943">
        <v>4</v>
      </c>
      <c r="J943">
        <v>5</v>
      </c>
      <c r="K943">
        <v>8</v>
      </c>
      <c r="L943">
        <v>0</v>
      </c>
      <c r="M943">
        <v>0</v>
      </c>
      <c r="N943">
        <v>158</v>
      </c>
      <c r="O943" t="s">
        <v>72</v>
      </c>
      <c r="P943" t="s">
        <v>26</v>
      </c>
      <c r="Q943" s="10">
        <v>48</v>
      </c>
      <c r="R943" s="10">
        <v>55</v>
      </c>
      <c r="S943" s="10">
        <v>84</v>
      </c>
      <c r="T943" s="10">
        <v>43</v>
      </c>
      <c r="U943" s="10">
        <v>0</v>
      </c>
      <c r="V943" s="10">
        <v>15</v>
      </c>
      <c r="W943" s="10">
        <v>12</v>
      </c>
    </row>
    <row r="944" spans="1:23">
      <c r="A944" s="2" t="s">
        <v>1597</v>
      </c>
      <c r="B944" s="2" t="s">
        <v>1599</v>
      </c>
      <c r="C944">
        <v>2</v>
      </c>
      <c r="D944" s="5">
        <v>44869</v>
      </c>
      <c r="E944">
        <v>486</v>
      </c>
      <c r="F944">
        <v>0</v>
      </c>
      <c r="G944">
        <v>71095708</v>
      </c>
      <c r="H944" t="str">
        <f t="shared" si="14"/>
        <v>no</v>
      </c>
      <c r="I944">
        <v>8</v>
      </c>
      <c r="J944">
        <v>1</v>
      </c>
      <c r="K944">
        <v>7</v>
      </c>
      <c r="L944">
        <v>0</v>
      </c>
      <c r="M944">
        <v>0</v>
      </c>
      <c r="N944">
        <v>114</v>
      </c>
      <c r="O944" t="s">
        <v>51</v>
      </c>
      <c r="P944" t="s">
        <v>41</v>
      </c>
      <c r="Q944" s="10">
        <v>62</v>
      </c>
      <c r="R944" s="10">
        <v>25</v>
      </c>
      <c r="S944" s="10">
        <v>44</v>
      </c>
      <c r="T944" s="10">
        <v>51</v>
      </c>
      <c r="U944" s="10">
        <v>33</v>
      </c>
      <c r="V944" s="10">
        <v>14</v>
      </c>
      <c r="W944" s="10">
        <v>3</v>
      </c>
    </row>
    <row r="945" spans="1:23" ht="30.75">
      <c r="A945" s="2" t="s">
        <v>1600</v>
      </c>
      <c r="B945" s="2" t="s">
        <v>1601</v>
      </c>
      <c r="C945">
        <v>2</v>
      </c>
      <c r="D945" s="5">
        <v>44869</v>
      </c>
      <c r="E945">
        <v>1007</v>
      </c>
      <c r="F945">
        <v>0</v>
      </c>
      <c r="G945">
        <v>112436403</v>
      </c>
      <c r="H945" t="str">
        <f t="shared" si="14"/>
        <v>no</v>
      </c>
      <c r="I945">
        <v>6</v>
      </c>
      <c r="J945">
        <v>5</v>
      </c>
      <c r="K945">
        <v>3</v>
      </c>
      <c r="L945">
        <v>0</v>
      </c>
      <c r="M945">
        <v>0</v>
      </c>
      <c r="N945">
        <v>144</v>
      </c>
      <c r="O945" t="s">
        <v>32</v>
      </c>
      <c r="P945" t="s">
        <v>26</v>
      </c>
      <c r="Q945" s="10">
        <v>93</v>
      </c>
      <c r="R945" s="10">
        <v>62</v>
      </c>
      <c r="S945" s="10">
        <v>61</v>
      </c>
      <c r="T945" s="10">
        <v>0</v>
      </c>
      <c r="U945" s="10">
        <v>0</v>
      </c>
      <c r="V945" s="10">
        <v>12</v>
      </c>
      <c r="W945" s="10">
        <v>20</v>
      </c>
    </row>
    <row r="946" spans="1:23">
      <c r="A946" s="2" t="s">
        <v>1602</v>
      </c>
      <c r="B946" s="2" t="s">
        <v>1603</v>
      </c>
      <c r="C946">
        <v>1</v>
      </c>
      <c r="D946" s="5">
        <v>44862</v>
      </c>
      <c r="E946">
        <v>481</v>
      </c>
      <c r="F946">
        <v>9</v>
      </c>
      <c r="G946">
        <v>203436468</v>
      </c>
      <c r="H946" t="str">
        <f t="shared" si="14"/>
        <v>yes</v>
      </c>
      <c r="I946">
        <v>10</v>
      </c>
      <c r="J946">
        <v>100</v>
      </c>
      <c r="K946">
        <v>15</v>
      </c>
      <c r="L946">
        <v>1</v>
      </c>
      <c r="M946">
        <v>27</v>
      </c>
      <c r="N946">
        <v>125</v>
      </c>
      <c r="O946" t="s">
        <v>32</v>
      </c>
      <c r="P946" t="s">
        <v>26</v>
      </c>
      <c r="Q946" s="10">
        <v>54</v>
      </c>
      <c r="R946" s="10">
        <v>22</v>
      </c>
      <c r="S946" s="10">
        <v>76</v>
      </c>
      <c r="T946" s="10">
        <v>0</v>
      </c>
      <c r="U946" s="10">
        <v>0</v>
      </c>
      <c r="V946" s="10">
        <v>14</v>
      </c>
      <c r="W946" s="10">
        <v>3</v>
      </c>
    </row>
    <row r="947" spans="1:23" ht="30.75">
      <c r="A947" s="2" t="s">
        <v>1604</v>
      </c>
      <c r="B947" s="2" t="s">
        <v>1605</v>
      </c>
      <c r="C947">
        <v>1</v>
      </c>
      <c r="D947" s="5">
        <v>44869</v>
      </c>
      <c r="E947">
        <v>1045</v>
      </c>
      <c r="F947">
        <v>0</v>
      </c>
      <c r="G947">
        <v>93367537</v>
      </c>
      <c r="H947" t="str">
        <f t="shared" si="14"/>
        <v>no</v>
      </c>
      <c r="I947">
        <v>8</v>
      </c>
      <c r="J947">
        <v>5</v>
      </c>
      <c r="K947">
        <v>2</v>
      </c>
      <c r="L947">
        <v>0</v>
      </c>
      <c r="M947">
        <v>0</v>
      </c>
      <c r="N947">
        <v>142</v>
      </c>
      <c r="O947" t="s">
        <v>32</v>
      </c>
      <c r="P947" t="s">
        <v>41</v>
      </c>
      <c r="Q947" s="10">
        <v>85</v>
      </c>
      <c r="R947" s="10">
        <v>40</v>
      </c>
      <c r="S947" s="10">
        <v>43</v>
      </c>
      <c r="T947" s="10">
        <v>4</v>
      </c>
      <c r="U947" s="10">
        <v>0</v>
      </c>
      <c r="V947" s="10">
        <v>39</v>
      </c>
      <c r="W947" s="10">
        <v>32</v>
      </c>
    </row>
    <row r="948" spans="1:23">
      <c r="A948" s="2" t="s">
        <v>1606</v>
      </c>
      <c r="B948" s="2" t="s">
        <v>1607</v>
      </c>
      <c r="C948">
        <v>2</v>
      </c>
      <c r="D948" s="5">
        <v>44869</v>
      </c>
      <c r="E948">
        <v>1060</v>
      </c>
      <c r="F948">
        <v>0</v>
      </c>
      <c r="G948">
        <v>106249219</v>
      </c>
      <c r="H948" t="str">
        <f t="shared" si="14"/>
        <v>no</v>
      </c>
      <c r="I948">
        <v>3</v>
      </c>
      <c r="J948">
        <v>8</v>
      </c>
      <c r="K948">
        <v>5</v>
      </c>
      <c r="L948">
        <v>0</v>
      </c>
      <c r="M948">
        <v>0</v>
      </c>
      <c r="N948">
        <v>120</v>
      </c>
      <c r="O948" t="s">
        <v>51</v>
      </c>
      <c r="P948" t="s">
        <v>26</v>
      </c>
      <c r="Q948" s="10">
        <v>64</v>
      </c>
      <c r="R948" s="10">
        <v>11</v>
      </c>
      <c r="S948" s="10">
        <v>53</v>
      </c>
      <c r="T948" s="10">
        <v>1</v>
      </c>
      <c r="U948" s="10">
        <v>0</v>
      </c>
      <c r="V948" s="10">
        <v>25</v>
      </c>
      <c r="W948" s="10">
        <v>27</v>
      </c>
    </row>
    <row r="949" spans="1:23">
      <c r="A949" s="2" t="s">
        <v>1608</v>
      </c>
      <c r="B949" s="2" t="s">
        <v>1609</v>
      </c>
      <c r="C949">
        <v>1</v>
      </c>
      <c r="D949" s="5">
        <v>44855</v>
      </c>
      <c r="E949">
        <v>1274</v>
      </c>
      <c r="F949">
        <v>0</v>
      </c>
      <c r="G949">
        <v>181382590</v>
      </c>
      <c r="H949" t="str">
        <f t="shared" si="14"/>
        <v>no</v>
      </c>
      <c r="I949">
        <v>1</v>
      </c>
      <c r="J949">
        <v>6</v>
      </c>
      <c r="K949">
        <v>11</v>
      </c>
      <c r="L949">
        <v>0</v>
      </c>
      <c r="M949">
        <v>0</v>
      </c>
      <c r="N949">
        <v>96</v>
      </c>
      <c r="O949" t="s">
        <v>32</v>
      </c>
      <c r="P949" t="s">
        <v>26</v>
      </c>
      <c r="Q949" s="10">
        <v>57</v>
      </c>
      <c r="R949" s="10">
        <v>55</v>
      </c>
      <c r="S949" s="10">
        <v>74</v>
      </c>
      <c r="T949" s="10">
        <v>22</v>
      </c>
      <c r="U949" s="10">
        <v>0</v>
      </c>
      <c r="V949" s="10">
        <v>8</v>
      </c>
      <c r="W949" s="10">
        <v>4</v>
      </c>
    </row>
    <row r="950" spans="1:23" ht="30.75">
      <c r="A950" s="2" t="s">
        <v>1610</v>
      </c>
      <c r="B950" s="2" t="s">
        <v>1611</v>
      </c>
      <c r="C950">
        <v>1</v>
      </c>
      <c r="D950" s="5">
        <v>44868</v>
      </c>
      <c r="E950">
        <v>953</v>
      </c>
      <c r="F950">
        <v>0</v>
      </c>
      <c r="G950">
        <v>91473363</v>
      </c>
      <c r="H950" t="str">
        <f t="shared" si="14"/>
        <v>no</v>
      </c>
      <c r="I950">
        <v>61</v>
      </c>
      <c r="J950">
        <v>13</v>
      </c>
      <c r="K950">
        <v>37</v>
      </c>
      <c r="L950">
        <v>1</v>
      </c>
      <c r="M950">
        <v>0</v>
      </c>
      <c r="N950">
        <v>144</v>
      </c>
      <c r="O950" t="s">
        <v>37</v>
      </c>
      <c r="P950" t="s">
        <v>26</v>
      </c>
      <c r="Q950" s="10">
        <v>60</v>
      </c>
      <c r="R950" s="10">
        <v>24</v>
      </c>
      <c r="S950" s="10">
        <v>39</v>
      </c>
      <c r="T950" s="10">
        <v>57</v>
      </c>
      <c r="U950" s="10">
        <v>0</v>
      </c>
      <c r="V950" s="10">
        <v>8</v>
      </c>
      <c r="W950" s="10">
        <v>3</v>
      </c>
    </row>
    <row r="951" spans="1:23" ht="30.75">
      <c r="A951" s="2" t="s">
        <v>1612</v>
      </c>
      <c r="B951" s="2" t="s">
        <v>1613</v>
      </c>
      <c r="C951">
        <v>1</v>
      </c>
      <c r="D951" s="5">
        <v>44855</v>
      </c>
      <c r="E951">
        <v>1180</v>
      </c>
      <c r="F951">
        <v>0</v>
      </c>
      <c r="G951">
        <v>121871870</v>
      </c>
      <c r="H951" t="str">
        <f t="shared" si="14"/>
        <v>no</v>
      </c>
      <c r="I951">
        <v>4</v>
      </c>
      <c r="J951">
        <v>0</v>
      </c>
      <c r="K951">
        <v>8</v>
      </c>
      <c r="L951">
        <v>0</v>
      </c>
      <c r="M951">
        <v>0</v>
      </c>
      <c r="N951">
        <v>166</v>
      </c>
      <c r="O951" t="s">
        <v>53</v>
      </c>
      <c r="P951" t="s">
        <v>26</v>
      </c>
      <c r="Q951" s="10">
        <v>42</v>
      </c>
      <c r="R951" s="10">
        <v>7</v>
      </c>
      <c r="S951" s="10">
        <v>24</v>
      </c>
      <c r="T951" s="10">
        <v>83</v>
      </c>
      <c r="U951" s="10">
        <v>1</v>
      </c>
      <c r="V951" s="10">
        <v>12</v>
      </c>
      <c r="W951" s="10">
        <v>6</v>
      </c>
    </row>
    <row r="952" spans="1:23" ht="30.75">
      <c r="A952" s="2" t="s">
        <v>1614</v>
      </c>
      <c r="B952" s="2" t="s">
        <v>1615</v>
      </c>
      <c r="C952">
        <v>2</v>
      </c>
      <c r="D952" s="5">
        <v>44868</v>
      </c>
      <c r="E952">
        <v>573</v>
      </c>
      <c r="F952">
        <v>0</v>
      </c>
      <c r="G952">
        <v>73513683</v>
      </c>
      <c r="H952" t="str">
        <f t="shared" si="14"/>
        <v>no</v>
      </c>
      <c r="I952">
        <v>2</v>
      </c>
      <c r="J952">
        <v>0</v>
      </c>
      <c r="K952">
        <v>7</v>
      </c>
      <c r="L952">
        <v>0</v>
      </c>
      <c r="M952">
        <v>0</v>
      </c>
      <c r="N952">
        <v>92</v>
      </c>
      <c r="O952" t="s">
        <v>29</v>
      </c>
      <c r="P952" t="s">
        <v>26</v>
      </c>
      <c r="Q952" s="10">
        <v>80</v>
      </c>
      <c r="R952" s="10">
        <v>81</v>
      </c>
      <c r="S952" s="10">
        <v>67</v>
      </c>
      <c r="T952" s="10">
        <v>4</v>
      </c>
      <c r="U952" s="10">
        <v>0</v>
      </c>
      <c r="V952" s="10">
        <v>8</v>
      </c>
      <c r="W952" s="10">
        <v>6</v>
      </c>
    </row>
    <row r="953" spans="1:23" ht="30.75">
      <c r="A953" s="2" t="s">
        <v>1616</v>
      </c>
      <c r="B953" s="2" t="s">
        <v>1617</v>
      </c>
      <c r="C953">
        <v>3</v>
      </c>
      <c r="D953" s="5">
        <v>44854</v>
      </c>
      <c r="E953">
        <v>1320</v>
      </c>
      <c r="F953">
        <v>0</v>
      </c>
      <c r="G953">
        <v>133895612</v>
      </c>
      <c r="H953" t="str">
        <f t="shared" si="14"/>
        <v>no</v>
      </c>
      <c r="I953">
        <v>29</v>
      </c>
      <c r="J953">
        <v>26</v>
      </c>
      <c r="K953">
        <v>17</v>
      </c>
      <c r="L953">
        <v>0</v>
      </c>
      <c r="M953">
        <v>0</v>
      </c>
      <c r="N953">
        <v>97</v>
      </c>
      <c r="O953" t="s">
        <v>29</v>
      </c>
      <c r="P953" t="s">
        <v>26</v>
      </c>
      <c r="Q953" s="10">
        <v>82</v>
      </c>
      <c r="R953" s="10">
        <v>67</v>
      </c>
      <c r="S953" s="10">
        <v>77</v>
      </c>
      <c r="T953" s="10">
        <v>8</v>
      </c>
      <c r="U953" s="10">
        <v>0</v>
      </c>
      <c r="V953" s="10">
        <v>12</v>
      </c>
      <c r="W953" s="10">
        <v>5</v>
      </c>
    </row>
    <row r="954" spans="1:23">
      <c r="A954" s="2" t="s">
        <v>1618</v>
      </c>
      <c r="B954" s="2" t="s">
        <v>1619</v>
      </c>
      <c r="C954">
        <v>1</v>
      </c>
      <c r="D954" s="5">
        <v>44869</v>
      </c>
      <c r="E954">
        <v>782</v>
      </c>
      <c r="F954">
        <v>2</v>
      </c>
      <c r="G954">
        <v>96007391</v>
      </c>
      <c r="H954" t="str">
        <f t="shared" si="14"/>
        <v>no</v>
      </c>
      <c r="I954">
        <v>27</v>
      </c>
      <c r="J954">
        <v>18</v>
      </c>
      <c r="K954">
        <v>32</v>
      </c>
      <c r="L954">
        <v>1</v>
      </c>
      <c r="M954">
        <v>0</v>
      </c>
      <c r="N954">
        <v>90</v>
      </c>
      <c r="O954" t="s">
        <v>98</v>
      </c>
      <c r="P954" t="s">
        <v>41</v>
      </c>
      <c r="Q954" s="10">
        <v>61</v>
      </c>
      <c r="R954" s="10">
        <v>32</v>
      </c>
      <c r="S954" s="10">
        <v>67</v>
      </c>
      <c r="T954" s="10">
        <v>15</v>
      </c>
      <c r="U954" s="10">
        <v>0</v>
      </c>
      <c r="V954" s="10">
        <v>11</v>
      </c>
      <c r="W954" s="10">
        <v>5</v>
      </c>
    </row>
  </sheetData>
  <sortState xmlns:xlrd2="http://schemas.microsoft.com/office/spreadsheetml/2017/richdata2" ref="A2:A1048576">
    <sortCondition ref="A2:A1048576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E374C-99CB-4331-A364-2AA35A2BA709}">
  <dimension ref="A3:B649"/>
  <sheetViews>
    <sheetView workbookViewId="0">
      <selection activeCell="A18" sqref="A18"/>
    </sheetView>
  </sheetViews>
  <sheetFormatPr defaultRowHeight="15"/>
  <cols>
    <col min="1" max="1" width="110.28515625" bestFit="1" customWidth="1"/>
    <col min="2" max="2" width="22" bestFit="1" customWidth="1"/>
  </cols>
  <sheetData>
    <row r="3" spans="1:2">
      <c r="A3" s="7" t="s">
        <v>0</v>
      </c>
      <c r="B3" t="s">
        <v>1620</v>
      </c>
    </row>
    <row r="4" spans="1:2">
      <c r="A4" t="s">
        <v>1394</v>
      </c>
      <c r="B4" s="8">
        <v>34</v>
      </c>
    </row>
    <row r="5" spans="1:2">
      <c r="A5" t="s">
        <v>1459</v>
      </c>
      <c r="B5" s="8">
        <v>22</v>
      </c>
    </row>
    <row r="6" spans="1:2">
      <c r="A6" t="s">
        <v>124</v>
      </c>
      <c r="B6" s="8">
        <v>19</v>
      </c>
    </row>
    <row r="7" spans="1:2">
      <c r="A7" t="s">
        <v>1356</v>
      </c>
      <c r="B7" s="8">
        <v>19</v>
      </c>
    </row>
    <row r="8" spans="1:2">
      <c r="A8" t="s">
        <v>590</v>
      </c>
      <c r="B8" s="8">
        <v>17</v>
      </c>
    </row>
    <row r="9" spans="1:2">
      <c r="A9" t="s">
        <v>780</v>
      </c>
      <c r="B9" s="8">
        <v>12</v>
      </c>
    </row>
    <row r="10" spans="1:2">
      <c r="A10" t="s">
        <v>1016</v>
      </c>
      <c r="B10" s="8">
        <v>11</v>
      </c>
    </row>
    <row r="11" spans="1:2">
      <c r="A11" t="s">
        <v>435</v>
      </c>
      <c r="B11" s="8">
        <v>9</v>
      </c>
    </row>
    <row r="12" spans="1:2">
      <c r="A12" t="s">
        <v>491</v>
      </c>
      <c r="B12" s="8">
        <v>8</v>
      </c>
    </row>
    <row r="13" spans="1:2">
      <c r="A13" t="s">
        <v>396</v>
      </c>
      <c r="B13" s="8">
        <v>8</v>
      </c>
    </row>
    <row r="14" spans="1:2">
      <c r="A14" t="s">
        <v>231</v>
      </c>
      <c r="B14" s="8">
        <v>8</v>
      </c>
    </row>
    <row r="15" spans="1:2">
      <c r="A15" t="s">
        <v>1101</v>
      </c>
      <c r="B15" s="8">
        <v>7</v>
      </c>
    </row>
    <row r="16" spans="1:2">
      <c r="A16" t="s">
        <v>832</v>
      </c>
      <c r="B16" s="8">
        <v>7</v>
      </c>
    </row>
    <row r="17" spans="1:2">
      <c r="A17" t="s">
        <v>1060</v>
      </c>
      <c r="B17" s="8">
        <v>6</v>
      </c>
    </row>
    <row r="18" spans="1:2">
      <c r="A18" t="s">
        <v>372</v>
      </c>
      <c r="B18" s="8">
        <v>6</v>
      </c>
    </row>
    <row r="19" spans="1:2">
      <c r="A19" t="s">
        <v>182</v>
      </c>
      <c r="B19" s="8">
        <v>5</v>
      </c>
    </row>
    <row r="20" spans="1:2">
      <c r="A20" t="s">
        <v>48</v>
      </c>
      <c r="B20" s="8">
        <v>4</v>
      </c>
    </row>
    <row r="21" spans="1:2">
      <c r="A21" t="s">
        <v>755</v>
      </c>
      <c r="B21" s="8">
        <v>4</v>
      </c>
    </row>
    <row r="22" spans="1:2">
      <c r="A22" t="s">
        <v>93</v>
      </c>
      <c r="B22" s="8">
        <v>4</v>
      </c>
    </row>
    <row r="23" spans="1:2">
      <c r="A23" t="s">
        <v>391</v>
      </c>
      <c r="B23" s="8">
        <v>4</v>
      </c>
    </row>
    <row r="24" spans="1:2">
      <c r="A24" t="s">
        <v>1187</v>
      </c>
      <c r="B24" s="8">
        <v>4</v>
      </c>
    </row>
    <row r="25" spans="1:2">
      <c r="A25" t="s">
        <v>998</v>
      </c>
      <c r="B25" s="8">
        <v>4</v>
      </c>
    </row>
    <row r="26" spans="1:2">
      <c r="A26" t="s">
        <v>223</v>
      </c>
      <c r="B26" s="8">
        <v>4</v>
      </c>
    </row>
    <row r="27" spans="1:2">
      <c r="A27" t="s">
        <v>467</v>
      </c>
      <c r="B27" s="8">
        <v>4</v>
      </c>
    </row>
    <row r="28" spans="1:2">
      <c r="A28" t="s">
        <v>633</v>
      </c>
      <c r="B28" s="8">
        <v>4</v>
      </c>
    </row>
    <row r="29" spans="1:2">
      <c r="A29" t="s">
        <v>696</v>
      </c>
      <c r="B29" s="8">
        <v>3</v>
      </c>
    </row>
    <row r="30" spans="1:2">
      <c r="A30" t="s">
        <v>1170</v>
      </c>
      <c r="B30" s="8">
        <v>3</v>
      </c>
    </row>
    <row r="31" spans="1:2">
      <c r="A31" t="s">
        <v>1448</v>
      </c>
      <c r="B31" s="8">
        <v>3</v>
      </c>
    </row>
    <row r="32" spans="1:2">
      <c r="A32" t="s">
        <v>483</v>
      </c>
      <c r="B32" s="8">
        <v>3</v>
      </c>
    </row>
    <row r="33" spans="1:2">
      <c r="A33" t="s">
        <v>1297</v>
      </c>
      <c r="B33" s="8">
        <v>3</v>
      </c>
    </row>
    <row r="34" spans="1:2">
      <c r="A34" t="s">
        <v>314</v>
      </c>
      <c r="B34" s="8">
        <v>3</v>
      </c>
    </row>
    <row r="35" spans="1:2">
      <c r="A35" t="s">
        <v>205</v>
      </c>
      <c r="B35" s="8">
        <v>3</v>
      </c>
    </row>
    <row r="36" spans="1:2">
      <c r="A36" t="s">
        <v>846</v>
      </c>
      <c r="B36" s="8">
        <v>3</v>
      </c>
    </row>
    <row r="37" spans="1:2">
      <c r="A37" t="s">
        <v>172</v>
      </c>
      <c r="B37" s="8">
        <v>3</v>
      </c>
    </row>
    <row r="38" spans="1:2">
      <c r="A38" t="s">
        <v>867</v>
      </c>
      <c r="B38" s="8">
        <v>3</v>
      </c>
    </row>
    <row r="39" spans="1:2">
      <c r="A39" t="s">
        <v>680</v>
      </c>
      <c r="B39" s="8">
        <v>3</v>
      </c>
    </row>
    <row r="40" spans="1:2">
      <c r="A40" t="s">
        <v>880</v>
      </c>
      <c r="B40" s="8">
        <v>3</v>
      </c>
    </row>
    <row r="41" spans="1:2">
      <c r="A41" t="s">
        <v>1338</v>
      </c>
      <c r="B41" s="8">
        <v>3</v>
      </c>
    </row>
    <row r="42" spans="1:2">
      <c r="A42" t="s">
        <v>897</v>
      </c>
      <c r="B42" s="8">
        <v>3</v>
      </c>
    </row>
    <row r="43" spans="1:2">
      <c r="A43" t="s">
        <v>719</v>
      </c>
      <c r="B43" s="8">
        <v>3</v>
      </c>
    </row>
    <row r="44" spans="1:2">
      <c r="A44" t="s">
        <v>419</v>
      </c>
      <c r="B44" s="8">
        <v>3</v>
      </c>
    </row>
    <row r="45" spans="1:2">
      <c r="A45" t="s">
        <v>613</v>
      </c>
      <c r="B45" s="8">
        <v>3</v>
      </c>
    </row>
    <row r="46" spans="1:2">
      <c r="A46" t="s">
        <v>1558</v>
      </c>
      <c r="B46" s="8">
        <v>3</v>
      </c>
    </row>
    <row r="47" spans="1:2">
      <c r="A47" t="s">
        <v>650</v>
      </c>
      <c r="B47" s="8">
        <v>3</v>
      </c>
    </row>
    <row r="48" spans="1:2">
      <c r="A48" t="s">
        <v>745</v>
      </c>
      <c r="B48" s="8">
        <v>3</v>
      </c>
    </row>
    <row r="49" spans="1:2">
      <c r="A49" t="s">
        <v>1113</v>
      </c>
      <c r="B49" s="8">
        <v>2</v>
      </c>
    </row>
    <row r="50" spans="1:2">
      <c r="A50" t="s">
        <v>334</v>
      </c>
      <c r="B50" s="8">
        <v>2</v>
      </c>
    </row>
    <row r="51" spans="1:2">
      <c r="A51" t="s">
        <v>1237</v>
      </c>
      <c r="B51" s="8">
        <v>2</v>
      </c>
    </row>
    <row r="52" spans="1:2">
      <c r="A52" t="s">
        <v>706</v>
      </c>
      <c r="B52" s="8">
        <v>2</v>
      </c>
    </row>
    <row r="53" spans="1:2">
      <c r="A53" t="s">
        <v>1540</v>
      </c>
      <c r="B53" s="8">
        <v>2</v>
      </c>
    </row>
    <row r="54" spans="1:2">
      <c r="A54" t="s">
        <v>711</v>
      </c>
      <c r="B54" s="8">
        <v>2</v>
      </c>
    </row>
    <row r="55" spans="1:2">
      <c r="A55" t="s">
        <v>328</v>
      </c>
      <c r="B55" s="8">
        <v>2</v>
      </c>
    </row>
    <row r="56" spans="1:2">
      <c r="A56" t="s">
        <v>716</v>
      </c>
      <c r="B56" s="8">
        <v>2</v>
      </c>
    </row>
    <row r="57" spans="1:2">
      <c r="A57" t="s">
        <v>608</v>
      </c>
      <c r="B57" s="8">
        <v>2</v>
      </c>
    </row>
    <row r="58" spans="1:2">
      <c r="A58" t="s">
        <v>149</v>
      </c>
      <c r="B58" s="8">
        <v>2</v>
      </c>
    </row>
    <row r="59" spans="1:2">
      <c r="A59" t="s">
        <v>658</v>
      </c>
      <c r="B59" s="8">
        <v>2</v>
      </c>
    </row>
    <row r="60" spans="1:2">
      <c r="A60" t="s">
        <v>731</v>
      </c>
      <c r="B60" s="8">
        <v>2</v>
      </c>
    </row>
    <row r="61" spans="1:2">
      <c r="A61" t="s">
        <v>1088</v>
      </c>
      <c r="B61" s="8">
        <v>2</v>
      </c>
    </row>
    <row r="62" spans="1:2">
      <c r="A62" t="s">
        <v>1587</v>
      </c>
      <c r="B62" s="8">
        <v>2</v>
      </c>
    </row>
    <row r="63" spans="1:2">
      <c r="A63" t="s">
        <v>1143</v>
      </c>
      <c r="B63" s="8">
        <v>2</v>
      </c>
    </row>
    <row r="64" spans="1:2">
      <c r="A64" t="s">
        <v>228</v>
      </c>
      <c r="B64" s="8">
        <v>2</v>
      </c>
    </row>
    <row r="65" spans="1:2">
      <c r="A65" t="s">
        <v>1203</v>
      </c>
      <c r="B65" s="8">
        <v>2</v>
      </c>
    </row>
    <row r="66" spans="1:2">
      <c r="A66" t="s">
        <v>102</v>
      </c>
      <c r="B66" s="8">
        <v>2</v>
      </c>
    </row>
    <row r="67" spans="1:2">
      <c r="A67" t="s">
        <v>1247</v>
      </c>
      <c r="B67" s="8">
        <v>2</v>
      </c>
    </row>
    <row r="68" spans="1:2">
      <c r="A68" t="s">
        <v>1594</v>
      </c>
      <c r="B68" s="8">
        <v>2</v>
      </c>
    </row>
    <row r="69" spans="1:2">
      <c r="A69" t="s">
        <v>331</v>
      </c>
      <c r="B69" s="8">
        <v>2</v>
      </c>
    </row>
    <row r="70" spans="1:2">
      <c r="A70" t="s">
        <v>23</v>
      </c>
      <c r="B70" s="8">
        <v>2</v>
      </c>
    </row>
    <row r="71" spans="1:2">
      <c r="A71" t="s">
        <v>351</v>
      </c>
      <c r="B71" s="8">
        <v>2</v>
      </c>
    </row>
    <row r="72" spans="1:2">
      <c r="A72" t="s">
        <v>429</v>
      </c>
      <c r="B72" s="8">
        <v>2</v>
      </c>
    </row>
    <row r="73" spans="1:2">
      <c r="A73" t="s">
        <v>1486</v>
      </c>
      <c r="B73" s="8">
        <v>2</v>
      </c>
    </row>
    <row r="74" spans="1:2">
      <c r="A74" t="s">
        <v>841</v>
      </c>
      <c r="B74" s="8">
        <v>2</v>
      </c>
    </row>
    <row r="75" spans="1:2">
      <c r="A75" t="s">
        <v>99</v>
      </c>
      <c r="B75" s="8">
        <v>2</v>
      </c>
    </row>
    <row r="76" spans="1:2">
      <c r="A76" t="s">
        <v>244</v>
      </c>
      <c r="B76" s="8">
        <v>2</v>
      </c>
    </row>
    <row r="77" spans="1:2">
      <c r="A77" t="s">
        <v>528</v>
      </c>
      <c r="B77" s="8">
        <v>2</v>
      </c>
    </row>
    <row r="78" spans="1:2">
      <c r="A78" t="s">
        <v>860</v>
      </c>
      <c r="B78" s="8">
        <v>2</v>
      </c>
    </row>
    <row r="79" spans="1:2">
      <c r="A79" t="s">
        <v>1136</v>
      </c>
      <c r="B79" s="8">
        <v>2</v>
      </c>
    </row>
    <row r="80" spans="1:2">
      <c r="A80" t="s">
        <v>270</v>
      </c>
      <c r="B80" s="8">
        <v>2</v>
      </c>
    </row>
    <row r="81" spans="1:2">
      <c r="A81" t="s">
        <v>541</v>
      </c>
      <c r="B81" s="8">
        <v>2</v>
      </c>
    </row>
    <row r="82" spans="1:2">
      <c r="A82" t="s">
        <v>875</v>
      </c>
      <c r="B82" s="8">
        <v>2</v>
      </c>
    </row>
    <row r="83" spans="1:2">
      <c r="A83" t="s">
        <v>1200</v>
      </c>
      <c r="B83" s="8">
        <v>2</v>
      </c>
    </row>
    <row r="84" spans="1:2">
      <c r="A84" t="s">
        <v>476</v>
      </c>
      <c r="B84" s="8">
        <v>2</v>
      </c>
    </row>
    <row r="85" spans="1:2">
      <c r="A85" t="s">
        <v>1210</v>
      </c>
      <c r="B85" s="8">
        <v>2</v>
      </c>
    </row>
    <row r="86" spans="1:2">
      <c r="A86" t="s">
        <v>890</v>
      </c>
      <c r="B86" s="8">
        <v>2</v>
      </c>
    </row>
    <row r="87" spans="1:2">
      <c r="A87" t="s">
        <v>1242</v>
      </c>
      <c r="B87" s="8">
        <v>2</v>
      </c>
    </row>
    <row r="88" spans="1:2">
      <c r="A88" t="s">
        <v>277</v>
      </c>
      <c r="B88" s="8">
        <v>2</v>
      </c>
    </row>
    <row r="89" spans="1:2">
      <c r="A89" t="s">
        <v>1272</v>
      </c>
      <c r="B89" s="8">
        <v>2</v>
      </c>
    </row>
    <row r="90" spans="1:2">
      <c r="A90" t="s">
        <v>941</v>
      </c>
      <c r="B90" s="8">
        <v>2</v>
      </c>
    </row>
    <row r="91" spans="1:2">
      <c r="A91" t="s">
        <v>1305</v>
      </c>
      <c r="B91" s="8">
        <v>2</v>
      </c>
    </row>
    <row r="92" spans="1:2">
      <c r="A92" t="s">
        <v>115</v>
      </c>
      <c r="B92" s="8">
        <v>2</v>
      </c>
    </row>
    <row r="93" spans="1:2">
      <c r="A93" t="s">
        <v>1341</v>
      </c>
      <c r="B93" s="8">
        <v>2</v>
      </c>
    </row>
    <row r="94" spans="1:2">
      <c r="A94" t="s">
        <v>1003</v>
      </c>
      <c r="B94" s="8">
        <v>2</v>
      </c>
    </row>
    <row r="95" spans="1:2">
      <c r="A95" t="s">
        <v>1391</v>
      </c>
      <c r="B95" s="8">
        <v>2</v>
      </c>
    </row>
    <row r="96" spans="1:2">
      <c r="A96" t="s">
        <v>1011</v>
      </c>
      <c r="B96" s="8">
        <v>2</v>
      </c>
    </row>
    <row r="97" spans="1:2">
      <c r="A97" t="s">
        <v>1443</v>
      </c>
      <c r="B97" s="8">
        <v>2</v>
      </c>
    </row>
    <row r="98" spans="1:2">
      <c r="A98" t="s">
        <v>514</v>
      </c>
      <c r="B98" s="8">
        <v>2</v>
      </c>
    </row>
    <row r="99" spans="1:2">
      <c r="A99" t="s">
        <v>665</v>
      </c>
      <c r="B99" s="8">
        <v>2</v>
      </c>
    </row>
    <row r="100" spans="1:2">
      <c r="A100" t="s">
        <v>1040</v>
      </c>
      <c r="B100" s="8">
        <v>2</v>
      </c>
    </row>
    <row r="101" spans="1:2">
      <c r="A101" t="s">
        <v>1503</v>
      </c>
      <c r="B101" s="8">
        <v>2</v>
      </c>
    </row>
    <row r="102" spans="1:2">
      <c r="A102" t="s">
        <v>519</v>
      </c>
      <c r="B102" s="8">
        <v>2</v>
      </c>
    </row>
    <row r="103" spans="1:2">
      <c r="A103" t="s">
        <v>1551</v>
      </c>
      <c r="B103" s="8">
        <v>2</v>
      </c>
    </row>
    <row r="104" spans="1:2">
      <c r="A104" t="s">
        <v>1071</v>
      </c>
      <c r="B104" s="8">
        <v>2</v>
      </c>
    </row>
    <row r="105" spans="1:2">
      <c r="A105" t="s">
        <v>389</v>
      </c>
      <c r="B105" s="8">
        <v>2</v>
      </c>
    </row>
    <row r="106" spans="1:2">
      <c r="A106" t="s">
        <v>1077</v>
      </c>
      <c r="B106" s="8">
        <v>2</v>
      </c>
    </row>
    <row r="107" spans="1:2">
      <c r="A107" t="s">
        <v>1597</v>
      </c>
      <c r="B107" s="8">
        <v>2</v>
      </c>
    </row>
    <row r="108" spans="1:2">
      <c r="A108" t="s">
        <v>1556</v>
      </c>
      <c r="B108" s="8">
        <v>1</v>
      </c>
    </row>
    <row r="109" spans="1:2">
      <c r="A109" t="s">
        <v>1217</v>
      </c>
      <c r="B109" s="8">
        <v>1</v>
      </c>
    </row>
    <row r="110" spans="1:2">
      <c r="A110" t="s">
        <v>221</v>
      </c>
      <c r="B110" s="8">
        <v>1</v>
      </c>
    </row>
    <row r="111" spans="1:2">
      <c r="A111" t="s">
        <v>300</v>
      </c>
      <c r="B111" s="8">
        <v>1</v>
      </c>
    </row>
    <row r="112" spans="1:2">
      <c r="A112" t="s">
        <v>1354</v>
      </c>
      <c r="B112" s="8">
        <v>1</v>
      </c>
    </row>
    <row r="113" spans="1:2">
      <c r="A113" t="s">
        <v>302</v>
      </c>
      <c r="B113" s="8">
        <v>1</v>
      </c>
    </row>
    <row r="114" spans="1:2">
      <c r="A114" t="s">
        <v>986</v>
      </c>
      <c r="B114" s="8">
        <v>1</v>
      </c>
    </row>
    <row r="115" spans="1:2">
      <c r="A115" t="s">
        <v>304</v>
      </c>
      <c r="B115" s="8">
        <v>1</v>
      </c>
    </row>
    <row r="116" spans="1:2">
      <c r="A116" t="s">
        <v>1146</v>
      </c>
      <c r="B116" s="8">
        <v>1</v>
      </c>
    </row>
    <row r="117" spans="1:2">
      <c r="A117" t="s">
        <v>306</v>
      </c>
      <c r="B117" s="8">
        <v>1</v>
      </c>
    </row>
    <row r="118" spans="1:2">
      <c r="A118" t="s">
        <v>1285</v>
      </c>
      <c r="B118" s="8">
        <v>1</v>
      </c>
    </row>
    <row r="119" spans="1:2">
      <c r="A119" t="s">
        <v>308</v>
      </c>
      <c r="B119" s="8">
        <v>1</v>
      </c>
    </row>
    <row r="120" spans="1:2">
      <c r="A120" t="s">
        <v>1489</v>
      </c>
      <c r="B120" s="8">
        <v>1</v>
      </c>
    </row>
    <row r="121" spans="1:2">
      <c r="A121" t="s">
        <v>310</v>
      </c>
      <c r="B121" s="8">
        <v>1</v>
      </c>
    </row>
    <row r="122" spans="1:2">
      <c r="A122" t="s">
        <v>954</v>
      </c>
      <c r="B122" s="8">
        <v>1</v>
      </c>
    </row>
    <row r="123" spans="1:2">
      <c r="A123" t="s">
        <v>312</v>
      </c>
      <c r="B123" s="8">
        <v>1</v>
      </c>
    </row>
    <row r="124" spans="1:2">
      <c r="A124" t="s">
        <v>1034</v>
      </c>
      <c r="B124" s="8">
        <v>1</v>
      </c>
    </row>
    <row r="125" spans="1:2">
      <c r="A125" t="s">
        <v>75</v>
      </c>
      <c r="B125" s="8">
        <v>1</v>
      </c>
    </row>
    <row r="126" spans="1:2">
      <c r="A126" t="s">
        <v>1111</v>
      </c>
      <c r="B126" s="8">
        <v>1</v>
      </c>
    </row>
    <row r="127" spans="1:2">
      <c r="A127" t="s">
        <v>318</v>
      </c>
      <c r="B127" s="8">
        <v>1</v>
      </c>
    </row>
    <row r="128" spans="1:2">
      <c r="A128" t="s">
        <v>1180</v>
      </c>
      <c r="B128" s="8">
        <v>1</v>
      </c>
    </row>
    <row r="129" spans="1:2">
      <c r="A129" t="s">
        <v>320</v>
      </c>
      <c r="B129" s="8">
        <v>1</v>
      </c>
    </row>
    <row r="130" spans="1:2">
      <c r="A130" t="s">
        <v>1252</v>
      </c>
      <c r="B130" s="8">
        <v>1</v>
      </c>
    </row>
    <row r="131" spans="1:2">
      <c r="A131" t="s">
        <v>322</v>
      </c>
      <c r="B131" s="8">
        <v>1</v>
      </c>
    </row>
    <row r="132" spans="1:2">
      <c r="A132" t="s">
        <v>1320</v>
      </c>
      <c r="B132" s="8">
        <v>1</v>
      </c>
    </row>
    <row r="133" spans="1:2">
      <c r="A133" t="s">
        <v>324</v>
      </c>
      <c r="B133" s="8">
        <v>1</v>
      </c>
    </row>
    <row r="134" spans="1:2">
      <c r="A134" t="s">
        <v>1435</v>
      </c>
      <c r="B134" s="8">
        <v>1</v>
      </c>
    </row>
    <row r="135" spans="1:2">
      <c r="A135" t="s">
        <v>326</v>
      </c>
      <c r="B135" s="8">
        <v>1</v>
      </c>
    </row>
    <row r="136" spans="1:2">
      <c r="A136" t="s">
        <v>1522</v>
      </c>
      <c r="B136" s="8">
        <v>1</v>
      </c>
    </row>
    <row r="137" spans="1:2">
      <c r="A137" t="s">
        <v>77</v>
      </c>
      <c r="B137" s="8">
        <v>1</v>
      </c>
    </row>
    <row r="138" spans="1:2">
      <c r="A138" t="s">
        <v>1590</v>
      </c>
      <c r="B138" s="8">
        <v>1</v>
      </c>
    </row>
    <row r="139" spans="1:2">
      <c r="A139" t="s">
        <v>79</v>
      </c>
      <c r="B139" s="8">
        <v>1</v>
      </c>
    </row>
    <row r="140" spans="1:2">
      <c r="A140" t="s">
        <v>970</v>
      </c>
      <c r="B140" s="8">
        <v>1</v>
      </c>
    </row>
    <row r="141" spans="1:2">
      <c r="A141" t="s">
        <v>81</v>
      </c>
      <c r="B141" s="8">
        <v>1</v>
      </c>
    </row>
    <row r="142" spans="1:2">
      <c r="A142" t="s">
        <v>1007</v>
      </c>
      <c r="B142" s="8">
        <v>1</v>
      </c>
    </row>
    <row r="143" spans="1:2">
      <c r="A143" t="s">
        <v>337</v>
      </c>
      <c r="B143" s="8">
        <v>1</v>
      </c>
    </row>
    <row r="144" spans="1:2">
      <c r="A144" t="s">
        <v>1051</v>
      </c>
      <c r="B144" s="8">
        <v>1</v>
      </c>
    </row>
    <row r="145" spans="1:2">
      <c r="A145" t="s">
        <v>339</v>
      </c>
      <c r="B145" s="8">
        <v>1</v>
      </c>
    </row>
    <row r="146" spans="1:2">
      <c r="A146" t="s">
        <v>64</v>
      </c>
      <c r="B146" s="8">
        <v>1</v>
      </c>
    </row>
    <row r="147" spans="1:2">
      <c r="A147" t="s">
        <v>341</v>
      </c>
      <c r="B147" s="8">
        <v>1</v>
      </c>
    </row>
    <row r="148" spans="1:2">
      <c r="A148" t="s">
        <v>1128</v>
      </c>
      <c r="B148" s="8">
        <v>1</v>
      </c>
    </row>
    <row r="149" spans="1:2">
      <c r="A149" t="s">
        <v>343</v>
      </c>
      <c r="B149" s="8">
        <v>1</v>
      </c>
    </row>
    <row r="150" spans="1:2">
      <c r="A150" t="s">
        <v>1162</v>
      </c>
      <c r="B150" s="8">
        <v>1</v>
      </c>
    </row>
    <row r="151" spans="1:2">
      <c r="A151" t="s">
        <v>345</v>
      </c>
      <c r="B151" s="8">
        <v>1</v>
      </c>
    </row>
    <row r="152" spans="1:2">
      <c r="A152" t="s">
        <v>1198</v>
      </c>
      <c r="B152" s="8">
        <v>1</v>
      </c>
    </row>
    <row r="153" spans="1:2">
      <c r="A153" t="s">
        <v>347</v>
      </c>
      <c r="B153" s="8">
        <v>1</v>
      </c>
    </row>
    <row r="154" spans="1:2">
      <c r="A154" t="s">
        <v>1233</v>
      </c>
      <c r="B154" s="8">
        <v>1</v>
      </c>
    </row>
    <row r="155" spans="1:2">
      <c r="A155" t="s">
        <v>349</v>
      </c>
      <c r="B155" s="8">
        <v>1</v>
      </c>
    </row>
    <row r="156" spans="1:2">
      <c r="A156" t="s">
        <v>1268</v>
      </c>
      <c r="B156" s="8">
        <v>1</v>
      </c>
    </row>
    <row r="157" spans="1:2">
      <c r="A157" t="s">
        <v>83</v>
      </c>
      <c r="B157" s="8">
        <v>1</v>
      </c>
    </row>
    <row r="158" spans="1:2">
      <c r="A158" t="s">
        <v>1303</v>
      </c>
      <c r="B158" s="8">
        <v>1</v>
      </c>
    </row>
    <row r="159" spans="1:2">
      <c r="A159" t="s">
        <v>354</v>
      </c>
      <c r="B159" s="8">
        <v>1</v>
      </c>
    </row>
    <row r="160" spans="1:2">
      <c r="A160" t="s">
        <v>1336</v>
      </c>
      <c r="B160" s="8">
        <v>1</v>
      </c>
    </row>
    <row r="161" spans="1:2">
      <c r="A161" t="s">
        <v>356</v>
      </c>
      <c r="B161" s="8">
        <v>1</v>
      </c>
    </row>
    <row r="162" spans="1:2">
      <c r="A162" t="s">
        <v>1387</v>
      </c>
      <c r="B162" s="8">
        <v>1</v>
      </c>
    </row>
    <row r="163" spans="1:2">
      <c r="A163" t="s">
        <v>358</v>
      </c>
      <c r="B163" s="8">
        <v>1</v>
      </c>
    </row>
    <row r="164" spans="1:2">
      <c r="A164" t="s">
        <v>1453</v>
      </c>
      <c r="B164" s="8">
        <v>1</v>
      </c>
    </row>
    <row r="165" spans="1:2">
      <c r="A165" t="s">
        <v>360</v>
      </c>
      <c r="B165" s="8">
        <v>1</v>
      </c>
    </row>
    <row r="166" spans="1:2">
      <c r="A166" t="s">
        <v>1506</v>
      </c>
      <c r="B166" s="8">
        <v>1</v>
      </c>
    </row>
    <row r="167" spans="1:2">
      <c r="A167" t="s">
        <v>362</v>
      </c>
      <c r="B167" s="8">
        <v>1</v>
      </c>
    </row>
    <row r="168" spans="1:2">
      <c r="A168" t="s">
        <v>1538</v>
      </c>
      <c r="B168" s="8">
        <v>1</v>
      </c>
    </row>
    <row r="169" spans="1:2">
      <c r="A169" t="s">
        <v>364</v>
      </c>
      <c r="B169" s="8">
        <v>1</v>
      </c>
    </row>
    <row r="170" spans="1:2">
      <c r="A170" t="s">
        <v>1573</v>
      </c>
      <c r="B170" s="8">
        <v>1</v>
      </c>
    </row>
    <row r="171" spans="1:2">
      <c r="A171" t="s">
        <v>366</v>
      </c>
      <c r="B171" s="8">
        <v>1</v>
      </c>
    </row>
    <row r="172" spans="1:2">
      <c r="A172" t="s">
        <v>946</v>
      </c>
      <c r="B172" s="8">
        <v>1</v>
      </c>
    </row>
    <row r="173" spans="1:2">
      <c r="A173" t="s">
        <v>368</v>
      </c>
      <c r="B173" s="8">
        <v>1</v>
      </c>
    </row>
    <row r="174" spans="1:2">
      <c r="A174" t="s">
        <v>962</v>
      </c>
      <c r="B174" s="8">
        <v>1</v>
      </c>
    </row>
    <row r="175" spans="1:2">
      <c r="A175" t="s">
        <v>370</v>
      </c>
      <c r="B175" s="8">
        <v>1</v>
      </c>
    </row>
    <row r="176" spans="1:2">
      <c r="A176" t="s">
        <v>978</v>
      </c>
      <c r="B176" s="8">
        <v>1</v>
      </c>
    </row>
    <row r="177" spans="1:2">
      <c r="A177" t="s">
        <v>85</v>
      </c>
      <c r="B177" s="8">
        <v>1</v>
      </c>
    </row>
    <row r="178" spans="1:2">
      <c r="A178" t="s">
        <v>994</v>
      </c>
      <c r="B178" s="8">
        <v>1</v>
      </c>
    </row>
    <row r="179" spans="1:2">
      <c r="A179" t="s">
        <v>379</v>
      </c>
      <c r="B179" s="8">
        <v>1</v>
      </c>
    </row>
    <row r="180" spans="1:2">
      <c r="A180" t="s">
        <v>215</v>
      </c>
      <c r="B180" s="8">
        <v>1</v>
      </c>
    </row>
    <row r="181" spans="1:2">
      <c r="A181" t="s">
        <v>381</v>
      </c>
      <c r="B181" s="8">
        <v>1</v>
      </c>
    </row>
    <row r="182" spans="1:2">
      <c r="A182" t="s">
        <v>1043</v>
      </c>
      <c r="B182" s="8">
        <v>1</v>
      </c>
    </row>
    <row r="183" spans="1:2">
      <c r="A183" t="s">
        <v>383</v>
      </c>
      <c r="B183" s="8">
        <v>1</v>
      </c>
    </row>
    <row r="184" spans="1:2">
      <c r="A184" t="s">
        <v>1059</v>
      </c>
      <c r="B184" s="8">
        <v>1</v>
      </c>
    </row>
    <row r="185" spans="1:2">
      <c r="A185" t="s">
        <v>385</v>
      </c>
      <c r="B185" s="8">
        <v>1</v>
      </c>
    </row>
    <row r="186" spans="1:2">
      <c r="A186" t="s">
        <v>1080</v>
      </c>
      <c r="B186" s="8">
        <v>1</v>
      </c>
    </row>
    <row r="187" spans="1:2">
      <c r="A187" t="s">
        <v>387</v>
      </c>
      <c r="B187" s="8">
        <v>1</v>
      </c>
    </row>
    <row r="188" spans="1:2">
      <c r="A188" t="s">
        <v>1097</v>
      </c>
      <c r="B188" s="8">
        <v>1</v>
      </c>
    </row>
    <row r="189" spans="1:2">
      <c r="A189" t="s">
        <v>87</v>
      </c>
      <c r="B189" s="8">
        <v>1</v>
      </c>
    </row>
    <row r="190" spans="1:2">
      <c r="A190" t="s">
        <v>1120</v>
      </c>
      <c r="B190" s="8">
        <v>1</v>
      </c>
    </row>
    <row r="191" spans="1:2">
      <c r="A191" t="s">
        <v>89</v>
      </c>
      <c r="B191" s="8">
        <v>1</v>
      </c>
    </row>
    <row r="192" spans="1:2">
      <c r="A192" t="s">
        <v>242</v>
      </c>
      <c r="B192" s="8">
        <v>1</v>
      </c>
    </row>
    <row r="193" spans="1:2">
      <c r="A193" t="s">
        <v>91</v>
      </c>
      <c r="B193" s="8">
        <v>1</v>
      </c>
    </row>
    <row r="194" spans="1:2">
      <c r="A194" t="s">
        <v>1154</v>
      </c>
      <c r="B194" s="8">
        <v>1</v>
      </c>
    </row>
    <row r="195" spans="1:2">
      <c r="A195" t="s">
        <v>405</v>
      </c>
      <c r="B195" s="8">
        <v>1</v>
      </c>
    </row>
    <row r="196" spans="1:2">
      <c r="A196" t="s">
        <v>247</v>
      </c>
      <c r="B196" s="8">
        <v>1</v>
      </c>
    </row>
    <row r="197" spans="1:2">
      <c r="A197" t="s">
        <v>407</v>
      </c>
      <c r="B197" s="8">
        <v>1</v>
      </c>
    </row>
    <row r="198" spans="1:2">
      <c r="A198" t="s">
        <v>249</v>
      </c>
      <c r="B198" s="8">
        <v>1</v>
      </c>
    </row>
    <row r="199" spans="1:2">
      <c r="A199" t="s">
        <v>409</v>
      </c>
      <c r="B199" s="8">
        <v>1</v>
      </c>
    </row>
    <row r="200" spans="1:2">
      <c r="A200" t="s">
        <v>1208</v>
      </c>
      <c r="B200" s="8">
        <v>1</v>
      </c>
    </row>
    <row r="201" spans="1:2">
      <c r="A201" t="s">
        <v>411</v>
      </c>
      <c r="B201" s="8">
        <v>1</v>
      </c>
    </row>
    <row r="202" spans="1:2">
      <c r="A202" t="s">
        <v>1225</v>
      </c>
      <c r="B202" s="8">
        <v>1</v>
      </c>
    </row>
    <row r="203" spans="1:2">
      <c r="A203" t="s">
        <v>413</v>
      </c>
      <c r="B203" s="8">
        <v>1</v>
      </c>
    </row>
    <row r="204" spans="1:2">
      <c r="A204" t="s">
        <v>259</v>
      </c>
      <c r="B204" s="8">
        <v>1</v>
      </c>
    </row>
    <row r="205" spans="1:2">
      <c r="A205" t="s">
        <v>415</v>
      </c>
      <c r="B205" s="8">
        <v>1</v>
      </c>
    </row>
    <row r="206" spans="1:2">
      <c r="A206" t="s">
        <v>1260</v>
      </c>
      <c r="B206" s="8">
        <v>1</v>
      </c>
    </row>
    <row r="207" spans="1:2">
      <c r="A207" t="s">
        <v>417</v>
      </c>
      <c r="B207" s="8">
        <v>1</v>
      </c>
    </row>
    <row r="208" spans="1:2">
      <c r="A208" t="s">
        <v>1277</v>
      </c>
      <c r="B208" s="8">
        <v>1</v>
      </c>
    </row>
    <row r="209" spans="1:2">
      <c r="A209" t="s">
        <v>35</v>
      </c>
      <c r="B209" s="8">
        <v>1</v>
      </c>
    </row>
    <row r="210" spans="1:2">
      <c r="A210" t="s">
        <v>1293</v>
      </c>
      <c r="B210" s="8">
        <v>1</v>
      </c>
    </row>
    <row r="211" spans="1:2">
      <c r="A211" t="s">
        <v>423</v>
      </c>
      <c r="B211" s="8">
        <v>1</v>
      </c>
    </row>
    <row r="212" spans="1:2">
      <c r="A212" t="s">
        <v>1312</v>
      </c>
      <c r="B212" s="8">
        <v>1</v>
      </c>
    </row>
    <row r="213" spans="1:2">
      <c r="A213" t="s">
        <v>425</v>
      </c>
      <c r="B213" s="8">
        <v>1</v>
      </c>
    </row>
    <row r="214" spans="1:2">
      <c r="A214" t="s">
        <v>1328</v>
      </c>
      <c r="B214" s="8">
        <v>1</v>
      </c>
    </row>
    <row r="215" spans="1:2">
      <c r="A215" t="s">
        <v>427</v>
      </c>
      <c r="B215" s="8">
        <v>1</v>
      </c>
    </row>
    <row r="216" spans="1:2">
      <c r="A216" t="s">
        <v>1346</v>
      </c>
      <c r="B216" s="8">
        <v>1</v>
      </c>
    </row>
    <row r="217" spans="1:2">
      <c r="A217" t="s">
        <v>39</v>
      </c>
      <c r="B217" s="8">
        <v>1</v>
      </c>
    </row>
    <row r="218" spans="1:2">
      <c r="A218" t="s">
        <v>1379</v>
      </c>
      <c r="B218" s="8">
        <v>1</v>
      </c>
    </row>
    <row r="219" spans="1:2">
      <c r="A219" t="s">
        <v>431</v>
      </c>
      <c r="B219" s="8">
        <v>1</v>
      </c>
    </row>
    <row r="220" spans="1:2">
      <c r="A220" t="s">
        <v>1427</v>
      </c>
      <c r="B220" s="8">
        <v>1</v>
      </c>
    </row>
    <row r="221" spans="1:2">
      <c r="A221" t="s">
        <v>433</v>
      </c>
      <c r="B221" s="8">
        <v>1</v>
      </c>
    </row>
    <row r="222" spans="1:2">
      <c r="A222" t="s">
        <v>280</v>
      </c>
      <c r="B222" s="8">
        <v>1</v>
      </c>
    </row>
    <row r="223" spans="1:2">
      <c r="A223" t="s">
        <v>42</v>
      </c>
      <c r="B223" s="8">
        <v>1</v>
      </c>
    </row>
    <row r="224" spans="1:2">
      <c r="A224" t="s">
        <v>1480</v>
      </c>
      <c r="B224" s="8">
        <v>1</v>
      </c>
    </row>
    <row r="225" spans="1:2">
      <c r="A225" t="s">
        <v>445</v>
      </c>
      <c r="B225" s="8">
        <v>1</v>
      </c>
    </row>
    <row r="226" spans="1:2">
      <c r="A226" t="s">
        <v>1497</v>
      </c>
      <c r="B226" s="8">
        <v>1</v>
      </c>
    </row>
    <row r="227" spans="1:2">
      <c r="A227" t="s">
        <v>447</v>
      </c>
      <c r="B227" s="8">
        <v>1</v>
      </c>
    </row>
    <row r="228" spans="1:2">
      <c r="A228" t="s">
        <v>1514</v>
      </c>
      <c r="B228" s="8">
        <v>1</v>
      </c>
    </row>
    <row r="229" spans="1:2">
      <c r="A229" t="s">
        <v>449</v>
      </c>
      <c r="B229" s="8">
        <v>1</v>
      </c>
    </row>
    <row r="230" spans="1:2">
      <c r="A230" t="s">
        <v>1530</v>
      </c>
      <c r="B230" s="8">
        <v>1</v>
      </c>
    </row>
    <row r="231" spans="1:2">
      <c r="A231" t="s">
        <v>451</v>
      </c>
      <c r="B231" s="8">
        <v>1</v>
      </c>
    </row>
    <row r="232" spans="1:2">
      <c r="A232" t="s">
        <v>1547</v>
      </c>
      <c r="B232" s="8">
        <v>1</v>
      </c>
    </row>
    <row r="233" spans="1:2">
      <c r="A233" t="s">
        <v>453</v>
      </c>
      <c r="B233" s="8">
        <v>1</v>
      </c>
    </row>
    <row r="234" spans="1:2">
      <c r="A234" t="s">
        <v>1565</v>
      </c>
      <c r="B234" s="8">
        <v>1</v>
      </c>
    </row>
    <row r="235" spans="1:2">
      <c r="A235" t="s">
        <v>455</v>
      </c>
      <c r="B235" s="8">
        <v>1</v>
      </c>
    </row>
    <row r="236" spans="1:2">
      <c r="A236" t="s">
        <v>1581</v>
      </c>
      <c r="B236" s="8">
        <v>1</v>
      </c>
    </row>
    <row r="237" spans="1:2">
      <c r="A237" t="s">
        <v>457</v>
      </c>
      <c r="B237" s="8">
        <v>1</v>
      </c>
    </row>
    <row r="238" spans="1:2">
      <c r="A238" t="s">
        <v>59</v>
      </c>
      <c r="B238" s="8">
        <v>1</v>
      </c>
    </row>
    <row r="239" spans="1:2">
      <c r="A239" t="s">
        <v>459</v>
      </c>
      <c r="B239" s="8">
        <v>1</v>
      </c>
    </row>
    <row r="240" spans="1:2">
      <c r="A240" t="s">
        <v>950</v>
      </c>
      <c r="B240" s="8">
        <v>1</v>
      </c>
    </row>
    <row r="241" spans="1:2">
      <c r="A241" t="s">
        <v>461</v>
      </c>
      <c r="B241" s="8">
        <v>1</v>
      </c>
    </row>
    <row r="242" spans="1:2">
      <c r="A242" t="s">
        <v>958</v>
      </c>
      <c r="B242" s="8">
        <v>1</v>
      </c>
    </row>
    <row r="243" spans="1:2">
      <c r="A243" t="s">
        <v>463</v>
      </c>
      <c r="B243" s="8">
        <v>1</v>
      </c>
    </row>
    <row r="244" spans="1:2">
      <c r="A244" t="s">
        <v>966</v>
      </c>
      <c r="B244" s="8">
        <v>1</v>
      </c>
    </row>
    <row r="245" spans="1:2">
      <c r="A245" t="s">
        <v>465</v>
      </c>
      <c r="B245" s="8">
        <v>1</v>
      </c>
    </row>
    <row r="246" spans="1:2">
      <c r="A246" t="s">
        <v>974</v>
      </c>
      <c r="B246" s="8">
        <v>1</v>
      </c>
    </row>
    <row r="247" spans="1:2">
      <c r="A247" t="s">
        <v>105</v>
      </c>
      <c r="B247" s="8">
        <v>1</v>
      </c>
    </row>
    <row r="248" spans="1:2">
      <c r="A248" t="s">
        <v>982</v>
      </c>
      <c r="B248" s="8">
        <v>1</v>
      </c>
    </row>
    <row r="249" spans="1:2">
      <c r="A249" t="s">
        <v>472</v>
      </c>
      <c r="B249" s="8">
        <v>1</v>
      </c>
    </row>
    <row r="250" spans="1:2">
      <c r="A250" t="s">
        <v>990</v>
      </c>
      <c r="B250" s="8">
        <v>1</v>
      </c>
    </row>
    <row r="251" spans="1:2">
      <c r="A251" t="s">
        <v>474</v>
      </c>
      <c r="B251" s="8">
        <v>1</v>
      </c>
    </row>
    <row r="252" spans="1:2">
      <c r="A252" t="s">
        <v>209</v>
      </c>
      <c r="B252" s="8">
        <v>1</v>
      </c>
    </row>
    <row r="253" spans="1:2">
      <c r="A253" t="s">
        <v>107</v>
      </c>
      <c r="B253" s="8">
        <v>1</v>
      </c>
    </row>
    <row r="254" spans="1:2">
      <c r="A254" t="s">
        <v>213</v>
      </c>
      <c r="B254" s="8">
        <v>1</v>
      </c>
    </row>
    <row r="255" spans="1:2">
      <c r="A255" t="s">
        <v>479</v>
      </c>
      <c r="B255" s="8">
        <v>1</v>
      </c>
    </row>
    <row r="256" spans="1:2">
      <c r="A256" t="s">
        <v>1030</v>
      </c>
      <c r="B256" s="8">
        <v>1</v>
      </c>
    </row>
    <row r="257" spans="1:2">
      <c r="A257" t="s">
        <v>481</v>
      </c>
      <c r="B257" s="8">
        <v>1</v>
      </c>
    </row>
    <row r="258" spans="1:2">
      <c r="A258" t="s">
        <v>1038</v>
      </c>
      <c r="B258" s="8">
        <v>1</v>
      </c>
    </row>
    <row r="259" spans="1:2">
      <c r="A259" t="s">
        <v>109</v>
      </c>
      <c r="B259" s="8">
        <v>1</v>
      </c>
    </row>
    <row r="260" spans="1:2">
      <c r="A260" t="s">
        <v>1047</v>
      </c>
      <c r="B260" s="8">
        <v>1</v>
      </c>
    </row>
    <row r="261" spans="1:2">
      <c r="A261" t="s">
        <v>487</v>
      </c>
      <c r="B261" s="8">
        <v>1</v>
      </c>
    </row>
    <row r="262" spans="1:2">
      <c r="A262" t="s">
        <v>1055</v>
      </c>
      <c r="B262" s="8">
        <v>1</v>
      </c>
    </row>
    <row r="263" spans="1:2">
      <c r="A263" t="s">
        <v>489</v>
      </c>
      <c r="B263" s="8">
        <v>1</v>
      </c>
    </row>
    <row r="264" spans="1:2">
      <c r="A264" t="s">
        <v>1067</v>
      </c>
      <c r="B264" s="8">
        <v>1</v>
      </c>
    </row>
    <row r="265" spans="1:2">
      <c r="A265" t="s">
        <v>111</v>
      </c>
      <c r="B265" s="8">
        <v>1</v>
      </c>
    </row>
    <row r="266" spans="1:2">
      <c r="A266" t="s">
        <v>1075</v>
      </c>
      <c r="B266" s="8">
        <v>1</v>
      </c>
    </row>
    <row r="267" spans="1:2">
      <c r="A267" t="s">
        <v>500</v>
      </c>
      <c r="B267" s="8">
        <v>1</v>
      </c>
    </row>
    <row r="268" spans="1:2">
      <c r="A268" t="s">
        <v>1084</v>
      </c>
      <c r="B268" s="8">
        <v>1</v>
      </c>
    </row>
    <row r="269" spans="1:2">
      <c r="A269" t="s">
        <v>502</v>
      </c>
      <c r="B269" s="8">
        <v>1</v>
      </c>
    </row>
    <row r="270" spans="1:2">
      <c r="A270" t="s">
        <v>1093</v>
      </c>
      <c r="B270" s="8">
        <v>1</v>
      </c>
    </row>
    <row r="271" spans="1:2">
      <c r="A271" t="s">
        <v>504</v>
      </c>
      <c r="B271" s="8">
        <v>1</v>
      </c>
    </row>
    <row r="272" spans="1:2">
      <c r="A272" t="s">
        <v>66</v>
      </c>
      <c r="B272" s="8">
        <v>1</v>
      </c>
    </row>
    <row r="273" spans="1:2">
      <c r="A273" t="s">
        <v>506</v>
      </c>
      <c r="B273" s="8">
        <v>1</v>
      </c>
    </row>
    <row r="274" spans="1:2">
      <c r="A274" t="s">
        <v>1116</v>
      </c>
      <c r="B274" s="8">
        <v>1</v>
      </c>
    </row>
    <row r="275" spans="1:2">
      <c r="A275" t="s">
        <v>508</v>
      </c>
      <c r="B275" s="8">
        <v>1</v>
      </c>
    </row>
    <row r="276" spans="1:2">
      <c r="A276" t="s">
        <v>1124</v>
      </c>
      <c r="B276" s="8">
        <v>1</v>
      </c>
    </row>
    <row r="277" spans="1:2">
      <c r="A277" t="s">
        <v>510</v>
      </c>
      <c r="B277" s="8">
        <v>1</v>
      </c>
    </row>
    <row r="278" spans="1:2">
      <c r="A278" t="s">
        <v>1132</v>
      </c>
      <c r="B278" s="8">
        <v>1</v>
      </c>
    </row>
    <row r="279" spans="1:2">
      <c r="A279" t="s">
        <v>512</v>
      </c>
      <c r="B279" s="8">
        <v>1</v>
      </c>
    </row>
    <row r="280" spans="1:2">
      <c r="A280" t="s">
        <v>1141</v>
      </c>
      <c r="B280" s="8">
        <v>1</v>
      </c>
    </row>
    <row r="281" spans="1:2">
      <c r="A281" t="s">
        <v>113</v>
      </c>
      <c r="B281" s="8">
        <v>1</v>
      </c>
    </row>
    <row r="282" spans="1:2">
      <c r="A282" t="s">
        <v>1150</v>
      </c>
      <c r="B282" s="8">
        <v>1</v>
      </c>
    </row>
    <row r="283" spans="1:2">
      <c r="A283" t="s">
        <v>517</v>
      </c>
      <c r="B283" s="8">
        <v>1</v>
      </c>
    </row>
    <row r="284" spans="1:2">
      <c r="A284" t="s">
        <v>1158</v>
      </c>
      <c r="B284" s="8">
        <v>1</v>
      </c>
    </row>
    <row r="285" spans="1:2">
      <c r="A285" t="s">
        <v>44</v>
      </c>
      <c r="B285" s="8">
        <v>1</v>
      </c>
    </row>
    <row r="286" spans="1:2">
      <c r="A286" t="s">
        <v>1166</v>
      </c>
      <c r="B286" s="8">
        <v>1</v>
      </c>
    </row>
    <row r="287" spans="1:2">
      <c r="A287" t="s">
        <v>522</v>
      </c>
      <c r="B287" s="8">
        <v>1</v>
      </c>
    </row>
    <row r="288" spans="1:2">
      <c r="A288" t="s">
        <v>1176</v>
      </c>
      <c r="B288" s="8">
        <v>1</v>
      </c>
    </row>
    <row r="289" spans="1:2">
      <c r="A289" t="s">
        <v>524</v>
      </c>
      <c r="B289" s="8">
        <v>1</v>
      </c>
    </row>
    <row r="290" spans="1:2">
      <c r="A290" t="s">
        <v>1183</v>
      </c>
      <c r="B290" s="8">
        <v>1</v>
      </c>
    </row>
    <row r="291" spans="1:2">
      <c r="A291" t="s">
        <v>526</v>
      </c>
      <c r="B291" s="8">
        <v>1</v>
      </c>
    </row>
    <row r="292" spans="1:2">
      <c r="A292" t="s">
        <v>1194</v>
      </c>
      <c r="B292" s="8">
        <v>1</v>
      </c>
    </row>
    <row r="293" spans="1:2">
      <c r="A293" t="s">
        <v>118</v>
      </c>
      <c r="B293" s="8">
        <v>1</v>
      </c>
    </row>
    <row r="294" spans="1:2">
      <c r="A294" t="s">
        <v>253</v>
      </c>
      <c r="B294" s="8">
        <v>1</v>
      </c>
    </row>
    <row r="295" spans="1:2">
      <c r="A295" t="s">
        <v>531</v>
      </c>
      <c r="B295" s="8">
        <v>1</v>
      </c>
    </row>
    <row r="296" spans="1:2">
      <c r="A296" t="s">
        <v>1213</v>
      </c>
      <c r="B296" s="8">
        <v>1</v>
      </c>
    </row>
    <row r="297" spans="1:2">
      <c r="A297" t="s">
        <v>533</v>
      </c>
      <c r="B297" s="8">
        <v>1</v>
      </c>
    </row>
    <row r="298" spans="1:2">
      <c r="A298" t="s">
        <v>1221</v>
      </c>
      <c r="B298" s="8">
        <v>1</v>
      </c>
    </row>
    <row r="299" spans="1:2">
      <c r="A299" t="s">
        <v>535</v>
      </c>
      <c r="B299" s="8">
        <v>1</v>
      </c>
    </row>
    <row r="300" spans="1:2">
      <c r="A300" t="s">
        <v>1229</v>
      </c>
      <c r="B300" s="8">
        <v>1</v>
      </c>
    </row>
    <row r="301" spans="1:2">
      <c r="A301" t="s">
        <v>537</v>
      </c>
      <c r="B301" s="8">
        <v>1</v>
      </c>
    </row>
    <row r="302" spans="1:2">
      <c r="A302" t="s">
        <v>257</v>
      </c>
      <c r="B302" s="8">
        <v>1</v>
      </c>
    </row>
    <row r="303" spans="1:2">
      <c r="A303" t="s">
        <v>539</v>
      </c>
      <c r="B303" s="8">
        <v>1</v>
      </c>
    </row>
    <row r="304" spans="1:2">
      <c r="A304" t="s">
        <v>260</v>
      </c>
      <c r="B304" s="8">
        <v>1</v>
      </c>
    </row>
    <row r="305" spans="1:2">
      <c r="A305" t="s">
        <v>120</v>
      </c>
      <c r="B305" s="8">
        <v>1</v>
      </c>
    </row>
    <row r="306" spans="1:2">
      <c r="A306" t="s">
        <v>1256</v>
      </c>
      <c r="B306" s="8">
        <v>1</v>
      </c>
    </row>
    <row r="307" spans="1:2">
      <c r="A307" t="s">
        <v>543</v>
      </c>
      <c r="B307" s="8">
        <v>1</v>
      </c>
    </row>
    <row r="308" spans="1:2">
      <c r="A308" t="s">
        <v>1264</v>
      </c>
      <c r="B308" s="8">
        <v>1</v>
      </c>
    </row>
    <row r="309" spans="1:2">
      <c r="A309" t="s">
        <v>545</v>
      </c>
      <c r="B309" s="8">
        <v>1</v>
      </c>
    </row>
    <row r="310" spans="1:2">
      <c r="A310" t="s">
        <v>262</v>
      </c>
      <c r="B310" s="8">
        <v>1</v>
      </c>
    </row>
    <row r="311" spans="1:2">
      <c r="A311" t="s">
        <v>547</v>
      </c>
      <c r="B311" s="8">
        <v>1</v>
      </c>
    </row>
    <row r="312" spans="1:2">
      <c r="A312" t="s">
        <v>1281</v>
      </c>
      <c r="B312" s="8">
        <v>1</v>
      </c>
    </row>
    <row r="313" spans="1:2">
      <c r="A313" t="s">
        <v>549</v>
      </c>
      <c r="B313" s="8">
        <v>1</v>
      </c>
    </row>
    <row r="314" spans="1:2">
      <c r="A314" t="s">
        <v>1289</v>
      </c>
      <c r="B314" s="8">
        <v>1</v>
      </c>
    </row>
    <row r="315" spans="1:2">
      <c r="A315" t="s">
        <v>551</v>
      </c>
      <c r="B315" s="8">
        <v>1</v>
      </c>
    </row>
    <row r="316" spans="1:2">
      <c r="A316" t="s">
        <v>264</v>
      </c>
      <c r="B316" s="8">
        <v>1</v>
      </c>
    </row>
    <row r="317" spans="1:2">
      <c r="A317" t="s">
        <v>305</v>
      </c>
      <c r="B317" s="8">
        <v>1</v>
      </c>
    </row>
    <row r="318" spans="1:2">
      <c r="A318" t="s">
        <v>1308</v>
      </c>
      <c r="B318" s="8">
        <v>1</v>
      </c>
    </row>
    <row r="319" spans="1:2">
      <c r="A319" t="s">
        <v>554</v>
      </c>
      <c r="B319" s="8">
        <v>1</v>
      </c>
    </row>
    <row r="320" spans="1:2">
      <c r="A320" t="s">
        <v>1316</v>
      </c>
      <c r="B320" s="8">
        <v>1</v>
      </c>
    </row>
    <row r="321" spans="1:2">
      <c r="A321" t="s">
        <v>556</v>
      </c>
      <c r="B321" s="8">
        <v>1</v>
      </c>
    </row>
    <row r="322" spans="1:2">
      <c r="A322" t="s">
        <v>1324</v>
      </c>
      <c r="B322" s="8">
        <v>1</v>
      </c>
    </row>
    <row r="323" spans="1:2">
      <c r="A323" t="s">
        <v>558</v>
      </c>
      <c r="B323" s="8">
        <v>1</v>
      </c>
    </row>
    <row r="324" spans="1:2">
      <c r="A324" t="s">
        <v>1332</v>
      </c>
      <c r="B324" s="8">
        <v>1</v>
      </c>
    </row>
    <row r="325" spans="1:2">
      <c r="A325" t="s">
        <v>560</v>
      </c>
      <c r="B325" s="8">
        <v>1</v>
      </c>
    </row>
    <row r="326" spans="1:2">
      <c r="A326" t="s">
        <v>70</v>
      </c>
      <c r="B326" s="8">
        <v>1</v>
      </c>
    </row>
    <row r="327" spans="1:2">
      <c r="A327" t="s">
        <v>562</v>
      </c>
      <c r="B327" s="8">
        <v>1</v>
      </c>
    </row>
    <row r="328" spans="1:2">
      <c r="A328" t="s">
        <v>1350</v>
      </c>
      <c r="B328" s="8">
        <v>1</v>
      </c>
    </row>
    <row r="329" spans="1:2">
      <c r="A329" t="s">
        <v>564</v>
      </c>
      <c r="B329" s="8">
        <v>1</v>
      </c>
    </row>
    <row r="330" spans="1:2">
      <c r="A330" t="s">
        <v>1375</v>
      </c>
      <c r="B330" s="8">
        <v>1</v>
      </c>
    </row>
    <row r="331" spans="1:2">
      <c r="A331" t="s">
        <v>566</v>
      </c>
      <c r="B331" s="8">
        <v>1</v>
      </c>
    </row>
    <row r="332" spans="1:2">
      <c r="A332" t="s">
        <v>1383</v>
      </c>
      <c r="B332" s="8">
        <v>1</v>
      </c>
    </row>
    <row r="333" spans="1:2">
      <c r="A333" t="s">
        <v>568</v>
      </c>
      <c r="B333" s="8">
        <v>1</v>
      </c>
    </row>
    <row r="334" spans="1:2">
      <c r="A334" t="s">
        <v>275</v>
      </c>
      <c r="B334" s="8">
        <v>1</v>
      </c>
    </row>
    <row r="335" spans="1:2">
      <c r="A335" t="s">
        <v>570</v>
      </c>
      <c r="B335" s="8">
        <v>1</v>
      </c>
    </row>
    <row r="336" spans="1:2">
      <c r="A336" t="s">
        <v>1431</v>
      </c>
      <c r="B336" s="8">
        <v>1</v>
      </c>
    </row>
    <row r="337" spans="1:2">
      <c r="A337" t="s">
        <v>572</v>
      </c>
      <c r="B337" s="8">
        <v>1</v>
      </c>
    </row>
    <row r="338" spans="1:2">
      <c r="A338" t="s">
        <v>1439</v>
      </c>
      <c r="B338" s="8">
        <v>1</v>
      </c>
    </row>
    <row r="339" spans="1:2">
      <c r="A339" t="s">
        <v>574</v>
      </c>
      <c r="B339" s="8">
        <v>1</v>
      </c>
    </row>
    <row r="340" spans="1:2">
      <c r="A340" t="s">
        <v>282</v>
      </c>
      <c r="B340" s="8">
        <v>1</v>
      </c>
    </row>
    <row r="341" spans="1:2">
      <c r="A341" t="s">
        <v>576</v>
      </c>
      <c r="B341" s="8">
        <v>1</v>
      </c>
    </row>
    <row r="342" spans="1:2">
      <c r="A342" t="s">
        <v>1457</v>
      </c>
      <c r="B342" s="8">
        <v>1</v>
      </c>
    </row>
    <row r="343" spans="1:2">
      <c r="A343" t="s">
        <v>578</v>
      </c>
      <c r="B343" s="8">
        <v>1</v>
      </c>
    </row>
    <row r="344" spans="1:2">
      <c r="A344" t="s">
        <v>1484</v>
      </c>
      <c r="B344" s="8">
        <v>1</v>
      </c>
    </row>
    <row r="345" spans="1:2">
      <c r="A345" t="s">
        <v>580</v>
      </c>
      <c r="B345" s="8">
        <v>1</v>
      </c>
    </row>
    <row r="346" spans="1:2">
      <c r="A346" t="s">
        <v>1493</v>
      </c>
      <c r="B346" s="8">
        <v>1</v>
      </c>
    </row>
    <row r="347" spans="1:2">
      <c r="A347" t="s">
        <v>582</v>
      </c>
      <c r="B347" s="8">
        <v>1</v>
      </c>
    </row>
    <row r="348" spans="1:2">
      <c r="A348" t="s">
        <v>1501</v>
      </c>
      <c r="B348" s="8">
        <v>1</v>
      </c>
    </row>
    <row r="349" spans="1:2">
      <c r="A349" t="s">
        <v>584</v>
      </c>
      <c r="B349" s="8">
        <v>1</v>
      </c>
    </row>
    <row r="350" spans="1:2">
      <c r="A350" t="s">
        <v>1510</v>
      </c>
      <c r="B350" s="8">
        <v>1</v>
      </c>
    </row>
    <row r="351" spans="1:2">
      <c r="A351" t="s">
        <v>586</v>
      </c>
      <c r="B351" s="8">
        <v>1</v>
      </c>
    </row>
    <row r="352" spans="1:2">
      <c r="A352" t="s">
        <v>1518</v>
      </c>
      <c r="B352" s="8">
        <v>1</v>
      </c>
    </row>
    <row r="353" spans="1:2">
      <c r="A353" t="s">
        <v>588</v>
      </c>
      <c r="B353" s="8">
        <v>1</v>
      </c>
    </row>
    <row r="354" spans="1:2">
      <c r="A354" t="s">
        <v>1526</v>
      </c>
      <c r="B354" s="8">
        <v>1</v>
      </c>
    </row>
    <row r="355" spans="1:2">
      <c r="A355" t="s">
        <v>122</v>
      </c>
      <c r="B355" s="8">
        <v>1</v>
      </c>
    </row>
    <row r="356" spans="1:2">
      <c r="A356" t="s">
        <v>1534</v>
      </c>
      <c r="B356" s="8">
        <v>1</v>
      </c>
    </row>
    <row r="357" spans="1:2">
      <c r="A357" t="s">
        <v>46</v>
      </c>
      <c r="B357" s="8">
        <v>1</v>
      </c>
    </row>
    <row r="358" spans="1:2">
      <c r="A358" t="s">
        <v>1543</v>
      </c>
      <c r="B358" s="8">
        <v>1</v>
      </c>
    </row>
    <row r="359" spans="1:2">
      <c r="A359" t="s">
        <v>611</v>
      </c>
      <c r="B359" s="8">
        <v>1</v>
      </c>
    </row>
    <row r="360" spans="1:2">
      <c r="A360" t="s">
        <v>292</v>
      </c>
      <c r="B360" s="8">
        <v>1</v>
      </c>
    </row>
    <row r="361" spans="1:2">
      <c r="A361" t="s">
        <v>145</v>
      </c>
      <c r="B361" s="8">
        <v>1</v>
      </c>
    </row>
    <row r="362" spans="1:2">
      <c r="A362" t="s">
        <v>1562</v>
      </c>
      <c r="B362" s="8">
        <v>1</v>
      </c>
    </row>
    <row r="363" spans="1:2">
      <c r="A363" t="s">
        <v>617</v>
      </c>
      <c r="B363" s="8">
        <v>1</v>
      </c>
    </row>
    <row r="364" spans="1:2">
      <c r="A364" t="s">
        <v>1569</v>
      </c>
      <c r="B364" s="8">
        <v>1</v>
      </c>
    </row>
    <row r="365" spans="1:2">
      <c r="A365" t="s">
        <v>619</v>
      </c>
      <c r="B365" s="8">
        <v>1</v>
      </c>
    </row>
    <row r="366" spans="1:2">
      <c r="A366" t="s">
        <v>1577</v>
      </c>
      <c r="B366" s="8">
        <v>1</v>
      </c>
    </row>
    <row r="367" spans="1:2">
      <c r="A367" t="s">
        <v>621</v>
      </c>
      <c r="B367" s="8">
        <v>1</v>
      </c>
    </row>
    <row r="368" spans="1:2">
      <c r="A368" t="s">
        <v>1585</v>
      </c>
      <c r="B368" s="8">
        <v>1</v>
      </c>
    </row>
    <row r="369" spans="1:2">
      <c r="A369" t="s">
        <v>623</v>
      </c>
      <c r="B369" s="8">
        <v>1</v>
      </c>
    </row>
    <row r="370" spans="1:2">
      <c r="A370" t="s">
        <v>298</v>
      </c>
      <c r="B370" s="8">
        <v>1</v>
      </c>
    </row>
    <row r="371" spans="1:2">
      <c r="A371" t="s">
        <v>625</v>
      </c>
      <c r="B371" s="8">
        <v>1</v>
      </c>
    </row>
    <row r="372" spans="1:2">
      <c r="A372" t="s">
        <v>944</v>
      </c>
      <c r="B372" s="8">
        <v>1</v>
      </c>
    </row>
    <row r="373" spans="1:2">
      <c r="A373" t="s">
        <v>627</v>
      </c>
      <c r="B373" s="8">
        <v>1</v>
      </c>
    </row>
    <row r="374" spans="1:2">
      <c r="A374" t="s">
        <v>948</v>
      </c>
      <c r="B374" s="8">
        <v>1</v>
      </c>
    </row>
    <row r="375" spans="1:2">
      <c r="A375" t="s">
        <v>629</v>
      </c>
      <c r="B375" s="8">
        <v>1</v>
      </c>
    </row>
    <row r="376" spans="1:2">
      <c r="A376" t="s">
        <v>952</v>
      </c>
      <c r="B376" s="8">
        <v>1</v>
      </c>
    </row>
    <row r="377" spans="1:2">
      <c r="A377" t="s">
        <v>631</v>
      </c>
      <c r="B377" s="8">
        <v>1</v>
      </c>
    </row>
    <row r="378" spans="1:2">
      <c r="A378" t="s">
        <v>956</v>
      </c>
      <c r="B378" s="8">
        <v>1</v>
      </c>
    </row>
    <row r="379" spans="1:2">
      <c r="A379" t="s">
        <v>147</v>
      </c>
      <c r="B379" s="8">
        <v>1</v>
      </c>
    </row>
    <row r="380" spans="1:2">
      <c r="A380" t="s">
        <v>960</v>
      </c>
      <c r="B380" s="8">
        <v>1</v>
      </c>
    </row>
    <row r="381" spans="1:2">
      <c r="A381" t="s">
        <v>638</v>
      </c>
      <c r="B381" s="8">
        <v>1</v>
      </c>
    </row>
    <row r="382" spans="1:2">
      <c r="A382" t="s">
        <v>964</v>
      </c>
      <c r="B382" s="8">
        <v>1</v>
      </c>
    </row>
    <row r="383" spans="1:2">
      <c r="A383" t="s">
        <v>640</v>
      </c>
      <c r="B383" s="8">
        <v>1</v>
      </c>
    </row>
    <row r="384" spans="1:2">
      <c r="A384" t="s">
        <v>968</v>
      </c>
      <c r="B384" s="8">
        <v>1</v>
      </c>
    </row>
    <row r="385" spans="1:2">
      <c r="A385" t="s">
        <v>642</v>
      </c>
      <c r="B385" s="8">
        <v>1</v>
      </c>
    </row>
    <row r="386" spans="1:2">
      <c r="A386" t="s">
        <v>972</v>
      </c>
      <c r="B386" s="8">
        <v>1</v>
      </c>
    </row>
    <row r="387" spans="1:2">
      <c r="A387" t="s">
        <v>644</v>
      </c>
      <c r="B387" s="8">
        <v>1</v>
      </c>
    </row>
    <row r="388" spans="1:2">
      <c r="A388" t="s">
        <v>976</v>
      </c>
      <c r="B388" s="8">
        <v>1</v>
      </c>
    </row>
    <row r="389" spans="1:2">
      <c r="A389" t="s">
        <v>646</v>
      </c>
      <c r="B389" s="8">
        <v>1</v>
      </c>
    </row>
    <row r="390" spans="1:2">
      <c r="A390" t="s">
        <v>980</v>
      </c>
      <c r="B390" s="8">
        <v>1</v>
      </c>
    </row>
    <row r="391" spans="1:2">
      <c r="A391" t="s">
        <v>648</v>
      </c>
      <c r="B391" s="8">
        <v>1</v>
      </c>
    </row>
    <row r="392" spans="1:2">
      <c r="A392" t="s">
        <v>984</v>
      </c>
      <c r="B392" s="8">
        <v>1</v>
      </c>
    </row>
    <row r="393" spans="1:2">
      <c r="A393" t="s">
        <v>30</v>
      </c>
      <c r="B393" s="8">
        <v>1</v>
      </c>
    </row>
    <row r="394" spans="1:2">
      <c r="A394" t="s">
        <v>988</v>
      </c>
      <c r="B394" s="8">
        <v>1</v>
      </c>
    </row>
    <row r="395" spans="1:2">
      <c r="A395" t="s">
        <v>654</v>
      </c>
      <c r="B395" s="8">
        <v>1</v>
      </c>
    </row>
    <row r="396" spans="1:2">
      <c r="A396" t="s">
        <v>992</v>
      </c>
      <c r="B396" s="8">
        <v>1</v>
      </c>
    </row>
    <row r="397" spans="1:2">
      <c r="A397" t="s">
        <v>656</v>
      </c>
      <c r="B397" s="8">
        <v>1</v>
      </c>
    </row>
    <row r="398" spans="1:2">
      <c r="A398" t="s">
        <v>996</v>
      </c>
      <c r="B398" s="8">
        <v>1</v>
      </c>
    </row>
    <row r="399" spans="1:2">
      <c r="A399" t="s">
        <v>152</v>
      </c>
      <c r="B399" s="8">
        <v>1</v>
      </c>
    </row>
    <row r="400" spans="1:2">
      <c r="A400" t="s">
        <v>211</v>
      </c>
      <c r="B400" s="8">
        <v>1</v>
      </c>
    </row>
    <row r="401" spans="1:2">
      <c r="A401" t="s">
        <v>661</v>
      </c>
      <c r="B401" s="8">
        <v>1</v>
      </c>
    </row>
    <row r="402" spans="1:2">
      <c r="A402" t="s">
        <v>1009</v>
      </c>
      <c r="B402" s="8">
        <v>1</v>
      </c>
    </row>
    <row r="403" spans="1:2">
      <c r="A403" t="s">
        <v>663</v>
      </c>
      <c r="B403" s="8">
        <v>1</v>
      </c>
    </row>
    <row r="404" spans="1:2">
      <c r="A404" t="s">
        <v>1014</v>
      </c>
      <c r="B404" s="8">
        <v>1</v>
      </c>
    </row>
    <row r="405" spans="1:2">
      <c r="A405" t="s">
        <v>154</v>
      </c>
      <c r="B405" s="8">
        <v>1</v>
      </c>
    </row>
    <row r="406" spans="1:2">
      <c r="A406" t="s">
        <v>1028</v>
      </c>
      <c r="B406" s="8">
        <v>1</v>
      </c>
    </row>
    <row r="407" spans="1:2">
      <c r="A407" t="s">
        <v>668</v>
      </c>
      <c r="B407" s="8">
        <v>1</v>
      </c>
    </row>
    <row r="408" spans="1:2">
      <c r="A408" t="s">
        <v>1032</v>
      </c>
      <c r="B408" s="8">
        <v>1</v>
      </c>
    </row>
    <row r="409" spans="1:2">
      <c r="A409" t="s">
        <v>670</v>
      </c>
      <c r="B409" s="8">
        <v>1</v>
      </c>
    </row>
    <row r="410" spans="1:2">
      <c r="A410" t="s">
        <v>1036</v>
      </c>
      <c r="B410" s="8">
        <v>1</v>
      </c>
    </row>
    <row r="411" spans="1:2">
      <c r="A411" t="s">
        <v>672</v>
      </c>
      <c r="B411" s="8">
        <v>1</v>
      </c>
    </row>
    <row r="412" spans="1:2">
      <c r="A412" t="s">
        <v>217</v>
      </c>
      <c r="B412" s="8">
        <v>1</v>
      </c>
    </row>
    <row r="413" spans="1:2">
      <c r="A413" t="s">
        <v>674</v>
      </c>
      <c r="B413" s="8">
        <v>1</v>
      </c>
    </row>
    <row r="414" spans="1:2">
      <c r="A414" t="s">
        <v>1045</v>
      </c>
      <c r="B414" s="8">
        <v>1</v>
      </c>
    </row>
    <row r="415" spans="1:2">
      <c r="A415" t="s">
        <v>676</v>
      </c>
      <c r="B415" s="8">
        <v>1</v>
      </c>
    </row>
    <row r="416" spans="1:2">
      <c r="A416" t="s">
        <v>1049</v>
      </c>
      <c r="B416" s="8">
        <v>1</v>
      </c>
    </row>
    <row r="417" spans="1:2">
      <c r="A417" t="s">
        <v>678</v>
      </c>
      <c r="B417" s="8">
        <v>1</v>
      </c>
    </row>
    <row r="418" spans="1:2">
      <c r="A418" t="s">
        <v>1053</v>
      </c>
      <c r="B418" s="8">
        <v>1</v>
      </c>
    </row>
    <row r="419" spans="1:2">
      <c r="A419" t="s">
        <v>156</v>
      </c>
      <c r="B419" s="8">
        <v>1</v>
      </c>
    </row>
    <row r="420" spans="1:2">
      <c r="A420" t="s">
        <v>1057</v>
      </c>
      <c r="B420" s="8">
        <v>1</v>
      </c>
    </row>
    <row r="421" spans="1:2">
      <c r="A421" t="s">
        <v>684</v>
      </c>
      <c r="B421" s="8">
        <v>1</v>
      </c>
    </row>
    <row r="422" spans="1:2">
      <c r="A422" t="s">
        <v>219</v>
      </c>
      <c r="B422" s="8">
        <v>1</v>
      </c>
    </row>
    <row r="423" spans="1:2">
      <c r="A423" t="s">
        <v>686</v>
      </c>
      <c r="B423" s="8">
        <v>1</v>
      </c>
    </row>
    <row r="424" spans="1:2">
      <c r="A424" t="s">
        <v>1069</v>
      </c>
      <c r="B424" s="8">
        <v>1</v>
      </c>
    </row>
    <row r="425" spans="1:2">
      <c r="A425" t="s">
        <v>688</v>
      </c>
      <c r="B425" s="8">
        <v>1</v>
      </c>
    </row>
    <row r="426" spans="1:2">
      <c r="A426" t="s">
        <v>1073</v>
      </c>
      <c r="B426" s="8">
        <v>1</v>
      </c>
    </row>
    <row r="427" spans="1:2">
      <c r="A427" t="s">
        <v>690</v>
      </c>
      <c r="B427" s="8">
        <v>1</v>
      </c>
    </row>
    <row r="428" spans="1:2">
      <c r="A428" t="s">
        <v>61</v>
      </c>
      <c r="B428" s="8">
        <v>1</v>
      </c>
    </row>
    <row r="429" spans="1:2">
      <c r="A429" t="s">
        <v>692</v>
      </c>
      <c r="B429" s="8">
        <v>1</v>
      </c>
    </row>
    <row r="430" spans="1:2">
      <c r="A430" t="s">
        <v>1082</v>
      </c>
      <c r="B430" s="8">
        <v>1</v>
      </c>
    </row>
    <row r="431" spans="1:2">
      <c r="A431" t="s">
        <v>694</v>
      </c>
      <c r="B431" s="8">
        <v>1</v>
      </c>
    </row>
    <row r="432" spans="1:2">
      <c r="A432" t="s">
        <v>1086</v>
      </c>
      <c r="B432" s="8">
        <v>1</v>
      </c>
    </row>
    <row r="433" spans="1:2">
      <c r="A433" t="s">
        <v>158</v>
      </c>
      <c r="B433" s="8">
        <v>1</v>
      </c>
    </row>
    <row r="434" spans="1:2">
      <c r="A434" t="s">
        <v>1091</v>
      </c>
      <c r="B434" s="8">
        <v>1</v>
      </c>
    </row>
    <row r="435" spans="1:2">
      <c r="A435" t="s">
        <v>700</v>
      </c>
      <c r="B435" s="8">
        <v>1</v>
      </c>
    </row>
    <row r="436" spans="1:2">
      <c r="A436" t="s">
        <v>1095</v>
      </c>
      <c r="B436" s="8">
        <v>1</v>
      </c>
    </row>
    <row r="437" spans="1:2">
      <c r="A437" t="s">
        <v>702</v>
      </c>
      <c r="B437" s="8">
        <v>1</v>
      </c>
    </row>
    <row r="438" spans="1:2">
      <c r="A438" t="s">
        <v>1099</v>
      </c>
      <c r="B438" s="8">
        <v>1</v>
      </c>
    </row>
    <row r="439" spans="1:2">
      <c r="A439" t="s">
        <v>704</v>
      </c>
      <c r="B439" s="8">
        <v>1</v>
      </c>
    </row>
    <row r="440" spans="1:2">
      <c r="A440" t="s">
        <v>1109</v>
      </c>
      <c r="B440" s="8">
        <v>1</v>
      </c>
    </row>
    <row r="441" spans="1:2">
      <c r="A441" t="s">
        <v>160</v>
      </c>
      <c r="B441" s="8">
        <v>1</v>
      </c>
    </row>
    <row r="442" spans="1:2">
      <c r="A442" t="s">
        <v>240</v>
      </c>
      <c r="B442" s="8">
        <v>1</v>
      </c>
    </row>
    <row r="443" spans="1:2">
      <c r="A443" t="s">
        <v>709</v>
      </c>
      <c r="B443" s="8">
        <v>1</v>
      </c>
    </row>
    <row r="444" spans="1:2">
      <c r="A444" t="s">
        <v>1118</v>
      </c>
      <c r="B444" s="8">
        <v>1</v>
      </c>
    </row>
    <row r="445" spans="1:2">
      <c r="A445" t="s">
        <v>162</v>
      </c>
      <c r="B445" s="8">
        <v>1</v>
      </c>
    </row>
    <row r="446" spans="1:2">
      <c r="A446" t="s">
        <v>1122</v>
      </c>
      <c r="B446" s="8">
        <v>1</v>
      </c>
    </row>
    <row r="447" spans="1:2">
      <c r="A447" t="s">
        <v>714</v>
      </c>
      <c r="B447" s="8">
        <v>1</v>
      </c>
    </row>
    <row r="448" spans="1:2">
      <c r="A448" t="s">
        <v>1126</v>
      </c>
      <c r="B448" s="8">
        <v>1</v>
      </c>
    </row>
    <row r="449" spans="1:2">
      <c r="A449" t="s">
        <v>164</v>
      </c>
      <c r="B449" s="8">
        <v>1</v>
      </c>
    </row>
    <row r="450" spans="1:2">
      <c r="A450" t="s">
        <v>1130</v>
      </c>
      <c r="B450" s="8">
        <v>1</v>
      </c>
    </row>
    <row r="451" spans="1:2">
      <c r="A451" t="s">
        <v>166</v>
      </c>
      <c r="B451" s="8">
        <v>1</v>
      </c>
    </row>
    <row r="452" spans="1:2">
      <c r="A452" t="s">
        <v>1134</v>
      </c>
      <c r="B452" s="8">
        <v>1</v>
      </c>
    </row>
    <row r="453" spans="1:2">
      <c r="A453" t="s">
        <v>723</v>
      </c>
      <c r="B453" s="8">
        <v>1</v>
      </c>
    </row>
    <row r="454" spans="1:2">
      <c r="A454" t="s">
        <v>1139</v>
      </c>
      <c r="B454" s="8">
        <v>1</v>
      </c>
    </row>
    <row r="455" spans="1:2">
      <c r="A455" t="s">
        <v>725</v>
      </c>
      <c r="B455" s="8">
        <v>1</v>
      </c>
    </row>
    <row r="456" spans="1:2">
      <c r="A456" t="s">
        <v>68</v>
      </c>
      <c r="B456" s="8">
        <v>1</v>
      </c>
    </row>
    <row r="457" spans="1:2">
      <c r="A457" t="s">
        <v>727</v>
      </c>
      <c r="B457" s="8">
        <v>1</v>
      </c>
    </row>
    <row r="458" spans="1:2">
      <c r="A458" t="s">
        <v>1148</v>
      </c>
      <c r="B458" s="8">
        <v>1</v>
      </c>
    </row>
    <row r="459" spans="1:2">
      <c r="A459" t="s">
        <v>729</v>
      </c>
      <c r="B459" s="8">
        <v>1</v>
      </c>
    </row>
    <row r="460" spans="1:2">
      <c r="A460" t="s">
        <v>1152</v>
      </c>
      <c r="B460" s="8">
        <v>1</v>
      </c>
    </row>
    <row r="461" spans="1:2">
      <c r="A461" t="s">
        <v>168</v>
      </c>
      <c r="B461" s="8">
        <v>1</v>
      </c>
    </row>
    <row r="462" spans="1:2">
      <c r="A462" t="s">
        <v>1156</v>
      </c>
      <c r="B462" s="8">
        <v>1</v>
      </c>
    </row>
    <row r="463" spans="1:2">
      <c r="A463" t="s">
        <v>733</v>
      </c>
      <c r="B463" s="8">
        <v>1</v>
      </c>
    </row>
    <row r="464" spans="1:2">
      <c r="A464" t="s">
        <v>1160</v>
      </c>
      <c r="B464" s="8">
        <v>1</v>
      </c>
    </row>
    <row r="465" spans="1:2">
      <c r="A465" t="s">
        <v>735</v>
      </c>
      <c r="B465" s="8">
        <v>1</v>
      </c>
    </row>
    <row r="466" spans="1:2">
      <c r="A466" t="s">
        <v>1164</v>
      </c>
      <c r="B466" s="8">
        <v>1</v>
      </c>
    </row>
    <row r="467" spans="1:2">
      <c r="A467" t="s">
        <v>737</v>
      </c>
      <c r="B467" s="8">
        <v>1</v>
      </c>
    </row>
    <row r="468" spans="1:2">
      <c r="A468" t="s">
        <v>1168</v>
      </c>
      <c r="B468" s="8">
        <v>1</v>
      </c>
    </row>
    <row r="469" spans="1:2">
      <c r="A469" t="s">
        <v>739</v>
      </c>
      <c r="B469" s="8">
        <v>1</v>
      </c>
    </row>
    <row r="470" spans="1:2">
      <c r="A470" t="s">
        <v>1174</v>
      </c>
      <c r="B470" s="8">
        <v>1</v>
      </c>
    </row>
    <row r="471" spans="1:2">
      <c r="A471" t="s">
        <v>741</v>
      </c>
      <c r="B471" s="8">
        <v>1</v>
      </c>
    </row>
    <row r="472" spans="1:2">
      <c r="A472" t="s">
        <v>1178</v>
      </c>
      <c r="B472" s="8">
        <v>1</v>
      </c>
    </row>
    <row r="473" spans="1:2">
      <c r="A473" t="s">
        <v>743</v>
      </c>
      <c r="B473" s="8">
        <v>1</v>
      </c>
    </row>
    <row r="474" spans="1:2">
      <c r="A474" t="s">
        <v>1181</v>
      </c>
      <c r="B474" s="8">
        <v>1</v>
      </c>
    </row>
    <row r="475" spans="1:2">
      <c r="A475" t="s">
        <v>170</v>
      </c>
      <c r="B475" s="8">
        <v>1</v>
      </c>
    </row>
    <row r="476" spans="1:2">
      <c r="A476" t="s">
        <v>1185</v>
      </c>
      <c r="B476" s="8">
        <v>1</v>
      </c>
    </row>
    <row r="477" spans="1:2">
      <c r="A477" t="s">
        <v>749</v>
      </c>
      <c r="B477" s="8">
        <v>1</v>
      </c>
    </row>
    <row r="478" spans="1:2">
      <c r="A478" t="s">
        <v>1192</v>
      </c>
      <c r="B478" s="8">
        <v>1</v>
      </c>
    </row>
    <row r="479" spans="1:2">
      <c r="A479" t="s">
        <v>751</v>
      </c>
      <c r="B479" s="8">
        <v>1</v>
      </c>
    </row>
    <row r="480" spans="1:2">
      <c r="A480" t="s">
        <v>1196</v>
      </c>
      <c r="B480" s="8">
        <v>1</v>
      </c>
    </row>
    <row r="481" spans="1:2">
      <c r="A481" t="s">
        <v>753</v>
      </c>
      <c r="B481" s="8">
        <v>1</v>
      </c>
    </row>
    <row r="482" spans="1:2">
      <c r="A482" t="s">
        <v>251</v>
      </c>
      <c r="B482" s="8">
        <v>1</v>
      </c>
    </row>
    <row r="483" spans="1:2">
      <c r="A483" t="s">
        <v>55</v>
      </c>
      <c r="B483" s="8">
        <v>1</v>
      </c>
    </row>
    <row r="484" spans="1:2">
      <c r="A484" t="s">
        <v>1206</v>
      </c>
      <c r="B484" s="8">
        <v>1</v>
      </c>
    </row>
    <row r="485" spans="1:2">
      <c r="A485" t="s">
        <v>760</v>
      </c>
      <c r="B485" s="8">
        <v>1</v>
      </c>
    </row>
    <row r="486" spans="1:2">
      <c r="A486" t="s">
        <v>255</v>
      </c>
      <c r="B486" s="8">
        <v>1</v>
      </c>
    </row>
    <row r="487" spans="1:2">
      <c r="A487" t="s">
        <v>762</v>
      </c>
      <c r="B487" s="8">
        <v>1</v>
      </c>
    </row>
    <row r="488" spans="1:2">
      <c r="A488" t="s">
        <v>1215</v>
      </c>
      <c r="B488" s="8">
        <v>1</v>
      </c>
    </row>
    <row r="489" spans="1:2">
      <c r="A489" t="s">
        <v>764</v>
      </c>
      <c r="B489" s="8">
        <v>1</v>
      </c>
    </row>
    <row r="490" spans="1:2">
      <c r="A490" t="s">
        <v>1219</v>
      </c>
      <c r="B490" s="8">
        <v>1</v>
      </c>
    </row>
    <row r="491" spans="1:2">
      <c r="A491" t="s">
        <v>766</v>
      </c>
      <c r="B491" s="8">
        <v>1</v>
      </c>
    </row>
    <row r="492" spans="1:2">
      <c r="A492" t="s">
        <v>1223</v>
      </c>
      <c r="B492" s="8">
        <v>1</v>
      </c>
    </row>
    <row r="493" spans="1:2">
      <c r="A493" t="s">
        <v>768</v>
      </c>
      <c r="B493" s="8">
        <v>1</v>
      </c>
    </row>
    <row r="494" spans="1:2">
      <c r="A494" t="s">
        <v>1227</v>
      </c>
      <c r="B494" s="8">
        <v>1</v>
      </c>
    </row>
    <row r="495" spans="1:2">
      <c r="A495" t="s">
        <v>770</v>
      </c>
      <c r="B495" s="8">
        <v>1</v>
      </c>
    </row>
    <row r="496" spans="1:2">
      <c r="A496" t="s">
        <v>1231</v>
      </c>
      <c r="B496" s="8">
        <v>1</v>
      </c>
    </row>
    <row r="497" spans="1:2">
      <c r="A497" t="s">
        <v>772</v>
      </c>
      <c r="B497" s="8">
        <v>1</v>
      </c>
    </row>
    <row r="498" spans="1:2">
      <c r="A498" t="s">
        <v>1235</v>
      </c>
      <c r="B498" s="8">
        <v>1</v>
      </c>
    </row>
    <row r="499" spans="1:2">
      <c r="A499" t="s">
        <v>774</v>
      </c>
      <c r="B499" s="8">
        <v>1</v>
      </c>
    </row>
    <row r="500" spans="1:2">
      <c r="A500" t="s">
        <v>1240</v>
      </c>
      <c r="B500" s="8">
        <v>1</v>
      </c>
    </row>
    <row r="501" spans="1:2">
      <c r="A501" t="s">
        <v>776</v>
      </c>
      <c r="B501" s="8">
        <v>1</v>
      </c>
    </row>
    <row r="502" spans="1:2">
      <c r="A502" t="s">
        <v>1245</v>
      </c>
      <c r="B502" s="8">
        <v>1</v>
      </c>
    </row>
    <row r="503" spans="1:2">
      <c r="A503" t="s">
        <v>778</v>
      </c>
      <c r="B503" s="8">
        <v>1</v>
      </c>
    </row>
    <row r="504" spans="1:2">
      <c r="A504" t="s">
        <v>1250</v>
      </c>
      <c r="B504" s="8">
        <v>1</v>
      </c>
    </row>
    <row r="505" spans="1:2">
      <c r="A505" t="s">
        <v>176</v>
      </c>
      <c r="B505" s="8">
        <v>1</v>
      </c>
    </row>
    <row r="506" spans="1:2">
      <c r="A506" t="s">
        <v>1254</v>
      </c>
      <c r="B506" s="8">
        <v>1</v>
      </c>
    </row>
    <row r="507" spans="1:2">
      <c r="A507" t="s">
        <v>793</v>
      </c>
      <c r="B507" s="8">
        <v>1</v>
      </c>
    </row>
    <row r="508" spans="1:2">
      <c r="A508" t="s">
        <v>1258</v>
      </c>
      <c r="B508" s="8">
        <v>1</v>
      </c>
    </row>
    <row r="509" spans="1:2">
      <c r="A509" t="s">
        <v>795</v>
      </c>
      <c r="B509" s="8">
        <v>1</v>
      </c>
    </row>
    <row r="510" spans="1:2">
      <c r="A510" t="s">
        <v>1262</v>
      </c>
      <c r="B510" s="8">
        <v>1</v>
      </c>
    </row>
    <row r="511" spans="1:2">
      <c r="A511" t="s">
        <v>797</v>
      </c>
      <c r="B511" s="8">
        <v>1</v>
      </c>
    </row>
    <row r="512" spans="1:2">
      <c r="A512" t="s">
        <v>1266</v>
      </c>
      <c r="B512" s="8">
        <v>1</v>
      </c>
    </row>
    <row r="513" spans="1:2">
      <c r="A513" t="s">
        <v>799</v>
      </c>
      <c r="B513" s="8">
        <v>1</v>
      </c>
    </row>
    <row r="514" spans="1:2">
      <c r="A514" t="s">
        <v>1270</v>
      </c>
      <c r="B514" s="8">
        <v>1</v>
      </c>
    </row>
    <row r="515" spans="1:2">
      <c r="A515" t="s">
        <v>801</v>
      </c>
      <c r="B515" s="8">
        <v>1</v>
      </c>
    </row>
    <row r="516" spans="1:2">
      <c r="A516" t="s">
        <v>1275</v>
      </c>
      <c r="B516" s="8">
        <v>1</v>
      </c>
    </row>
    <row r="517" spans="1:2">
      <c r="A517" t="s">
        <v>803</v>
      </c>
      <c r="B517" s="8">
        <v>1</v>
      </c>
    </row>
    <row r="518" spans="1:2">
      <c r="A518" t="s">
        <v>1279</v>
      </c>
      <c r="B518" s="8">
        <v>1</v>
      </c>
    </row>
    <row r="519" spans="1:2">
      <c r="A519" t="s">
        <v>805</v>
      </c>
      <c r="B519" s="8">
        <v>1</v>
      </c>
    </row>
    <row r="520" spans="1:2">
      <c r="A520" t="s">
        <v>1283</v>
      </c>
      <c r="B520" s="8">
        <v>1</v>
      </c>
    </row>
    <row r="521" spans="1:2">
      <c r="A521" t="s">
        <v>807</v>
      </c>
      <c r="B521" s="8">
        <v>1</v>
      </c>
    </row>
    <row r="522" spans="1:2">
      <c r="A522" t="s">
        <v>1287</v>
      </c>
      <c r="B522" s="8">
        <v>1</v>
      </c>
    </row>
    <row r="523" spans="1:2">
      <c r="A523" t="s">
        <v>809</v>
      </c>
      <c r="B523" s="8">
        <v>1</v>
      </c>
    </row>
    <row r="524" spans="1:2">
      <c r="A524" t="s">
        <v>1291</v>
      </c>
      <c r="B524" s="8">
        <v>1</v>
      </c>
    </row>
    <row r="525" spans="1:2">
      <c r="A525" t="s">
        <v>811</v>
      </c>
      <c r="B525" s="8">
        <v>1</v>
      </c>
    </row>
    <row r="526" spans="1:2">
      <c r="A526" t="s">
        <v>1295</v>
      </c>
      <c r="B526" s="8">
        <v>1</v>
      </c>
    </row>
    <row r="527" spans="1:2">
      <c r="A527" t="s">
        <v>813</v>
      </c>
      <c r="B527" s="8">
        <v>1</v>
      </c>
    </row>
    <row r="528" spans="1:2">
      <c r="A528" t="s">
        <v>1301</v>
      </c>
      <c r="B528" s="8">
        <v>1</v>
      </c>
    </row>
    <row r="529" spans="1:2">
      <c r="A529" t="s">
        <v>814</v>
      </c>
      <c r="B529" s="8">
        <v>1</v>
      </c>
    </row>
    <row r="530" spans="1:2">
      <c r="A530" t="s">
        <v>266</v>
      </c>
      <c r="B530" s="8">
        <v>1</v>
      </c>
    </row>
    <row r="531" spans="1:2">
      <c r="A531" t="s">
        <v>816</v>
      </c>
      <c r="B531" s="8">
        <v>1</v>
      </c>
    </row>
    <row r="532" spans="1:2">
      <c r="A532" t="s">
        <v>1310</v>
      </c>
      <c r="B532" s="8">
        <v>1</v>
      </c>
    </row>
    <row r="533" spans="1:2">
      <c r="A533" t="s">
        <v>178</v>
      </c>
      <c r="B533" s="8">
        <v>1</v>
      </c>
    </row>
    <row r="534" spans="1:2">
      <c r="A534" t="s">
        <v>1314</v>
      </c>
      <c r="B534" s="8">
        <v>1</v>
      </c>
    </row>
    <row r="535" spans="1:2">
      <c r="A535" t="s">
        <v>1600</v>
      </c>
      <c r="B535" s="8">
        <v>1</v>
      </c>
    </row>
    <row r="536" spans="1:2">
      <c r="A536" t="s">
        <v>1318</v>
      </c>
      <c r="B536" s="8">
        <v>1</v>
      </c>
    </row>
    <row r="537" spans="1:2">
      <c r="A537" t="s">
        <v>1604</v>
      </c>
      <c r="B537" s="8">
        <v>1</v>
      </c>
    </row>
    <row r="538" spans="1:2">
      <c r="A538" t="s">
        <v>1322</v>
      </c>
      <c r="B538" s="8">
        <v>1</v>
      </c>
    </row>
    <row r="539" spans="1:2">
      <c r="A539" t="s">
        <v>1608</v>
      </c>
      <c r="B539" s="8">
        <v>1</v>
      </c>
    </row>
    <row r="540" spans="1:2">
      <c r="A540" t="s">
        <v>1326</v>
      </c>
      <c r="B540" s="8">
        <v>1</v>
      </c>
    </row>
    <row r="541" spans="1:2">
      <c r="A541" t="s">
        <v>1612</v>
      </c>
      <c r="B541" s="8">
        <v>1</v>
      </c>
    </row>
    <row r="542" spans="1:2">
      <c r="A542" t="s">
        <v>1330</v>
      </c>
      <c r="B542" s="8">
        <v>1</v>
      </c>
    </row>
    <row r="543" spans="1:2">
      <c r="A543" t="s">
        <v>1616</v>
      </c>
      <c r="B543" s="8">
        <v>1</v>
      </c>
    </row>
    <row r="544" spans="1:2">
      <c r="A544" t="s">
        <v>1334</v>
      </c>
      <c r="B544" s="8">
        <v>1</v>
      </c>
    </row>
    <row r="545" spans="1:2">
      <c r="A545" t="s">
        <v>180</v>
      </c>
      <c r="B545" s="8">
        <v>1</v>
      </c>
    </row>
    <row r="546" spans="1:2">
      <c r="A546" t="s">
        <v>268</v>
      </c>
      <c r="B546" s="8">
        <v>1</v>
      </c>
    </row>
    <row r="547" spans="1:2">
      <c r="A547" t="s">
        <v>57</v>
      </c>
      <c r="B547" s="8">
        <v>1</v>
      </c>
    </row>
    <row r="548" spans="1:2">
      <c r="A548" t="s">
        <v>1344</v>
      </c>
      <c r="B548" s="8">
        <v>1</v>
      </c>
    </row>
    <row r="549" spans="1:2">
      <c r="A549" t="s">
        <v>839</v>
      </c>
      <c r="B549" s="8">
        <v>1</v>
      </c>
    </row>
    <row r="550" spans="1:2">
      <c r="A550" t="s">
        <v>1348</v>
      </c>
      <c r="B550" s="8">
        <v>1</v>
      </c>
    </row>
    <row r="551" spans="1:2">
      <c r="A551" t="s">
        <v>188</v>
      </c>
      <c r="B551" s="8">
        <v>1</v>
      </c>
    </row>
    <row r="552" spans="1:2">
      <c r="A552" t="s">
        <v>1352</v>
      </c>
      <c r="B552" s="8">
        <v>1</v>
      </c>
    </row>
    <row r="553" spans="1:2">
      <c r="A553" t="s">
        <v>844</v>
      </c>
      <c r="B553" s="8">
        <v>1</v>
      </c>
    </row>
    <row r="554" spans="1:2">
      <c r="A554" t="s">
        <v>273</v>
      </c>
      <c r="B554" s="8">
        <v>1</v>
      </c>
    </row>
    <row r="555" spans="1:2">
      <c r="A555" t="s">
        <v>190</v>
      </c>
      <c r="B555" s="8">
        <v>1</v>
      </c>
    </row>
    <row r="556" spans="1:2">
      <c r="A556" t="s">
        <v>1377</v>
      </c>
      <c r="B556" s="8">
        <v>1</v>
      </c>
    </row>
    <row r="557" spans="1:2">
      <c r="A557" t="s">
        <v>850</v>
      </c>
      <c r="B557" s="8">
        <v>1</v>
      </c>
    </row>
    <row r="558" spans="1:2">
      <c r="A558" t="s">
        <v>1381</v>
      </c>
      <c r="B558" s="8">
        <v>1</v>
      </c>
    </row>
    <row r="559" spans="1:2">
      <c r="A559" t="s">
        <v>852</v>
      </c>
      <c r="B559" s="8">
        <v>1</v>
      </c>
    </row>
    <row r="560" spans="1:2">
      <c r="A560" t="s">
        <v>1385</v>
      </c>
      <c r="B560" s="8">
        <v>1</v>
      </c>
    </row>
    <row r="561" spans="1:2">
      <c r="A561" t="s">
        <v>854</v>
      </c>
      <c r="B561" s="8">
        <v>1</v>
      </c>
    </row>
    <row r="562" spans="1:2">
      <c r="A562" t="s">
        <v>1389</v>
      </c>
      <c r="B562" s="8">
        <v>1</v>
      </c>
    </row>
    <row r="563" spans="1:2">
      <c r="A563" t="s">
        <v>856</v>
      </c>
      <c r="B563" s="8">
        <v>1</v>
      </c>
    </row>
    <row r="564" spans="1:2">
      <c r="A564" t="s">
        <v>73</v>
      </c>
      <c r="B564" s="8">
        <v>1</v>
      </c>
    </row>
    <row r="565" spans="1:2">
      <c r="A565" t="s">
        <v>858</v>
      </c>
      <c r="B565" s="8">
        <v>1</v>
      </c>
    </row>
    <row r="566" spans="1:2">
      <c r="A566" t="s">
        <v>1429</v>
      </c>
      <c r="B566" s="8">
        <v>1</v>
      </c>
    </row>
    <row r="567" spans="1:2">
      <c r="A567" t="s">
        <v>192</v>
      </c>
      <c r="B567" s="8">
        <v>1</v>
      </c>
    </row>
    <row r="568" spans="1:2">
      <c r="A568" t="s">
        <v>1433</v>
      </c>
      <c r="B568" s="8">
        <v>1</v>
      </c>
    </row>
    <row r="569" spans="1:2">
      <c r="A569" t="s">
        <v>863</v>
      </c>
      <c r="B569" s="8">
        <v>1</v>
      </c>
    </row>
    <row r="570" spans="1:2">
      <c r="A570" t="s">
        <v>1437</v>
      </c>
      <c r="B570" s="8">
        <v>1</v>
      </c>
    </row>
    <row r="571" spans="1:2">
      <c r="A571" t="s">
        <v>865</v>
      </c>
      <c r="B571" s="8">
        <v>1</v>
      </c>
    </row>
    <row r="572" spans="1:2">
      <c r="A572" t="s">
        <v>1441</v>
      </c>
      <c r="B572" s="8">
        <v>1</v>
      </c>
    </row>
    <row r="573" spans="1:2">
      <c r="A573" t="s">
        <v>194</v>
      </c>
      <c r="B573" s="8">
        <v>1</v>
      </c>
    </row>
    <row r="574" spans="1:2">
      <c r="A574" t="s">
        <v>1446</v>
      </c>
      <c r="B574" s="8">
        <v>1</v>
      </c>
    </row>
    <row r="575" spans="1:2">
      <c r="A575" t="s">
        <v>871</v>
      </c>
      <c r="B575" s="8">
        <v>1</v>
      </c>
    </row>
    <row r="576" spans="1:2">
      <c r="A576" t="s">
        <v>1452</v>
      </c>
      <c r="B576" s="8">
        <v>1</v>
      </c>
    </row>
    <row r="577" spans="1:2">
      <c r="A577" t="s">
        <v>873</v>
      </c>
      <c r="B577" s="8">
        <v>1</v>
      </c>
    </row>
    <row r="578" spans="1:2">
      <c r="A578" t="s">
        <v>1455</v>
      </c>
      <c r="B578" s="8">
        <v>1</v>
      </c>
    </row>
    <row r="579" spans="1:2">
      <c r="A579" t="s">
        <v>197</v>
      </c>
      <c r="B579" s="8">
        <v>1</v>
      </c>
    </row>
    <row r="580" spans="1:2">
      <c r="A580" t="s">
        <v>284</v>
      </c>
      <c r="B580" s="8">
        <v>1</v>
      </c>
    </row>
    <row r="581" spans="1:2">
      <c r="A581" t="s">
        <v>878</v>
      </c>
      <c r="B581" s="8">
        <v>1</v>
      </c>
    </row>
    <row r="582" spans="1:2">
      <c r="A582" t="s">
        <v>1482</v>
      </c>
      <c r="B582" s="8">
        <v>1</v>
      </c>
    </row>
    <row r="583" spans="1:2">
      <c r="A583" t="s">
        <v>199</v>
      </c>
      <c r="B583" s="8">
        <v>1</v>
      </c>
    </row>
    <row r="584" spans="1:2">
      <c r="A584" t="s">
        <v>286</v>
      </c>
      <c r="B584" s="8">
        <v>1</v>
      </c>
    </row>
    <row r="585" spans="1:2">
      <c r="A585" t="s">
        <v>884</v>
      </c>
      <c r="B585" s="8">
        <v>1</v>
      </c>
    </row>
    <row r="586" spans="1:2">
      <c r="A586" t="s">
        <v>1491</v>
      </c>
      <c r="B586" s="8">
        <v>1</v>
      </c>
    </row>
    <row r="587" spans="1:2">
      <c r="A587" t="s">
        <v>886</v>
      </c>
      <c r="B587" s="8">
        <v>1</v>
      </c>
    </row>
    <row r="588" spans="1:2">
      <c r="A588" t="s">
        <v>1495</v>
      </c>
      <c r="B588" s="8">
        <v>1</v>
      </c>
    </row>
    <row r="589" spans="1:2">
      <c r="A589" t="s">
        <v>888</v>
      </c>
      <c r="B589" s="8">
        <v>1</v>
      </c>
    </row>
    <row r="590" spans="1:2">
      <c r="A590" t="s">
        <v>1499</v>
      </c>
      <c r="B590" s="8">
        <v>1</v>
      </c>
    </row>
    <row r="591" spans="1:2">
      <c r="A591" t="s">
        <v>201</v>
      </c>
      <c r="B591" s="8">
        <v>1</v>
      </c>
    </row>
    <row r="592" spans="1:2">
      <c r="A592" t="s">
        <v>288</v>
      </c>
      <c r="B592" s="8">
        <v>1</v>
      </c>
    </row>
    <row r="593" spans="1:2">
      <c r="A593" t="s">
        <v>893</v>
      </c>
      <c r="B593" s="8">
        <v>1</v>
      </c>
    </row>
    <row r="594" spans="1:2">
      <c r="A594" t="s">
        <v>1508</v>
      </c>
      <c r="B594" s="8">
        <v>1</v>
      </c>
    </row>
    <row r="595" spans="1:2">
      <c r="A595" t="s">
        <v>895</v>
      </c>
      <c r="B595" s="8">
        <v>1</v>
      </c>
    </row>
    <row r="596" spans="1:2">
      <c r="A596" t="s">
        <v>1512</v>
      </c>
      <c r="B596" s="8">
        <v>1</v>
      </c>
    </row>
    <row r="597" spans="1:2">
      <c r="A597" t="s">
        <v>203</v>
      </c>
      <c r="B597" s="8">
        <v>1</v>
      </c>
    </row>
    <row r="598" spans="1:2">
      <c r="A598" t="s">
        <v>1516</v>
      </c>
      <c r="B598" s="8">
        <v>1</v>
      </c>
    </row>
    <row r="599" spans="1:2">
      <c r="A599" t="s">
        <v>901</v>
      </c>
      <c r="B599" s="8">
        <v>1</v>
      </c>
    </row>
    <row r="600" spans="1:2">
      <c r="A600" t="s">
        <v>1520</v>
      </c>
      <c r="B600" s="8">
        <v>1</v>
      </c>
    </row>
    <row r="601" spans="1:2">
      <c r="A601" t="s">
        <v>903</v>
      </c>
      <c r="B601" s="8">
        <v>1</v>
      </c>
    </row>
    <row r="602" spans="1:2">
      <c r="A602" t="s">
        <v>1524</v>
      </c>
      <c r="B602" s="8">
        <v>1</v>
      </c>
    </row>
    <row r="603" spans="1:2">
      <c r="A603" t="s">
        <v>905</v>
      </c>
      <c r="B603" s="8">
        <v>1</v>
      </c>
    </row>
    <row r="604" spans="1:2">
      <c r="A604" t="s">
        <v>1528</v>
      </c>
      <c r="B604" s="8">
        <v>1</v>
      </c>
    </row>
    <row r="605" spans="1:2">
      <c r="A605" t="s">
        <v>907</v>
      </c>
      <c r="B605" s="8">
        <v>1</v>
      </c>
    </row>
    <row r="606" spans="1:2">
      <c r="A606" t="s">
        <v>1532</v>
      </c>
      <c r="B606" s="8">
        <v>1</v>
      </c>
    </row>
    <row r="607" spans="1:2">
      <c r="A607" t="s">
        <v>909</v>
      </c>
      <c r="B607" s="8">
        <v>1</v>
      </c>
    </row>
    <row r="608" spans="1:2">
      <c r="A608" t="s">
        <v>1536</v>
      </c>
      <c r="B608" s="8">
        <v>1</v>
      </c>
    </row>
    <row r="609" spans="1:2">
      <c r="A609" t="s">
        <v>911</v>
      </c>
      <c r="B609" s="8">
        <v>1</v>
      </c>
    </row>
    <row r="610" spans="1:2">
      <c r="A610" t="s">
        <v>290</v>
      </c>
      <c r="B610" s="8">
        <v>1</v>
      </c>
    </row>
    <row r="611" spans="1:2">
      <c r="A611" t="s">
        <v>913</v>
      </c>
      <c r="B611" s="8">
        <v>1</v>
      </c>
    </row>
    <row r="612" spans="1:2">
      <c r="A612" t="s">
        <v>1545</v>
      </c>
      <c r="B612" s="8">
        <v>1</v>
      </c>
    </row>
    <row r="613" spans="1:2">
      <c r="A613" t="s">
        <v>915</v>
      </c>
      <c r="B613" s="8">
        <v>1</v>
      </c>
    </row>
    <row r="614" spans="1:2">
      <c r="A614" t="s">
        <v>1549</v>
      </c>
      <c r="B614" s="8">
        <v>1</v>
      </c>
    </row>
    <row r="615" spans="1:2">
      <c r="A615" t="s">
        <v>917</v>
      </c>
      <c r="B615" s="8">
        <v>1</v>
      </c>
    </row>
    <row r="616" spans="1:2">
      <c r="A616" t="s">
        <v>1554</v>
      </c>
      <c r="B616" s="8">
        <v>1</v>
      </c>
    </row>
    <row r="617" spans="1:2">
      <c r="A617" t="s">
        <v>919</v>
      </c>
      <c r="B617" s="8">
        <v>1</v>
      </c>
    </row>
    <row r="618" spans="1:2">
      <c r="A618" t="s">
        <v>294</v>
      </c>
      <c r="B618" s="8">
        <v>1</v>
      </c>
    </row>
    <row r="619" spans="1:2">
      <c r="A619" t="s">
        <v>921</v>
      </c>
      <c r="B619" s="8">
        <v>1</v>
      </c>
    </row>
    <row r="620" spans="1:2">
      <c r="A620" t="s">
        <v>1563</v>
      </c>
      <c r="B620" s="8">
        <v>1</v>
      </c>
    </row>
    <row r="621" spans="1:2">
      <c r="A621" t="s">
        <v>923</v>
      </c>
      <c r="B621" s="8">
        <v>1</v>
      </c>
    </row>
    <row r="622" spans="1:2">
      <c r="A622" t="s">
        <v>1567</v>
      </c>
      <c r="B622" s="8">
        <v>1</v>
      </c>
    </row>
    <row r="623" spans="1:2">
      <c r="A623" t="s">
        <v>925</v>
      </c>
      <c r="B623" s="8">
        <v>1</v>
      </c>
    </row>
    <row r="624" spans="1:2">
      <c r="A624" t="s">
        <v>1571</v>
      </c>
      <c r="B624" s="8">
        <v>1</v>
      </c>
    </row>
    <row r="625" spans="1:2">
      <c r="A625" t="s">
        <v>927</v>
      </c>
      <c r="B625" s="8">
        <v>1</v>
      </c>
    </row>
    <row r="626" spans="1:2">
      <c r="A626" t="s">
        <v>1575</v>
      </c>
      <c r="B626" s="8">
        <v>1</v>
      </c>
    </row>
    <row r="627" spans="1:2">
      <c r="A627" t="s">
        <v>929</v>
      </c>
      <c r="B627" s="8">
        <v>1</v>
      </c>
    </row>
    <row r="628" spans="1:2">
      <c r="A628" t="s">
        <v>1579</v>
      </c>
      <c r="B628" s="8">
        <v>1</v>
      </c>
    </row>
    <row r="629" spans="1:2">
      <c r="A629" t="s">
        <v>931</v>
      </c>
      <c r="B629" s="8">
        <v>1</v>
      </c>
    </row>
    <row r="630" spans="1:2">
      <c r="A630" t="s">
        <v>1583</v>
      </c>
      <c r="B630" s="8">
        <v>1</v>
      </c>
    </row>
    <row r="631" spans="1:2">
      <c r="A631" t="s">
        <v>933</v>
      </c>
      <c r="B631" s="8">
        <v>1</v>
      </c>
    </row>
    <row r="632" spans="1:2">
      <c r="A632" t="s">
        <v>296</v>
      </c>
      <c r="B632" s="8">
        <v>1</v>
      </c>
    </row>
    <row r="633" spans="1:2">
      <c r="A633" t="s">
        <v>935</v>
      </c>
      <c r="B633" s="8">
        <v>1</v>
      </c>
    </row>
    <row r="634" spans="1:2">
      <c r="A634" t="s">
        <v>1592</v>
      </c>
      <c r="B634" s="8">
        <v>1</v>
      </c>
    </row>
    <row r="635" spans="1:2">
      <c r="A635" t="s">
        <v>937</v>
      </c>
      <c r="B635" s="8">
        <v>1</v>
      </c>
    </row>
    <row r="636" spans="1:2">
      <c r="A636" t="s">
        <v>939</v>
      </c>
      <c r="B636" s="8">
        <v>1</v>
      </c>
    </row>
    <row r="637" spans="1:2">
      <c r="A637" t="s">
        <v>818</v>
      </c>
      <c r="B637" s="8">
        <v>1</v>
      </c>
    </row>
    <row r="638" spans="1:2">
      <c r="A638" t="s">
        <v>1602</v>
      </c>
      <c r="B638" s="8">
        <v>1</v>
      </c>
    </row>
    <row r="639" spans="1:2">
      <c r="A639" t="s">
        <v>820</v>
      </c>
      <c r="B639" s="8">
        <v>1</v>
      </c>
    </row>
    <row r="640" spans="1:2">
      <c r="A640" t="s">
        <v>1606</v>
      </c>
      <c r="B640" s="8">
        <v>1</v>
      </c>
    </row>
    <row r="641" spans="1:2">
      <c r="A641" t="s">
        <v>822</v>
      </c>
      <c r="B641" s="8">
        <v>1</v>
      </c>
    </row>
    <row r="642" spans="1:2">
      <c r="A642" t="s">
        <v>1610</v>
      </c>
      <c r="B642" s="8">
        <v>1</v>
      </c>
    </row>
    <row r="643" spans="1:2">
      <c r="A643" t="s">
        <v>824</v>
      </c>
      <c r="B643" s="8">
        <v>1</v>
      </c>
    </row>
    <row r="644" spans="1:2">
      <c r="A644" t="s">
        <v>1614</v>
      </c>
      <c r="B644" s="8">
        <v>1</v>
      </c>
    </row>
    <row r="645" spans="1:2">
      <c r="A645" t="s">
        <v>826</v>
      </c>
      <c r="B645" s="8">
        <v>1</v>
      </c>
    </row>
    <row r="646" spans="1:2">
      <c r="A646" t="s">
        <v>1618</v>
      </c>
      <c r="B646" s="8">
        <v>1</v>
      </c>
    </row>
    <row r="647" spans="1:2">
      <c r="A647" t="s">
        <v>828</v>
      </c>
      <c r="B647" s="8">
        <v>1</v>
      </c>
    </row>
    <row r="648" spans="1:2">
      <c r="A648" t="s">
        <v>830</v>
      </c>
      <c r="B648" s="8">
        <v>1</v>
      </c>
    </row>
    <row r="649" spans="1:2">
      <c r="A649" t="s">
        <v>1621</v>
      </c>
      <c r="B649" s="8">
        <v>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CA9E9-2AFB-4EC8-8BF9-3B1D2E6C0B08}">
  <dimension ref="A3:B481"/>
  <sheetViews>
    <sheetView workbookViewId="0">
      <selection activeCell="B11" sqref="B11"/>
    </sheetView>
  </sheetViews>
  <sheetFormatPr defaultRowHeight="15"/>
  <cols>
    <col min="1" max="1" width="15.5703125" bestFit="1" customWidth="1"/>
    <col min="2" max="2" width="20.5703125" bestFit="1" customWidth="1"/>
  </cols>
  <sheetData>
    <row r="3" spans="1:2">
      <c r="A3" s="7" t="s">
        <v>3</v>
      </c>
      <c r="B3" t="s">
        <v>1622</v>
      </c>
    </row>
    <row r="4" spans="1:2">
      <c r="A4" s="5">
        <v>10959</v>
      </c>
      <c r="B4" s="8">
        <v>1</v>
      </c>
    </row>
    <row r="5" spans="1:2">
      <c r="A5" s="5">
        <v>15342</v>
      </c>
      <c r="B5" s="8">
        <v>1</v>
      </c>
    </row>
    <row r="6" spans="1:2">
      <c r="A6" s="5">
        <v>17107</v>
      </c>
      <c r="B6" s="8">
        <v>1</v>
      </c>
    </row>
    <row r="7" spans="1:2">
      <c r="A7" s="5">
        <v>18264</v>
      </c>
      <c r="B7" s="8">
        <v>1</v>
      </c>
    </row>
    <row r="8" spans="1:2">
      <c r="A8" s="5">
        <v>18994</v>
      </c>
      <c r="B8" s="8">
        <v>1</v>
      </c>
    </row>
    <row r="9" spans="1:2">
      <c r="A9" s="5">
        <v>20821</v>
      </c>
      <c r="B9" s="8">
        <v>2</v>
      </c>
    </row>
    <row r="10" spans="1:2">
      <c r="A10" s="5">
        <v>21186</v>
      </c>
      <c r="B10" s="8">
        <v>3</v>
      </c>
    </row>
    <row r="11" spans="1:2">
      <c r="A11" s="5">
        <v>21551</v>
      </c>
      <c r="B11" s="8">
        <v>1</v>
      </c>
    </row>
    <row r="12" spans="1:2">
      <c r="A12" s="5">
        <v>21870</v>
      </c>
      <c r="B12" s="8">
        <v>1</v>
      </c>
    </row>
    <row r="13" spans="1:2">
      <c r="A13" s="5">
        <v>23298</v>
      </c>
      <c r="B13" s="8">
        <v>1</v>
      </c>
    </row>
    <row r="14" spans="1:2">
      <c r="A14" s="5">
        <v>23337</v>
      </c>
      <c r="B14" s="8">
        <v>2</v>
      </c>
    </row>
    <row r="15" spans="1:2">
      <c r="A15" s="5">
        <v>25020</v>
      </c>
      <c r="B15" s="8">
        <v>1</v>
      </c>
    </row>
    <row r="16" spans="1:2">
      <c r="A16" s="5">
        <v>25569</v>
      </c>
      <c r="B16" s="8">
        <v>1</v>
      </c>
    </row>
    <row r="17" spans="1:2">
      <c r="A17" s="5">
        <v>25873</v>
      </c>
      <c r="B17" s="8">
        <v>1</v>
      </c>
    </row>
    <row r="18" spans="1:2">
      <c r="A18" s="5">
        <v>26268</v>
      </c>
      <c r="B18" s="8">
        <v>1</v>
      </c>
    </row>
    <row r="19" spans="1:2">
      <c r="A19" s="5">
        <v>26669</v>
      </c>
      <c r="B19" s="8">
        <v>1</v>
      </c>
    </row>
    <row r="20" spans="1:2">
      <c r="A20" s="5">
        <v>27395</v>
      </c>
      <c r="B20" s="8">
        <v>1</v>
      </c>
    </row>
    <row r="21" spans="1:2">
      <c r="A21" s="5">
        <v>27698</v>
      </c>
      <c r="B21" s="8">
        <v>1</v>
      </c>
    </row>
    <row r="22" spans="1:2">
      <c r="A22" s="5">
        <v>29175</v>
      </c>
      <c r="B22" s="8">
        <v>1</v>
      </c>
    </row>
    <row r="23" spans="1:2">
      <c r="A23" s="5">
        <v>29952</v>
      </c>
      <c r="B23" s="8">
        <v>1</v>
      </c>
    </row>
    <row r="24" spans="1:2">
      <c r="A24" s="5">
        <v>30087</v>
      </c>
      <c r="B24" s="8">
        <v>1</v>
      </c>
    </row>
    <row r="25" spans="1:2">
      <c r="A25" s="5">
        <v>30322</v>
      </c>
      <c r="B25" s="8">
        <v>1</v>
      </c>
    </row>
    <row r="26" spans="1:2">
      <c r="A26" s="5">
        <v>30682</v>
      </c>
      <c r="B26" s="8">
        <v>2</v>
      </c>
    </row>
    <row r="27" spans="1:2">
      <c r="A27" s="5">
        <v>30974</v>
      </c>
      <c r="B27" s="8">
        <v>1</v>
      </c>
    </row>
    <row r="28" spans="1:2">
      <c r="A28" s="5">
        <v>31011</v>
      </c>
      <c r="B28" s="8">
        <v>1</v>
      </c>
    </row>
    <row r="29" spans="1:2">
      <c r="A29" s="5">
        <v>31095</v>
      </c>
      <c r="B29" s="8">
        <v>1</v>
      </c>
    </row>
    <row r="30" spans="1:2">
      <c r="A30" s="5">
        <v>31306</v>
      </c>
      <c r="B30" s="8">
        <v>1</v>
      </c>
    </row>
    <row r="31" spans="1:2">
      <c r="A31" s="5">
        <v>31413</v>
      </c>
      <c r="B31" s="8">
        <v>1</v>
      </c>
    </row>
    <row r="32" spans="1:2">
      <c r="A32" s="5">
        <v>31474</v>
      </c>
      <c r="B32" s="8">
        <v>1</v>
      </c>
    </row>
    <row r="33" spans="1:2">
      <c r="A33" s="5">
        <v>31778</v>
      </c>
      <c r="B33" s="8">
        <v>1</v>
      </c>
    </row>
    <row r="34" spans="1:2">
      <c r="A34" s="5">
        <v>33491</v>
      </c>
      <c r="B34" s="8">
        <v>1</v>
      </c>
    </row>
    <row r="35" spans="1:2">
      <c r="A35" s="5">
        <v>33505</v>
      </c>
      <c r="B35" s="8">
        <v>1</v>
      </c>
    </row>
    <row r="36" spans="1:2">
      <c r="A36" s="5">
        <v>33868</v>
      </c>
      <c r="B36" s="8">
        <v>1</v>
      </c>
    </row>
    <row r="37" spans="1:2">
      <c r="A37" s="5">
        <v>34635</v>
      </c>
      <c r="B37" s="8">
        <v>1</v>
      </c>
    </row>
    <row r="38" spans="1:2">
      <c r="A38" s="5">
        <v>34891</v>
      </c>
      <c r="B38" s="8">
        <v>1</v>
      </c>
    </row>
    <row r="39" spans="1:2">
      <c r="A39" s="5">
        <v>35061</v>
      </c>
      <c r="B39" s="8">
        <v>1</v>
      </c>
    </row>
    <row r="40" spans="1:2">
      <c r="A40" s="5">
        <v>35393</v>
      </c>
      <c r="B40" s="8">
        <v>1</v>
      </c>
    </row>
    <row r="41" spans="1:2">
      <c r="A41" s="5">
        <v>35431</v>
      </c>
      <c r="B41" s="8">
        <v>1</v>
      </c>
    </row>
    <row r="42" spans="1:2">
      <c r="A42" s="5">
        <v>35885</v>
      </c>
      <c r="B42" s="8">
        <v>1</v>
      </c>
    </row>
    <row r="43" spans="1:2">
      <c r="A43" s="5">
        <v>36161</v>
      </c>
      <c r="B43" s="8">
        <v>4</v>
      </c>
    </row>
    <row r="44" spans="1:2">
      <c r="A44" s="5">
        <v>36485</v>
      </c>
      <c r="B44" s="8">
        <v>1</v>
      </c>
    </row>
    <row r="45" spans="1:2">
      <c r="A45" s="5">
        <v>36526</v>
      </c>
      <c r="B45" s="8">
        <v>1</v>
      </c>
    </row>
    <row r="46" spans="1:2">
      <c r="A46" s="5">
        <v>36717</v>
      </c>
      <c r="B46" s="8">
        <v>1</v>
      </c>
    </row>
    <row r="47" spans="1:2">
      <c r="A47" s="5">
        <v>36823</v>
      </c>
      <c r="B47" s="8">
        <v>1</v>
      </c>
    </row>
    <row r="48" spans="1:2">
      <c r="A48" s="5">
        <v>36837</v>
      </c>
      <c r="B48" s="8">
        <v>1</v>
      </c>
    </row>
    <row r="49" spans="1:2">
      <c r="A49" s="5">
        <v>37257</v>
      </c>
      <c r="B49" s="8">
        <v>3</v>
      </c>
    </row>
    <row r="50" spans="1:2">
      <c r="A50" s="5">
        <v>37402</v>
      </c>
      <c r="B50" s="8">
        <v>2</v>
      </c>
    </row>
    <row r="51" spans="1:2">
      <c r="A51" s="5">
        <v>37473</v>
      </c>
      <c r="B51" s="8">
        <v>1</v>
      </c>
    </row>
    <row r="52" spans="1:2">
      <c r="A52" s="5">
        <v>37704</v>
      </c>
      <c r="B52" s="8">
        <v>1</v>
      </c>
    </row>
    <row r="53" spans="1:2">
      <c r="A53" s="5">
        <v>37887</v>
      </c>
      <c r="B53" s="8">
        <v>1</v>
      </c>
    </row>
    <row r="54" spans="1:2">
      <c r="A54" s="5">
        <v>37987</v>
      </c>
      <c r="B54" s="8">
        <v>2</v>
      </c>
    </row>
    <row r="55" spans="1:2">
      <c r="A55" s="5">
        <v>38111</v>
      </c>
      <c r="B55" s="8">
        <v>1</v>
      </c>
    </row>
    <row r="56" spans="1:2">
      <c r="A56" s="5">
        <v>38181</v>
      </c>
      <c r="B56" s="8">
        <v>1</v>
      </c>
    </row>
    <row r="57" spans="1:2">
      <c r="A57" s="5">
        <v>38615</v>
      </c>
      <c r="B57" s="8">
        <v>1</v>
      </c>
    </row>
    <row r="58" spans="1:2">
      <c r="A58" s="5">
        <v>39192</v>
      </c>
      <c r="B58" s="8">
        <v>1</v>
      </c>
    </row>
    <row r="59" spans="1:2">
      <c r="A59" s="5">
        <v>39448</v>
      </c>
      <c r="B59" s="8">
        <v>2</v>
      </c>
    </row>
    <row r="60" spans="1:2">
      <c r="A60" s="5">
        <v>40179</v>
      </c>
      <c r="B60" s="8">
        <v>3</v>
      </c>
    </row>
    <row r="61" spans="1:2">
      <c r="A61" s="5">
        <v>40323</v>
      </c>
      <c r="B61" s="8">
        <v>1</v>
      </c>
    </row>
    <row r="62" spans="1:2">
      <c r="A62" s="5">
        <v>40379</v>
      </c>
      <c r="B62" s="8">
        <v>1</v>
      </c>
    </row>
    <row r="63" spans="1:2">
      <c r="A63" s="5">
        <v>40455</v>
      </c>
      <c r="B63" s="8">
        <v>1</v>
      </c>
    </row>
    <row r="64" spans="1:2">
      <c r="A64" s="5">
        <v>40511</v>
      </c>
      <c r="B64" s="8">
        <v>1</v>
      </c>
    </row>
    <row r="65" spans="1:2">
      <c r="A65" s="5">
        <v>40544</v>
      </c>
      <c r="B65" s="8">
        <v>7</v>
      </c>
    </row>
    <row r="66" spans="1:2">
      <c r="A66" s="5">
        <v>40771</v>
      </c>
      <c r="B66" s="8">
        <v>1</v>
      </c>
    </row>
    <row r="67" spans="1:2">
      <c r="A67" s="5">
        <v>40830</v>
      </c>
      <c r="B67" s="8">
        <v>2</v>
      </c>
    </row>
    <row r="68" spans="1:2">
      <c r="A68" s="5">
        <v>40909</v>
      </c>
      <c r="B68" s="8">
        <v>5</v>
      </c>
    </row>
    <row r="69" spans="1:2">
      <c r="A69" s="5">
        <v>41043</v>
      </c>
      <c r="B69" s="8">
        <v>1</v>
      </c>
    </row>
    <row r="70" spans="1:2">
      <c r="A70" s="5">
        <v>41080</v>
      </c>
      <c r="B70" s="8">
        <v>1</v>
      </c>
    </row>
    <row r="71" spans="1:2">
      <c r="A71" s="5">
        <v>41197</v>
      </c>
      <c r="B71" s="8">
        <v>1</v>
      </c>
    </row>
    <row r="72" spans="1:2">
      <c r="A72" s="5">
        <v>41248</v>
      </c>
      <c r="B72" s="8">
        <v>2</v>
      </c>
    </row>
    <row r="73" spans="1:2">
      <c r="A73" s="5">
        <v>41275</v>
      </c>
      <c r="B73" s="8">
        <v>7</v>
      </c>
    </row>
    <row r="74" spans="1:2">
      <c r="A74" s="5">
        <v>41471</v>
      </c>
      <c r="B74" s="8">
        <v>1</v>
      </c>
    </row>
    <row r="75" spans="1:2">
      <c r="A75" s="5">
        <v>41487</v>
      </c>
      <c r="B75" s="8">
        <v>1</v>
      </c>
    </row>
    <row r="76" spans="1:2">
      <c r="A76" s="5">
        <v>41502</v>
      </c>
      <c r="B76" s="8">
        <v>1</v>
      </c>
    </row>
    <row r="77" spans="1:2">
      <c r="A77" s="5">
        <v>41530</v>
      </c>
      <c r="B77" s="8">
        <v>1</v>
      </c>
    </row>
    <row r="78" spans="1:2">
      <c r="A78" s="5">
        <v>41572</v>
      </c>
      <c r="B78" s="8">
        <v>1</v>
      </c>
    </row>
    <row r="79" spans="1:2">
      <c r="A79" s="5">
        <v>41621</v>
      </c>
      <c r="B79" s="8">
        <v>1</v>
      </c>
    </row>
    <row r="80" spans="1:2">
      <c r="A80" s="5">
        <v>41640</v>
      </c>
      <c r="B80" s="8">
        <v>7</v>
      </c>
    </row>
    <row r="81" spans="1:2">
      <c r="A81" s="5">
        <v>41795</v>
      </c>
      <c r="B81" s="8">
        <v>1</v>
      </c>
    </row>
    <row r="82" spans="1:2">
      <c r="A82" s="5">
        <v>41810</v>
      </c>
      <c r="B82" s="8">
        <v>1</v>
      </c>
    </row>
    <row r="83" spans="1:2">
      <c r="A83" s="5">
        <v>41859</v>
      </c>
      <c r="B83" s="8">
        <v>1</v>
      </c>
    </row>
    <row r="84" spans="1:2">
      <c r="A84" s="5">
        <v>41960</v>
      </c>
      <c r="B84" s="8">
        <v>1</v>
      </c>
    </row>
    <row r="85" spans="1:2">
      <c r="A85" s="5">
        <v>41971</v>
      </c>
      <c r="B85" s="8">
        <v>1</v>
      </c>
    </row>
    <row r="86" spans="1:2">
      <c r="A86" s="5">
        <v>41982</v>
      </c>
      <c r="B86" s="8">
        <v>1</v>
      </c>
    </row>
    <row r="87" spans="1:2">
      <c r="A87" s="5">
        <v>42005</v>
      </c>
      <c r="B87" s="8">
        <v>2</v>
      </c>
    </row>
    <row r="88" spans="1:2">
      <c r="A88" s="5">
        <v>42015</v>
      </c>
      <c r="B88" s="8">
        <v>1</v>
      </c>
    </row>
    <row r="89" spans="1:2">
      <c r="A89" s="5">
        <v>42037</v>
      </c>
      <c r="B89" s="8">
        <v>1</v>
      </c>
    </row>
    <row r="90" spans="1:2">
      <c r="A90" s="5">
        <v>42116</v>
      </c>
      <c r="B90" s="8">
        <v>1</v>
      </c>
    </row>
    <row r="91" spans="1:2">
      <c r="A91" s="5">
        <v>42134</v>
      </c>
      <c r="B91" s="8">
        <v>1</v>
      </c>
    </row>
    <row r="92" spans="1:2">
      <c r="A92" s="5">
        <v>42151</v>
      </c>
      <c r="B92" s="8">
        <v>1</v>
      </c>
    </row>
    <row r="93" spans="1:2">
      <c r="A93" s="5">
        <v>42177</v>
      </c>
      <c r="B93" s="8">
        <v>1</v>
      </c>
    </row>
    <row r="94" spans="1:2">
      <c r="A94" s="5">
        <v>42209</v>
      </c>
      <c r="B94" s="8">
        <v>1</v>
      </c>
    </row>
    <row r="95" spans="1:2">
      <c r="A95" s="5">
        <v>42307</v>
      </c>
      <c r="B95" s="8">
        <v>1</v>
      </c>
    </row>
    <row r="96" spans="1:2">
      <c r="A96" s="5">
        <v>42317</v>
      </c>
      <c r="B96" s="8">
        <v>1</v>
      </c>
    </row>
    <row r="97" spans="1:2">
      <c r="A97" s="5">
        <v>42384</v>
      </c>
      <c r="B97" s="8">
        <v>1</v>
      </c>
    </row>
    <row r="98" spans="1:2">
      <c r="A98" s="5">
        <v>42390</v>
      </c>
      <c r="B98" s="8">
        <v>1</v>
      </c>
    </row>
    <row r="99" spans="1:2">
      <c r="A99" s="5">
        <v>42464</v>
      </c>
      <c r="B99" s="8">
        <v>1</v>
      </c>
    </row>
    <row r="100" spans="1:2">
      <c r="A100" s="5">
        <v>42480</v>
      </c>
      <c r="B100" s="8">
        <v>1</v>
      </c>
    </row>
    <row r="101" spans="1:2">
      <c r="A101" s="5">
        <v>42521</v>
      </c>
      <c r="B101" s="8">
        <v>1</v>
      </c>
    </row>
    <row r="102" spans="1:2">
      <c r="A102" s="5">
        <v>42544</v>
      </c>
      <c r="B102" s="8">
        <v>1</v>
      </c>
    </row>
    <row r="103" spans="1:2">
      <c r="A103" s="5">
        <v>42587</v>
      </c>
      <c r="B103" s="8">
        <v>1</v>
      </c>
    </row>
    <row r="104" spans="1:2">
      <c r="A104" s="5">
        <v>42602</v>
      </c>
      <c r="B104" s="8">
        <v>1</v>
      </c>
    </row>
    <row r="105" spans="1:2">
      <c r="A105" s="5">
        <v>42622</v>
      </c>
      <c r="B105" s="8">
        <v>1</v>
      </c>
    </row>
    <row r="106" spans="1:2">
      <c r="A106" s="5">
        <v>42634</v>
      </c>
      <c r="B106" s="8">
        <v>1</v>
      </c>
    </row>
    <row r="107" spans="1:2">
      <c r="A107" s="5">
        <v>42636</v>
      </c>
      <c r="B107" s="8">
        <v>1</v>
      </c>
    </row>
    <row r="108" spans="1:2">
      <c r="A108" s="5">
        <v>42640</v>
      </c>
      <c r="B108" s="8">
        <v>1</v>
      </c>
    </row>
    <row r="109" spans="1:2">
      <c r="A109" s="5">
        <v>42678</v>
      </c>
      <c r="B109" s="8">
        <v>1</v>
      </c>
    </row>
    <row r="110" spans="1:2">
      <c r="A110" s="5">
        <v>42684</v>
      </c>
      <c r="B110" s="8">
        <v>1</v>
      </c>
    </row>
    <row r="111" spans="1:2">
      <c r="A111" s="5">
        <v>42692</v>
      </c>
      <c r="B111" s="8">
        <v>1</v>
      </c>
    </row>
    <row r="112" spans="1:2">
      <c r="A112" s="5">
        <v>42698</v>
      </c>
      <c r="B112" s="8">
        <v>2</v>
      </c>
    </row>
    <row r="113" spans="1:2">
      <c r="A113" s="5">
        <v>42699</v>
      </c>
      <c r="B113" s="8">
        <v>1</v>
      </c>
    </row>
    <row r="114" spans="1:2">
      <c r="A114" s="5">
        <v>42736</v>
      </c>
      <c r="B114" s="8">
        <v>2</v>
      </c>
    </row>
    <row r="115" spans="1:2">
      <c r="A115" s="5">
        <v>42741</v>
      </c>
      <c r="B115" s="8">
        <v>1</v>
      </c>
    </row>
    <row r="116" spans="1:2">
      <c r="A116" s="5">
        <v>42766</v>
      </c>
      <c r="B116" s="8">
        <v>1</v>
      </c>
    </row>
    <row r="117" spans="1:2">
      <c r="A117" s="5">
        <v>42786</v>
      </c>
      <c r="B117" s="8">
        <v>1</v>
      </c>
    </row>
    <row r="118" spans="1:2">
      <c r="A118" s="5">
        <v>42788</v>
      </c>
      <c r="B118" s="8">
        <v>1</v>
      </c>
    </row>
    <row r="119" spans="1:2">
      <c r="A119" s="5">
        <v>42815</v>
      </c>
      <c r="B119" s="8">
        <v>1</v>
      </c>
    </row>
    <row r="120" spans="1:2">
      <c r="A120" s="5">
        <v>42824</v>
      </c>
      <c r="B120" s="8">
        <v>2</v>
      </c>
    </row>
    <row r="121" spans="1:2">
      <c r="A121" s="5">
        <v>42853</v>
      </c>
      <c r="B121" s="8">
        <v>1</v>
      </c>
    </row>
    <row r="122" spans="1:2">
      <c r="A122" s="5">
        <v>42888</v>
      </c>
      <c r="B122" s="8">
        <v>1</v>
      </c>
    </row>
    <row r="123" spans="1:2">
      <c r="A123" s="5">
        <v>42901</v>
      </c>
      <c r="B123" s="8">
        <v>1</v>
      </c>
    </row>
    <row r="124" spans="1:2">
      <c r="A124" s="5">
        <v>42909</v>
      </c>
      <c r="B124" s="8">
        <v>1</v>
      </c>
    </row>
    <row r="125" spans="1:2">
      <c r="A125" s="5">
        <v>42937</v>
      </c>
      <c r="B125" s="8">
        <v>1</v>
      </c>
    </row>
    <row r="126" spans="1:2">
      <c r="A126" s="5">
        <v>42958</v>
      </c>
      <c r="B126" s="8">
        <v>1</v>
      </c>
    </row>
    <row r="127" spans="1:2">
      <c r="A127" s="5">
        <v>42972</v>
      </c>
      <c r="B127" s="8">
        <v>1</v>
      </c>
    </row>
    <row r="128" spans="1:2">
      <c r="A128" s="5">
        <v>43012</v>
      </c>
      <c r="B128" s="8">
        <v>1</v>
      </c>
    </row>
    <row r="129" spans="1:2">
      <c r="A129" s="5">
        <v>43028</v>
      </c>
      <c r="B129" s="8">
        <v>1</v>
      </c>
    </row>
    <row r="130" spans="1:2">
      <c r="A130" s="5">
        <v>43047</v>
      </c>
      <c r="B130" s="8">
        <v>1</v>
      </c>
    </row>
    <row r="131" spans="1:2">
      <c r="A131" s="5">
        <v>43049</v>
      </c>
      <c r="B131" s="8">
        <v>3</v>
      </c>
    </row>
    <row r="132" spans="1:2">
      <c r="A132" s="5">
        <v>43077</v>
      </c>
      <c r="B132" s="8">
        <v>1</v>
      </c>
    </row>
    <row r="133" spans="1:2">
      <c r="A133" s="5">
        <v>43168</v>
      </c>
      <c r="B133" s="8">
        <v>1</v>
      </c>
    </row>
    <row r="134" spans="1:2">
      <c r="A134" s="5">
        <v>43175</v>
      </c>
      <c r="B134" s="8">
        <v>1</v>
      </c>
    </row>
    <row r="135" spans="1:2">
      <c r="A135" s="5">
        <v>43188</v>
      </c>
      <c r="B135" s="8">
        <v>2</v>
      </c>
    </row>
    <row r="136" spans="1:2">
      <c r="A136" s="5">
        <v>43245</v>
      </c>
      <c r="B136" s="8">
        <v>1</v>
      </c>
    </row>
    <row r="137" spans="1:2">
      <c r="A137" s="5">
        <v>43355</v>
      </c>
      <c r="B137" s="8">
        <v>1</v>
      </c>
    </row>
    <row r="138" spans="1:2">
      <c r="A138" s="5">
        <v>43370</v>
      </c>
      <c r="B138" s="8">
        <v>1</v>
      </c>
    </row>
    <row r="139" spans="1:2">
      <c r="A139" s="5">
        <v>43382</v>
      </c>
      <c r="B139" s="8">
        <v>1</v>
      </c>
    </row>
    <row r="140" spans="1:2">
      <c r="A140" s="5">
        <v>43412</v>
      </c>
      <c r="B140" s="8">
        <v>1</v>
      </c>
    </row>
    <row r="141" spans="1:2">
      <c r="A141" s="5">
        <v>43425</v>
      </c>
      <c r="B141" s="8">
        <v>1</v>
      </c>
    </row>
    <row r="142" spans="1:2">
      <c r="A142" s="5">
        <v>43466</v>
      </c>
      <c r="B142" s="8">
        <v>1</v>
      </c>
    </row>
    <row r="143" spans="1:2">
      <c r="A143" s="5">
        <v>43476</v>
      </c>
      <c r="B143" s="8">
        <v>1</v>
      </c>
    </row>
    <row r="144" spans="1:2">
      <c r="A144" s="5">
        <v>43531</v>
      </c>
      <c r="B144" s="8">
        <v>1</v>
      </c>
    </row>
    <row r="145" spans="1:2">
      <c r="A145" s="5">
        <v>43567</v>
      </c>
      <c r="B145" s="8">
        <v>1</v>
      </c>
    </row>
    <row r="146" spans="1:2">
      <c r="A146" s="5">
        <v>43595</v>
      </c>
      <c r="B146" s="8">
        <v>3</v>
      </c>
    </row>
    <row r="147" spans="1:2">
      <c r="A147" s="5">
        <v>43601</v>
      </c>
      <c r="B147" s="8">
        <v>1</v>
      </c>
    </row>
    <row r="148" spans="1:2">
      <c r="A148" s="5">
        <v>43616</v>
      </c>
      <c r="B148" s="8">
        <v>1</v>
      </c>
    </row>
    <row r="149" spans="1:2">
      <c r="A149" s="5">
        <v>43635</v>
      </c>
      <c r="B149" s="8">
        <v>1</v>
      </c>
    </row>
    <row r="150" spans="1:2">
      <c r="A150" s="5">
        <v>43637</v>
      </c>
      <c r="B150" s="8">
        <v>1</v>
      </c>
    </row>
    <row r="151" spans="1:2">
      <c r="A151" s="5">
        <v>43644</v>
      </c>
      <c r="B151" s="8">
        <v>2</v>
      </c>
    </row>
    <row r="152" spans="1:2">
      <c r="A152" s="5">
        <v>43672</v>
      </c>
      <c r="B152" s="8">
        <v>1</v>
      </c>
    </row>
    <row r="153" spans="1:2">
      <c r="A153" s="5">
        <v>43681</v>
      </c>
      <c r="B153" s="8">
        <v>1</v>
      </c>
    </row>
    <row r="154" spans="1:2">
      <c r="A154" s="5">
        <v>43700</v>
      </c>
      <c r="B154" s="8">
        <v>2</v>
      </c>
    </row>
    <row r="155" spans="1:2">
      <c r="A155" s="5">
        <v>43707</v>
      </c>
      <c r="B155" s="8">
        <v>2</v>
      </c>
    </row>
    <row r="156" spans="1:2">
      <c r="A156" s="5">
        <v>43721</v>
      </c>
      <c r="B156" s="8">
        <v>1</v>
      </c>
    </row>
    <row r="157" spans="1:2">
      <c r="A157" s="5">
        <v>43728</v>
      </c>
      <c r="B157" s="8">
        <v>1</v>
      </c>
    </row>
    <row r="158" spans="1:2">
      <c r="A158" s="5">
        <v>43742</v>
      </c>
      <c r="B158" s="8">
        <v>5</v>
      </c>
    </row>
    <row r="159" spans="1:2">
      <c r="A159" s="5">
        <v>43756</v>
      </c>
      <c r="B159" s="8">
        <v>1</v>
      </c>
    </row>
    <row r="160" spans="1:2">
      <c r="A160" s="5">
        <v>43769</v>
      </c>
      <c r="B160" s="8">
        <v>1</v>
      </c>
    </row>
    <row r="161" spans="1:2">
      <c r="A161" s="5">
        <v>43770</v>
      </c>
      <c r="B161" s="8">
        <v>1</v>
      </c>
    </row>
    <row r="162" spans="1:2">
      <c r="A162" s="5">
        <v>43776</v>
      </c>
      <c r="B162" s="8">
        <v>2</v>
      </c>
    </row>
    <row r="163" spans="1:2">
      <c r="A163" s="5">
        <v>43786</v>
      </c>
      <c r="B163" s="8">
        <v>1</v>
      </c>
    </row>
    <row r="164" spans="1:2">
      <c r="A164" s="5">
        <v>43798</v>
      </c>
      <c r="B164" s="8">
        <v>1</v>
      </c>
    </row>
    <row r="165" spans="1:2">
      <c r="A165" s="5">
        <v>43805</v>
      </c>
      <c r="B165" s="8">
        <v>1</v>
      </c>
    </row>
    <row r="166" spans="1:2">
      <c r="A166" s="5">
        <v>43812</v>
      </c>
      <c r="B166" s="8">
        <v>2</v>
      </c>
    </row>
    <row r="167" spans="1:2">
      <c r="A167" s="5">
        <v>43831</v>
      </c>
      <c r="B167" s="8">
        <v>1</v>
      </c>
    </row>
    <row r="168" spans="1:2">
      <c r="A168" s="5">
        <v>43840</v>
      </c>
      <c r="B168" s="8">
        <v>1</v>
      </c>
    </row>
    <row r="169" spans="1:2">
      <c r="A169" s="5">
        <v>43846</v>
      </c>
      <c r="B169" s="8">
        <v>1</v>
      </c>
    </row>
    <row r="170" spans="1:2">
      <c r="A170" s="5">
        <v>43871</v>
      </c>
      <c r="B170" s="8">
        <v>1</v>
      </c>
    </row>
    <row r="171" spans="1:2">
      <c r="A171" s="5">
        <v>43880</v>
      </c>
      <c r="B171" s="8">
        <v>1</v>
      </c>
    </row>
    <row r="172" spans="1:2">
      <c r="A172" s="5">
        <v>43882</v>
      </c>
      <c r="B172" s="8">
        <v>1</v>
      </c>
    </row>
    <row r="173" spans="1:2">
      <c r="A173" s="5">
        <v>43890</v>
      </c>
      <c r="B173" s="8">
        <v>3</v>
      </c>
    </row>
    <row r="174" spans="1:2">
      <c r="A174" s="5">
        <v>43903</v>
      </c>
      <c r="B174" s="8">
        <v>1</v>
      </c>
    </row>
    <row r="175" spans="1:2">
      <c r="A175" s="5">
        <v>43910</v>
      </c>
      <c r="B175" s="8">
        <v>3</v>
      </c>
    </row>
    <row r="176" spans="1:2">
      <c r="A176" s="5">
        <v>43917</v>
      </c>
      <c r="B176" s="8">
        <v>2</v>
      </c>
    </row>
    <row r="177" spans="1:2">
      <c r="A177" s="5">
        <v>43938</v>
      </c>
      <c r="B177" s="8">
        <v>1</v>
      </c>
    </row>
    <row r="178" spans="1:2">
      <c r="A178" s="5">
        <v>43971</v>
      </c>
      <c r="B178" s="8">
        <v>1</v>
      </c>
    </row>
    <row r="179" spans="1:2">
      <c r="A179" s="5">
        <v>43987</v>
      </c>
      <c r="B179" s="8">
        <v>1</v>
      </c>
    </row>
    <row r="180" spans="1:2">
      <c r="A180" s="5">
        <v>44010</v>
      </c>
      <c r="B180" s="8">
        <v>1</v>
      </c>
    </row>
    <row r="181" spans="1:2">
      <c r="A181" s="5">
        <v>44029</v>
      </c>
      <c r="B181" s="8">
        <v>1</v>
      </c>
    </row>
    <row r="182" spans="1:2">
      <c r="A182" s="5">
        <v>44036</v>
      </c>
      <c r="B182" s="8">
        <v>4</v>
      </c>
    </row>
    <row r="183" spans="1:2">
      <c r="A183" s="5">
        <v>44064</v>
      </c>
      <c r="B183" s="8">
        <v>1</v>
      </c>
    </row>
    <row r="184" spans="1:2">
      <c r="A184" s="5">
        <v>44077</v>
      </c>
      <c r="B184" s="8">
        <v>1</v>
      </c>
    </row>
    <row r="185" spans="1:2">
      <c r="A185" s="5">
        <v>44092</v>
      </c>
      <c r="B185" s="8">
        <v>1</v>
      </c>
    </row>
    <row r="186" spans="1:2">
      <c r="A186" s="5">
        <v>44095</v>
      </c>
      <c r="B186" s="8">
        <v>1</v>
      </c>
    </row>
    <row r="187" spans="1:2">
      <c r="A187" s="5">
        <v>44112</v>
      </c>
      <c r="B187" s="8">
        <v>1</v>
      </c>
    </row>
    <row r="188" spans="1:2">
      <c r="A188" s="5">
        <v>44127</v>
      </c>
      <c r="B188" s="8">
        <v>1</v>
      </c>
    </row>
    <row r="189" spans="1:2">
      <c r="A189" s="5">
        <v>44134</v>
      </c>
      <c r="B189" s="8">
        <v>1</v>
      </c>
    </row>
    <row r="190" spans="1:2">
      <c r="A190" s="5">
        <v>44137</v>
      </c>
      <c r="B190" s="8">
        <v>1</v>
      </c>
    </row>
    <row r="191" spans="1:2">
      <c r="A191" s="5">
        <v>44162</v>
      </c>
      <c r="B191" s="8">
        <v>1</v>
      </c>
    </row>
    <row r="192" spans="1:2">
      <c r="A192" s="5">
        <v>44183</v>
      </c>
      <c r="B192" s="8">
        <v>2</v>
      </c>
    </row>
    <row r="193" spans="1:2">
      <c r="A193" s="5">
        <v>44189</v>
      </c>
      <c r="B193" s="8">
        <v>1</v>
      </c>
    </row>
    <row r="194" spans="1:2">
      <c r="A194" s="5">
        <v>44190</v>
      </c>
      <c r="B194" s="8">
        <v>1</v>
      </c>
    </row>
    <row r="195" spans="1:2">
      <c r="A195" s="5">
        <v>44204</v>
      </c>
      <c r="B195" s="8">
        <v>1</v>
      </c>
    </row>
    <row r="196" spans="1:2">
      <c r="A196" s="5">
        <v>44211</v>
      </c>
      <c r="B196" s="8">
        <v>1</v>
      </c>
    </row>
    <row r="197" spans="1:2">
      <c r="A197" s="5">
        <v>44224</v>
      </c>
      <c r="B197" s="8">
        <v>1</v>
      </c>
    </row>
    <row r="198" spans="1:2">
      <c r="A198" s="5">
        <v>44260</v>
      </c>
      <c r="B198" s="8">
        <v>1</v>
      </c>
    </row>
    <row r="199" spans="1:2">
      <c r="A199" s="5">
        <v>44266</v>
      </c>
      <c r="B199" s="8">
        <v>1</v>
      </c>
    </row>
    <row r="200" spans="1:2">
      <c r="A200" s="5">
        <v>44274</v>
      </c>
      <c r="B200" s="8">
        <v>3</v>
      </c>
    </row>
    <row r="201" spans="1:2">
      <c r="A201" s="5">
        <v>44287</v>
      </c>
      <c r="B201" s="8">
        <v>1</v>
      </c>
    </row>
    <row r="202" spans="1:2">
      <c r="A202" s="5">
        <v>44295</v>
      </c>
      <c r="B202" s="8">
        <v>3</v>
      </c>
    </row>
    <row r="203" spans="1:2">
      <c r="A203" s="5">
        <v>44300</v>
      </c>
      <c r="B203" s="8">
        <v>1</v>
      </c>
    </row>
    <row r="204" spans="1:2">
      <c r="A204" s="5">
        <v>44314</v>
      </c>
      <c r="B204" s="8">
        <v>1</v>
      </c>
    </row>
    <row r="205" spans="1:2">
      <c r="A205" s="5">
        <v>44315</v>
      </c>
      <c r="B205" s="8">
        <v>1</v>
      </c>
    </row>
    <row r="206" spans="1:2">
      <c r="A206" s="5">
        <v>44316</v>
      </c>
      <c r="B206" s="8">
        <v>1</v>
      </c>
    </row>
    <row r="207" spans="1:2">
      <c r="A207" s="5">
        <v>44323</v>
      </c>
      <c r="B207" s="8">
        <v>1</v>
      </c>
    </row>
    <row r="208" spans="1:2">
      <c r="A208" s="5">
        <v>44330</v>
      </c>
      <c r="B208" s="8">
        <v>1</v>
      </c>
    </row>
    <row r="209" spans="1:2">
      <c r="A209" s="5">
        <v>44331</v>
      </c>
      <c r="B209" s="8">
        <v>1</v>
      </c>
    </row>
    <row r="210" spans="1:2">
      <c r="A210" s="5">
        <v>44337</v>
      </c>
      <c r="B210" s="8">
        <v>5</v>
      </c>
    </row>
    <row r="211" spans="1:2">
      <c r="A211" s="5">
        <v>44351</v>
      </c>
      <c r="B211" s="8">
        <v>1</v>
      </c>
    </row>
    <row r="212" spans="1:2">
      <c r="A212" s="5">
        <v>44358</v>
      </c>
      <c r="B212" s="8">
        <v>2</v>
      </c>
    </row>
    <row r="213" spans="1:2">
      <c r="A213" s="5">
        <v>44371</v>
      </c>
      <c r="B213" s="8">
        <v>3</v>
      </c>
    </row>
    <row r="214" spans="1:2">
      <c r="A214" s="5">
        <v>44372</v>
      </c>
      <c r="B214" s="8">
        <v>5</v>
      </c>
    </row>
    <row r="215" spans="1:2">
      <c r="A215" s="5">
        <v>44385</v>
      </c>
      <c r="B215" s="8">
        <v>2</v>
      </c>
    </row>
    <row r="216" spans="1:2">
      <c r="A216" s="5">
        <v>44386</v>
      </c>
      <c r="B216" s="8">
        <v>2</v>
      </c>
    </row>
    <row r="217" spans="1:2">
      <c r="A217" s="5">
        <v>44400</v>
      </c>
      <c r="B217" s="8">
        <v>1</v>
      </c>
    </row>
    <row r="218" spans="1:2">
      <c r="A218" s="5">
        <v>44405</v>
      </c>
      <c r="B218" s="8">
        <v>1</v>
      </c>
    </row>
    <row r="219" spans="1:2">
      <c r="A219" s="5">
        <v>44407</v>
      </c>
      <c r="B219" s="8">
        <v>2</v>
      </c>
    </row>
    <row r="220" spans="1:2">
      <c r="A220" s="5">
        <v>44409</v>
      </c>
      <c r="B220" s="8">
        <v>1</v>
      </c>
    </row>
    <row r="221" spans="1:2">
      <c r="A221" s="5">
        <v>44411</v>
      </c>
      <c r="B221" s="8">
        <v>1</v>
      </c>
    </row>
    <row r="222" spans="1:2">
      <c r="A222" s="5">
        <v>44414</v>
      </c>
      <c r="B222" s="8">
        <v>2</v>
      </c>
    </row>
    <row r="223" spans="1:2">
      <c r="A223" s="5">
        <v>44417</v>
      </c>
      <c r="B223" s="8">
        <v>1</v>
      </c>
    </row>
    <row r="224" spans="1:2">
      <c r="A224" s="5">
        <v>44418</v>
      </c>
      <c r="B224" s="8">
        <v>1</v>
      </c>
    </row>
    <row r="225" spans="1:2">
      <c r="A225" s="5">
        <v>44420</v>
      </c>
      <c r="B225" s="8">
        <v>1</v>
      </c>
    </row>
    <row r="226" spans="1:2">
      <c r="A226" s="5">
        <v>44421</v>
      </c>
      <c r="B226" s="8">
        <v>2</v>
      </c>
    </row>
    <row r="227" spans="1:2">
      <c r="A227" s="5">
        <v>44428</v>
      </c>
      <c r="B227" s="8">
        <v>1</v>
      </c>
    </row>
    <row r="228" spans="1:2">
      <c r="A228" s="5">
        <v>44435</v>
      </c>
      <c r="B228" s="8">
        <v>1</v>
      </c>
    </row>
    <row r="229" spans="1:2">
      <c r="A229" s="5">
        <v>44437</v>
      </c>
      <c r="B229" s="8">
        <v>1</v>
      </c>
    </row>
    <row r="230" spans="1:2">
      <c r="A230" s="5">
        <v>44440</v>
      </c>
      <c r="B230" s="8">
        <v>2</v>
      </c>
    </row>
    <row r="231" spans="1:2">
      <c r="A231" s="5">
        <v>44441</v>
      </c>
      <c r="B231" s="8">
        <v>1</v>
      </c>
    </row>
    <row r="232" spans="1:2">
      <c r="A232" s="5">
        <v>44442</v>
      </c>
      <c r="B232" s="8">
        <v>5</v>
      </c>
    </row>
    <row r="233" spans="1:2">
      <c r="A233" s="5">
        <v>44447</v>
      </c>
      <c r="B233" s="8">
        <v>1</v>
      </c>
    </row>
    <row r="234" spans="1:2">
      <c r="A234" s="5">
        <v>44448</v>
      </c>
      <c r="B234" s="8">
        <v>2</v>
      </c>
    </row>
    <row r="235" spans="1:2">
      <c r="A235" s="5">
        <v>44449</v>
      </c>
      <c r="B235" s="8">
        <v>3</v>
      </c>
    </row>
    <row r="236" spans="1:2">
      <c r="A236" s="5">
        <v>44455</v>
      </c>
      <c r="B236" s="8">
        <v>1</v>
      </c>
    </row>
    <row r="237" spans="1:2">
      <c r="A237" s="5">
        <v>44456</v>
      </c>
      <c r="B237" s="8">
        <v>1</v>
      </c>
    </row>
    <row r="238" spans="1:2">
      <c r="A238" s="5">
        <v>44463</v>
      </c>
      <c r="B238" s="8">
        <v>2</v>
      </c>
    </row>
    <row r="239" spans="1:2">
      <c r="A239" s="5">
        <v>44470</v>
      </c>
      <c r="B239" s="8">
        <v>1</v>
      </c>
    </row>
    <row r="240" spans="1:2">
      <c r="A240" s="5">
        <v>44474</v>
      </c>
      <c r="B240" s="8">
        <v>1</v>
      </c>
    </row>
    <row r="241" spans="1:2">
      <c r="A241" s="5">
        <v>44483</v>
      </c>
      <c r="B241" s="8">
        <v>2</v>
      </c>
    </row>
    <row r="242" spans="1:2">
      <c r="A242" s="5">
        <v>44490</v>
      </c>
      <c r="B242" s="8">
        <v>1</v>
      </c>
    </row>
    <row r="243" spans="1:2">
      <c r="A243" s="5">
        <v>44491</v>
      </c>
      <c r="B243" s="8">
        <v>4</v>
      </c>
    </row>
    <row r="244" spans="1:2">
      <c r="A244" s="5">
        <v>44496</v>
      </c>
      <c r="B244" s="8">
        <v>2</v>
      </c>
    </row>
    <row r="245" spans="1:2">
      <c r="A245" s="5">
        <v>44499</v>
      </c>
      <c r="B245" s="8">
        <v>1</v>
      </c>
    </row>
    <row r="246" spans="1:2">
      <c r="A246" s="5">
        <v>44504</v>
      </c>
      <c r="B246" s="8">
        <v>1</v>
      </c>
    </row>
    <row r="247" spans="1:2">
      <c r="A247" s="5">
        <v>44505</v>
      </c>
      <c r="B247" s="8">
        <v>3</v>
      </c>
    </row>
    <row r="248" spans="1:2">
      <c r="A248" s="5">
        <v>44511</v>
      </c>
      <c r="B248" s="8">
        <v>3</v>
      </c>
    </row>
    <row r="249" spans="1:2">
      <c r="A249" s="5">
        <v>44512</v>
      </c>
      <c r="B249" s="8">
        <v>1</v>
      </c>
    </row>
    <row r="250" spans="1:2">
      <c r="A250" s="5">
        <v>44517</v>
      </c>
      <c r="B250" s="8">
        <v>1</v>
      </c>
    </row>
    <row r="251" spans="1:2">
      <c r="A251" s="5">
        <v>44518</v>
      </c>
      <c r="B251" s="8">
        <v>2</v>
      </c>
    </row>
    <row r="252" spans="1:2">
      <c r="A252" s="5">
        <v>44519</v>
      </c>
      <c r="B252" s="8">
        <v>8</v>
      </c>
    </row>
    <row r="253" spans="1:2">
      <c r="A253" s="5">
        <v>44525</v>
      </c>
      <c r="B253" s="8">
        <v>1</v>
      </c>
    </row>
    <row r="254" spans="1:2">
      <c r="A254" s="5">
        <v>44530</v>
      </c>
      <c r="B254" s="8">
        <v>1</v>
      </c>
    </row>
    <row r="255" spans="1:2">
      <c r="A255" s="5">
        <v>44531</v>
      </c>
      <c r="B255" s="8">
        <v>2</v>
      </c>
    </row>
    <row r="256" spans="1:2">
      <c r="A256" s="5">
        <v>44533</v>
      </c>
      <c r="B256" s="8">
        <v>2</v>
      </c>
    </row>
    <row r="257" spans="1:2">
      <c r="A257" s="5">
        <v>44540</v>
      </c>
      <c r="B257" s="8">
        <v>2</v>
      </c>
    </row>
    <row r="258" spans="1:2">
      <c r="A258" s="5">
        <v>44547</v>
      </c>
      <c r="B258" s="8">
        <v>1</v>
      </c>
    </row>
    <row r="259" spans="1:2">
      <c r="A259" s="5">
        <v>44553</v>
      </c>
      <c r="B259" s="8">
        <v>1</v>
      </c>
    </row>
    <row r="260" spans="1:2">
      <c r="A260" s="5">
        <v>44554</v>
      </c>
      <c r="B260" s="8">
        <v>3</v>
      </c>
    </row>
    <row r="261" spans="1:2">
      <c r="A261" s="5">
        <v>44559</v>
      </c>
      <c r="B261" s="8">
        <v>2</v>
      </c>
    </row>
    <row r="262" spans="1:2">
      <c r="A262" s="5">
        <v>44566</v>
      </c>
      <c r="B262" s="8">
        <v>2</v>
      </c>
    </row>
    <row r="263" spans="1:2">
      <c r="A263" s="5">
        <v>44568</v>
      </c>
      <c r="B263" s="8">
        <v>19</v>
      </c>
    </row>
    <row r="264" spans="1:2">
      <c r="A264" s="5">
        <v>44570</v>
      </c>
      <c r="B264" s="8">
        <v>1</v>
      </c>
    </row>
    <row r="265" spans="1:2">
      <c r="A265" s="5">
        <v>44571</v>
      </c>
      <c r="B265" s="8">
        <v>3</v>
      </c>
    </row>
    <row r="266" spans="1:2">
      <c r="A266" s="5">
        <v>44575</v>
      </c>
      <c r="B266" s="8">
        <v>2</v>
      </c>
    </row>
    <row r="267" spans="1:2">
      <c r="A267" s="5">
        <v>44576</v>
      </c>
      <c r="B267" s="8">
        <v>1</v>
      </c>
    </row>
    <row r="268" spans="1:2">
      <c r="A268" s="5">
        <v>44578</v>
      </c>
      <c r="B268" s="8">
        <v>1</v>
      </c>
    </row>
    <row r="269" spans="1:2">
      <c r="A269" s="5">
        <v>44580</v>
      </c>
      <c r="B269" s="8">
        <v>1</v>
      </c>
    </row>
    <row r="270" spans="1:2">
      <c r="A270" s="5">
        <v>44581</v>
      </c>
      <c r="B270" s="8">
        <v>1</v>
      </c>
    </row>
    <row r="271" spans="1:2">
      <c r="A271" s="5">
        <v>44582</v>
      </c>
      <c r="B271" s="8">
        <v>2</v>
      </c>
    </row>
    <row r="272" spans="1:2">
      <c r="A272" s="5">
        <v>44587</v>
      </c>
      <c r="B272" s="8">
        <v>1</v>
      </c>
    </row>
    <row r="273" spans="1:2">
      <c r="A273" s="5">
        <v>44589</v>
      </c>
      <c r="B273" s="8">
        <v>2</v>
      </c>
    </row>
    <row r="274" spans="1:2">
      <c r="A274" s="5">
        <v>44591</v>
      </c>
      <c r="B274" s="8">
        <v>1</v>
      </c>
    </row>
    <row r="275" spans="1:2">
      <c r="A275" s="5">
        <v>44593</v>
      </c>
      <c r="B275" s="8">
        <v>1</v>
      </c>
    </row>
    <row r="276" spans="1:2">
      <c r="A276" s="5">
        <v>44594</v>
      </c>
      <c r="B276" s="8">
        <v>1</v>
      </c>
    </row>
    <row r="277" spans="1:2">
      <c r="A277" s="5">
        <v>44596</v>
      </c>
      <c r="B277" s="8">
        <v>4</v>
      </c>
    </row>
    <row r="278" spans="1:2">
      <c r="A278" s="5">
        <v>44598</v>
      </c>
      <c r="B278" s="8">
        <v>2</v>
      </c>
    </row>
    <row r="279" spans="1:2">
      <c r="A279" s="5">
        <v>44601</v>
      </c>
      <c r="B279" s="8">
        <v>1</v>
      </c>
    </row>
    <row r="280" spans="1:2">
      <c r="A280" s="5">
        <v>44602</v>
      </c>
      <c r="B280" s="8">
        <v>1</v>
      </c>
    </row>
    <row r="281" spans="1:2">
      <c r="A281" s="5">
        <v>44603</v>
      </c>
      <c r="B281" s="8">
        <v>6</v>
      </c>
    </row>
    <row r="282" spans="1:2">
      <c r="A282" s="5">
        <v>44606</v>
      </c>
      <c r="B282" s="8">
        <v>1</v>
      </c>
    </row>
    <row r="283" spans="1:2">
      <c r="A283" s="5">
        <v>44607</v>
      </c>
      <c r="B283" s="8">
        <v>1</v>
      </c>
    </row>
    <row r="284" spans="1:2">
      <c r="A284" s="5">
        <v>44609</v>
      </c>
      <c r="B284" s="8">
        <v>1</v>
      </c>
    </row>
    <row r="285" spans="1:2">
      <c r="A285" s="5">
        <v>44610</v>
      </c>
      <c r="B285" s="8">
        <v>5</v>
      </c>
    </row>
    <row r="286" spans="1:2">
      <c r="A286" s="5">
        <v>44614</v>
      </c>
      <c r="B286" s="8">
        <v>2</v>
      </c>
    </row>
    <row r="287" spans="1:2">
      <c r="A287" s="5">
        <v>44617</v>
      </c>
      <c r="B287" s="8">
        <v>2</v>
      </c>
    </row>
    <row r="288" spans="1:2">
      <c r="A288" s="5">
        <v>44623</v>
      </c>
      <c r="B288" s="8">
        <v>3</v>
      </c>
    </row>
    <row r="289" spans="1:2">
      <c r="A289" s="5">
        <v>44624</v>
      </c>
      <c r="B289" s="8">
        <v>1</v>
      </c>
    </row>
    <row r="290" spans="1:2">
      <c r="A290" s="5">
        <v>44630</v>
      </c>
      <c r="B290" s="8">
        <v>1</v>
      </c>
    </row>
    <row r="291" spans="1:2">
      <c r="A291" s="5">
        <v>44631</v>
      </c>
      <c r="B291" s="8">
        <v>2</v>
      </c>
    </row>
    <row r="292" spans="1:2">
      <c r="A292" s="5">
        <v>44634</v>
      </c>
      <c r="B292" s="8">
        <v>1</v>
      </c>
    </row>
    <row r="293" spans="1:2">
      <c r="A293" s="5">
        <v>44637</v>
      </c>
      <c r="B293" s="8">
        <v>1</v>
      </c>
    </row>
    <row r="294" spans="1:2">
      <c r="A294" s="5">
        <v>44638</v>
      </c>
      <c r="B294" s="8">
        <v>4</v>
      </c>
    </row>
    <row r="295" spans="1:2">
      <c r="A295" s="5">
        <v>44639</v>
      </c>
      <c r="B295" s="8">
        <v>2</v>
      </c>
    </row>
    <row r="296" spans="1:2">
      <c r="A296" s="5">
        <v>44643</v>
      </c>
      <c r="B296" s="8">
        <v>2</v>
      </c>
    </row>
    <row r="297" spans="1:2">
      <c r="A297" s="5">
        <v>44644</v>
      </c>
      <c r="B297" s="8">
        <v>1</v>
      </c>
    </row>
    <row r="298" spans="1:2">
      <c r="A298" s="5">
        <v>44645</v>
      </c>
      <c r="B298" s="8">
        <v>4</v>
      </c>
    </row>
    <row r="299" spans="1:2">
      <c r="A299" s="5">
        <v>44650</v>
      </c>
      <c r="B299" s="8">
        <v>2</v>
      </c>
    </row>
    <row r="300" spans="1:2">
      <c r="A300" s="5">
        <v>44651</v>
      </c>
      <c r="B300" s="8">
        <v>3</v>
      </c>
    </row>
    <row r="301" spans="1:2">
      <c r="A301" s="5">
        <v>44652</v>
      </c>
      <c r="B301" s="8">
        <v>3</v>
      </c>
    </row>
    <row r="302" spans="1:2">
      <c r="A302" s="5">
        <v>44656</v>
      </c>
      <c r="B302" s="8">
        <v>2</v>
      </c>
    </row>
    <row r="303" spans="1:2">
      <c r="A303" s="5">
        <v>44657</v>
      </c>
      <c r="B303" s="8">
        <v>1</v>
      </c>
    </row>
    <row r="304" spans="1:2">
      <c r="A304" s="5">
        <v>44658</v>
      </c>
      <c r="B304" s="8">
        <v>1</v>
      </c>
    </row>
    <row r="305" spans="1:2">
      <c r="A305" s="5">
        <v>44659</v>
      </c>
      <c r="B305" s="8">
        <v>5</v>
      </c>
    </row>
    <row r="306" spans="1:2">
      <c r="A306" s="5">
        <v>44664</v>
      </c>
      <c r="B306" s="8">
        <v>1</v>
      </c>
    </row>
    <row r="307" spans="1:2">
      <c r="A307" s="5">
        <v>44665</v>
      </c>
      <c r="B307" s="8">
        <v>1</v>
      </c>
    </row>
    <row r="308" spans="1:2">
      <c r="A308" s="5">
        <v>44671</v>
      </c>
      <c r="B308" s="8">
        <v>1</v>
      </c>
    </row>
    <row r="309" spans="1:2">
      <c r="A309" s="5">
        <v>44672</v>
      </c>
      <c r="B309" s="8">
        <v>2</v>
      </c>
    </row>
    <row r="310" spans="1:2">
      <c r="A310" s="5">
        <v>44673</v>
      </c>
      <c r="B310" s="8">
        <v>5</v>
      </c>
    </row>
    <row r="311" spans="1:2">
      <c r="A311" s="5">
        <v>44675</v>
      </c>
      <c r="B311" s="8">
        <v>1</v>
      </c>
    </row>
    <row r="312" spans="1:2">
      <c r="A312" s="5">
        <v>44676</v>
      </c>
      <c r="B312" s="8">
        <v>1</v>
      </c>
    </row>
    <row r="313" spans="1:2">
      <c r="A313" s="5">
        <v>44678</v>
      </c>
      <c r="B313" s="8">
        <v>1</v>
      </c>
    </row>
    <row r="314" spans="1:2">
      <c r="A314" s="5">
        <v>44679</v>
      </c>
      <c r="B314" s="8">
        <v>1</v>
      </c>
    </row>
    <row r="315" spans="1:2">
      <c r="A315" s="5">
        <v>44680</v>
      </c>
      <c r="B315" s="8">
        <v>4</v>
      </c>
    </row>
    <row r="316" spans="1:2">
      <c r="A316" s="5">
        <v>44683</v>
      </c>
      <c r="B316" s="8">
        <v>2</v>
      </c>
    </row>
    <row r="317" spans="1:2">
      <c r="A317" s="5">
        <v>44684</v>
      </c>
      <c r="B317" s="8">
        <v>1</v>
      </c>
    </row>
    <row r="318" spans="1:2">
      <c r="A318" s="5">
        <v>44687</v>
      </c>
      <c r="B318" s="8">
        <v>27</v>
      </c>
    </row>
    <row r="319" spans="1:2">
      <c r="A319" s="5">
        <v>44689</v>
      </c>
      <c r="B319" s="8">
        <v>1</v>
      </c>
    </row>
    <row r="320" spans="1:2">
      <c r="A320" s="5">
        <v>44693</v>
      </c>
      <c r="B320" s="8">
        <v>2</v>
      </c>
    </row>
    <row r="321" spans="1:2">
      <c r="A321" s="5">
        <v>44694</v>
      </c>
      <c r="B321" s="8">
        <v>23</v>
      </c>
    </row>
    <row r="322" spans="1:2">
      <c r="A322" s="5">
        <v>44701</v>
      </c>
      <c r="B322" s="8">
        <v>14</v>
      </c>
    </row>
    <row r="323" spans="1:2">
      <c r="A323" s="5">
        <v>44706</v>
      </c>
      <c r="B323" s="8">
        <v>1</v>
      </c>
    </row>
    <row r="324" spans="1:2">
      <c r="A324" s="5">
        <v>44707</v>
      </c>
      <c r="B324" s="8">
        <v>1</v>
      </c>
    </row>
    <row r="325" spans="1:2">
      <c r="A325" s="5">
        <v>44708</v>
      </c>
      <c r="B325" s="8">
        <v>2</v>
      </c>
    </row>
    <row r="326" spans="1:2">
      <c r="A326" s="5">
        <v>44712</v>
      </c>
      <c r="B326" s="8">
        <v>1</v>
      </c>
    </row>
    <row r="327" spans="1:2">
      <c r="A327" s="5">
        <v>44714</v>
      </c>
      <c r="B327" s="8">
        <v>2</v>
      </c>
    </row>
    <row r="328" spans="1:2">
      <c r="A328" s="5">
        <v>44715</v>
      </c>
      <c r="B328" s="8">
        <v>3</v>
      </c>
    </row>
    <row r="329" spans="1:2">
      <c r="A329" s="5">
        <v>44720</v>
      </c>
      <c r="B329" s="8">
        <v>1</v>
      </c>
    </row>
    <row r="330" spans="1:2">
      <c r="A330" s="5">
        <v>44721</v>
      </c>
      <c r="B330" s="8">
        <v>1</v>
      </c>
    </row>
    <row r="331" spans="1:2">
      <c r="A331" s="5">
        <v>44722</v>
      </c>
      <c r="B331" s="8">
        <v>10</v>
      </c>
    </row>
    <row r="332" spans="1:2">
      <c r="A332" s="5">
        <v>44727</v>
      </c>
      <c r="B332" s="8">
        <v>1</v>
      </c>
    </row>
    <row r="333" spans="1:2">
      <c r="A333" s="5">
        <v>44728</v>
      </c>
      <c r="B333" s="8">
        <v>2</v>
      </c>
    </row>
    <row r="334" spans="1:2">
      <c r="A334" s="5">
        <v>44729</v>
      </c>
      <c r="B334" s="8">
        <v>3</v>
      </c>
    </row>
    <row r="335" spans="1:2">
      <c r="A335" s="5">
        <v>44733</v>
      </c>
      <c r="B335" s="8">
        <v>1</v>
      </c>
    </row>
    <row r="336" spans="1:2">
      <c r="A336" s="5">
        <v>44735</v>
      </c>
      <c r="B336" s="8">
        <v>1</v>
      </c>
    </row>
    <row r="337" spans="1:2">
      <c r="A337" s="5">
        <v>44736</v>
      </c>
      <c r="B337" s="8">
        <v>3</v>
      </c>
    </row>
    <row r="338" spans="1:2">
      <c r="A338" s="5">
        <v>44741</v>
      </c>
      <c r="B338" s="8">
        <v>1</v>
      </c>
    </row>
    <row r="339" spans="1:2">
      <c r="A339" s="5">
        <v>44743</v>
      </c>
      <c r="B339" s="8">
        <v>3</v>
      </c>
    </row>
    <row r="340" spans="1:2">
      <c r="A340" s="5">
        <v>44748</v>
      </c>
      <c r="B340" s="8">
        <v>2</v>
      </c>
    </row>
    <row r="341" spans="1:2">
      <c r="A341" s="5">
        <v>44750</v>
      </c>
      <c r="B341" s="8">
        <v>1</v>
      </c>
    </row>
    <row r="342" spans="1:2">
      <c r="A342" s="5">
        <v>44754</v>
      </c>
      <c r="B342" s="8">
        <v>1</v>
      </c>
    </row>
    <row r="343" spans="1:2">
      <c r="A343" s="5">
        <v>44756</v>
      </c>
      <c r="B343" s="8">
        <v>1</v>
      </c>
    </row>
    <row r="344" spans="1:2">
      <c r="A344" s="5">
        <v>44757</v>
      </c>
      <c r="B344" s="8">
        <v>5</v>
      </c>
    </row>
    <row r="345" spans="1:2">
      <c r="A345" s="5">
        <v>44759</v>
      </c>
      <c r="B345" s="8">
        <v>2</v>
      </c>
    </row>
    <row r="346" spans="1:2">
      <c r="A346" s="5">
        <v>44762</v>
      </c>
      <c r="B346" s="8">
        <v>3</v>
      </c>
    </row>
    <row r="347" spans="1:2">
      <c r="A347" s="5">
        <v>44763</v>
      </c>
      <c r="B347" s="8">
        <v>1</v>
      </c>
    </row>
    <row r="348" spans="1:2">
      <c r="A348" s="5">
        <v>44764</v>
      </c>
      <c r="B348" s="8">
        <v>2</v>
      </c>
    </row>
    <row r="349" spans="1:2">
      <c r="A349" s="5">
        <v>44767</v>
      </c>
      <c r="B349" s="8">
        <v>1</v>
      </c>
    </row>
    <row r="350" spans="1:2">
      <c r="A350" s="5">
        <v>44770</v>
      </c>
      <c r="B350" s="8">
        <v>2</v>
      </c>
    </row>
    <row r="351" spans="1:2">
      <c r="A351" s="5">
        <v>44771</v>
      </c>
      <c r="B351" s="8">
        <v>2</v>
      </c>
    </row>
    <row r="352" spans="1:2">
      <c r="A352" s="5">
        <v>44774</v>
      </c>
      <c r="B352" s="8">
        <v>2</v>
      </c>
    </row>
    <row r="353" spans="1:2">
      <c r="A353" s="5">
        <v>44777</v>
      </c>
      <c r="B353" s="8">
        <v>1</v>
      </c>
    </row>
    <row r="354" spans="1:2">
      <c r="A354" s="5">
        <v>44778</v>
      </c>
      <c r="B354" s="8">
        <v>5</v>
      </c>
    </row>
    <row r="355" spans="1:2">
      <c r="A355" s="5">
        <v>44784</v>
      </c>
      <c r="B355" s="8">
        <v>1</v>
      </c>
    </row>
    <row r="356" spans="1:2">
      <c r="A356" s="5">
        <v>44785</v>
      </c>
      <c r="B356" s="8">
        <v>1</v>
      </c>
    </row>
    <row r="357" spans="1:2">
      <c r="A357" s="5">
        <v>44788</v>
      </c>
      <c r="B357" s="8">
        <v>1</v>
      </c>
    </row>
    <row r="358" spans="1:2">
      <c r="A358" s="5">
        <v>44789</v>
      </c>
      <c r="B358" s="8">
        <v>1</v>
      </c>
    </row>
    <row r="359" spans="1:2">
      <c r="A359" s="5">
        <v>44791</v>
      </c>
      <c r="B359" s="8">
        <v>1</v>
      </c>
    </row>
    <row r="360" spans="1:2">
      <c r="A360" s="5">
        <v>44792</v>
      </c>
      <c r="B360" s="8">
        <v>2</v>
      </c>
    </row>
    <row r="361" spans="1:2">
      <c r="A361" s="5">
        <v>44795</v>
      </c>
      <c r="B361" s="8">
        <v>1</v>
      </c>
    </row>
    <row r="362" spans="1:2">
      <c r="A362" s="5">
        <v>44798</v>
      </c>
      <c r="B362" s="8">
        <v>1</v>
      </c>
    </row>
    <row r="363" spans="1:2">
      <c r="A363" s="5">
        <v>44799</v>
      </c>
      <c r="B363" s="8">
        <v>2</v>
      </c>
    </row>
    <row r="364" spans="1:2">
      <c r="A364" s="5">
        <v>44806</v>
      </c>
      <c r="B364" s="8">
        <v>1</v>
      </c>
    </row>
    <row r="365" spans="1:2">
      <c r="A365" s="5">
        <v>44812</v>
      </c>
      <c r="B365" s="8">
        <v>1</v>
      </c>
    </row>
    <row r="366" spans="1:2">
      <c r="A366" s="5">
        <v>44813</v>
      </c>
      <c r="B366" s="8">
        <v>2</v>
      </c>
    </row>
    <row r="367" spans="1:2">
      <c r="A367" s="5">
        <v>44817</v>
      </c>
      <c r="B367" s="8">
        <v>3</v>
      </c>
    </row>
    <row r="368" spans="1:2">
      <c r="A368" s="5">
        <v>44818</v>
      </c>
      <c r="B368" s="8">
        <v>1</v>
      </c>
    </row>
    <row r="369" spans="1:2">
      <c r="A369" s="5">
        <v>44820</v>
      </c>
      <c r="B369" s="8">
        <v>3</v>
      </c>
    </row>
    <row r="370" spans="1:2">
      <c r="A370" s="5">
        <v>44826</v>
      </c>
      <c r="B370" s="8">
        <v>4</v>
      </c>
    </row>
    <row r="371" spans="1:2">
      <c r="A371" s="5">
        <v>44832</v>
      </c>
      <c r="B371" s="8">
        <v>2</v>
      </c>
    </row>
    <row r="372" spans="1:2">
      <c r="A372" s="5">
        <v>44833</v>
      </c>
      <c r="B372" s="8">
        <v>3</v>
      </c>
    </row>
    <row r="373" spans="1:2">
      <c r="A373" s="5">
        <v>44837</v>
      </c>
      <c r="B373" s="8">
        <v>1</v>
      </c>
    </row>
    <row r="374" spans="1:2">
      <c r="A374" s="5">
        <v>44840</v>
      </c>
      <c r="B374" s="8">
        <v>1</v>
      </c>
    </row>
    <row r="375" spans="1:2">
      <c r="A375" s="5">
        <v>44841</v>
      </c>
      <c r="B375" s="8">
        <v>1</v>
      </c>
    </row>
    <row r="376" spans="1:2">
      <c r="A376" s="5">
        <v>44846</v>
      </c>
      <c r="B376" s="8">
        <v>3</v>
      </c>
    </row>
    <row r="377" spans="1:2">
      <c r="A377" s="5">
        <v>44848</v>
      </c>
      <c r="B377" s="8">
        <v>2</v>
      </c>
    </row>
    <row r="378" spans="1:2">
      <c r="A378" s="5">
        <v>44851</v>
      </c>
      <c r="B378" s="8">
        <v>3</v>
      </c>
    </row>
    <row r="379" spans="1:2">
      <c r="A379" s="5">
        <v>44853</v>
      </c>
      <c r="B379" s="8">
        <v>1</v>
      </c>
    </row>
    <row r="380" spans="1:2">
      <c r="A380" s="5">
        <v>44854</v>
      </c>
      <c r="B380" s="8">
        <v>2</v>
      </c>
    </row>
    <row r="381" spans="1:2">
      <c r="A381" s="5">
        <v>44855</v>
      </c>
      <c r="B381" s="8">
        <v>17</v>
      </c>
    </row>
    <row r="382" spans="1:2">
      <c r="A382" s="5">
        <v>44860</v>
      </c>
      <c r="B382" s="8">
        <v>1</v>
      </c>
    </row>
    <row r="383" spans="1:2">
      <c r="A383" s="5">
        <v>44862</v>
      </c>
      <c r="B383" s="8">
        <v>3</v>
      </c>
    </row>
    <row r="384" spans="1:2">
      <c r="A384" s="5">
        <v>44865</v>
      </c>
      <c r="B384" s="8">
        <v>2</v>
      </c>
    </row>
    <row r="385" spans="1:2">
      <c r="A385" s="5">
        <v>44866</v>
      </c>
      <c r="B385" s="8">
        <v>1</v>
      </c>
    </row>
    <row r="386" spans="1:2">
      <c r="A386" s="5">
        <v>44868</v>
      </c>
      <c r="B386" s="8">
        <v>3</v>
      </c>
    </row>
    <row r="387" spans="1:2">
      <c r="A387" s="5">
        <v>44869</v>
      </c>
      <c r="B387" s="8">
        <v>14</v>
      </c>
    </row>
    <row r="388" spans="1:2">
      <c r="A388" s="5">
        <v>44870</v>
      </c>
      <c r="B388" s="8">
        <v>1</v>
      </c>
    </row>
    <row r="389" spans="1:2">
      <c r="A389" s="5">
        <v>44878</v>
      </c>
      <c r="B389" s="8">
        <v>1</v>
      </c>
    </row>
    <row r="390" spans="1:2">
      <c r="A390" s="5">
        <v>44885</v>
      </c>
      <c r="B390" s="8">
        <v>1</v>
      </c>
    </row>
    <row r="391" spans="1:2">
      <c r="A391" s="5">
        <v>44889</v>
      </c>
      <c r="B391" s="8">
        <v>1</v>
      </c>
    </row>
    <row r="392" spans="1:2">
      <c r="A392" s="5">
        <v>44890</v>
      </c>
      <c r="B392" s="8">
        <v>1</v>
      </c>
    </row>
    <row r="393" spans="1:2">
      <c r="A393" s="5">
        <v>44895</v>
      </c>
      <c r="B393" s="8">
        <v>3</v>
      </c>
    </row>
    <row r="394" spans="1:2">
      <c r="A394" s="5">
        <v>44896</v>
      </c>
      <c r="B394" s="8">
        <v>1</v>
      </c>
    </row>
    <row r="395" spans="1:2">
      <c r="A395" s="5">
        <v>44897</v>
      </c>
      <c r="B395" s="8">
        <v>12</v>
      </c>
    </row>
    <row r="396" spans="1:2">
      <c r="A396" s="5">
        <v>44903</v>
      </c>
      <c r="B396" s="8">
        <v>5</v>
      </c>
    </row>
    <row r="397" spans="1:2">
      <c r="A397" s="5">
        <v>44904</v>
      </c>
      <c r="B397" s="8">
        <v>17</v>
      </c>
    </row>
    <row r="398" spans="1:2">
      <c r="A398" s="5">
        <v>44907</v>
      </c>
      <c r="B398" s="8">
        <v>1</v>
      </c>
    </row>
    <row r="399" spans="1:2">
      <c r="A399" s="5">
        <v>44910</v>
      </c>
      <c r="B399" s="8">
        <v>3</v>
      </c>
    </row>
    <row r="400" spans="1:2">
      <c r="A400" s="5">
        <v>44911</v>
      </c>
      <c r="B400" s="8">
        <v>2</v>
      </c>
    </row>
    <row r="401" spans="1:2">
      <c r="A401" s="5">
        <v>44914</v>
      </c>
      <c r="B401" s="8">
        <v>1</v>
      </c>
    </row>
    <row r="402" spans="1:2">
      <c r="A402" s="5">
        <v>44915</v>
      </c>
      <c r="B402" s="8">
        <v>1</v>
      </c>
    </row>
    <row r="403" spans="1:2">
      <c r="A403" s="5">
        <v>44917</v>
      </c>
      <c r="B403" s="8">
        <v>2</v>
      </c>
    </row>
    <row r="404" spans="1:2">
      <c r="A404" s="5">
        <v>44918</v>
      </c>
      <c r="B404" s="8">
        <v>1</v>
      </c>
    </row>
    <row r="405" spans="1:2">
      <c r="A405" s="5">
        <v>44919</v>
      </c>
      <c r="B405" s="8">
        <v>1</v>
      </c>
    </row>
    <row r="406" spans="1:2">
      <c r="A406" s="5">
        <v>44925</v>
      </c>
      <c r="B406" s="8">
        <v>1</v>
      </c>
    </row>
    <row r="407" spans="1:2">
      <c r="A407" s="5">
        <v>44928</v>
      </c>
      <c r="B407" s="8">
        <v>1</v>
      </c>
    </row>
    <row r="408" spans="1:2">
      <c r="A408" s="5">
        <v>44937</v>
      </c>
      <c r="B408" s="8">
        <v>1</v>
      </c>
    </row>
    <row r="409" spans="1:2">
      <c r="A409" s="5">
        <v>44938</v>
      </c>
      <c r="B409" s="8">
        <v>2</v>
      </c>
    </row>
    <row r="410" spans="1:2">
      <c r="A410" s="5">
        <v>44939</v>
      </c>
      <c r="B410" s="8">
        <v>2</v>
      </c>
    </row>
    <row r="411" spans="1:2">
      <c r="A411" s="5">
        <v>44946</v>
      </c>
      <c r="B411" s="8">
        <v>1</v>
      </c>
    </row>
    <row r="412" spans="1:2">
      <c r="A412" s="5">
        <v>44949</v>
      </c>
      <c r="B412" s="8">
        <v>2</v>
      </c>
    </row>
    <row r="413" spans="1:2">
      <c r="A413" s="5">
        <v>44953</v>
      </c>
      <c r="B413" s="8">
        <v>7</v>
      </c>
    </row>
    <row r="414" spans="1:2">
      <c r="A414" s="5">
        <v>44957</v>
      </c>
      <c r="B414" s="8">
        <v>3</v>
      </c>
    </row>
    <row r="415" spans="1:2">
      <c r="A415" s="5">
        <v>44959</v>
      </c>
      <c r="B415" s="8">
        <v>3</v>
      </c>
    </row>
    <row r="416" spans="1:2">
      <c r="A416" s="5">
        <v>44960</v>
      </c>
      <c r="B416" s="8">
        <v>2</v>
      </c>
    </row>
    <row r="417" spans="1:2">
      <c r="A417" s="5">
        <v>44962</v>
      </c>
      <c r="B417" s="8">
        <v>1</v>
      </c>
    </row>
    <row r="418" spans="1:2">
      <c r="A418" s="5">
        <v>44965</v>
      </c>
      <c r="B418" s="8">
        <v>1</v>
      </c>
    </row>
    <row r="419" spans="1:2">
      <c r="A419" s="5">
        <v>44967</v>
      </c>
      <c r="B419" s="8">
        <v>2</v>
      </c>
    </row>
    <row r="420" spans="1:2">
      <c r="A420" s="5">
        <v>44971</v>
      </c>
      <c r="B420" s="8">
        <v>2</v>
      </c>
    </row>
    <row r="421" spans="1:2">
      <c r="A421" s="5">
        <v>44974</v>
      </c>
      <c r="B421" s="8">
        <v>1</v>
      </c>
    </row>
    <row r="422" spans="1:2">
      <c r="A422" s="5">
        <v>44980</v>
      </c>
      <c r="B422" s="8">
        <v>3</v>
      </c>
    </row>
    <row r="423" spans="1:2">
      <c r="A423" s="5">
        <v>44981</v>
      </c>
      <c r="B423" s="8">
        <v>7</v>
      </c>
    </row>
    <row r="424" spans="1:2">
      <c r="A424" s="5">
        <v>44982</v>
      </c>
      <c r="B424" s="8">
        <v>1</v>
      </c>
    </row>
    <row r="425" spans="1:2">
      <c r="A425" s="5">
        <v>44986</v>
      </c>
      <c r="B425" s="8">
        <v>1</v>
      </c>
    </row>
    <row r="426" spans="1:2">
      <c r="A426" s="5">
        <v>44987</v>
      </c>
      <c r="B426" s="8">
        <v>1</v>
      </c>
    </row>
    <row r="427" spans="1:2">
      <c r="A427" s="5">
        <v>44988</v>
      </c>
      <c r="B427" s="8">
        <v>9</v>
      </c>
    </row>
    <row r="428" spans="1:2">
      <c r="A428" s="5">
        <v>44989</v>
      </c>
      <c r="B428" s="8">
        <v>1</v>
      </c>
    </row>
    <row r="429" spans="1:2">
      <c r="A429" s="5">
        <v>44995</v>
      </c>
      <c r="B429" s="8">
        <v>1</v>
      </c>
    </row>
    <row r="430" spans="1:2">
      <c r="A430" s="5">
        <v>44999</v>
      </c>
      <c r="B430" s="8">
        <v>1</v>
      </c>
    </row>
    <row r="431" spans="1:2">
      <c r="A431" s="5">
        <v>45001</v>
      </c>
      <c r="B431" s="8">
        <v>1</v>
      </c>
    </row>
    <row r="432" spans="1:2">
      <c r="A432" s="5">
        <v>45002</v>
      </c>
      <c r="B432" s="8">
        <v>7</v>
      </c>
    </row>
    <row r="433" spans="1:2">
      <c r="A433" s="5">
        <v>45007</v>
      </c>
      <c r="B433" s="8">
        <v>1</v>
      </c>
    </row>
    <row r="434" spans="1:2">
      <c r="A434" s="5">
        <v>45008</v>
      </c>
      <c r="B434" s="8">
        <v>2</v>
      </c>
    </row>
    <row r="435" spans="1:2">
      <c r="A435" s="5">
        <v>45009</v>
      </c>
      <c r="B435" s="8">
        <v>5</v>
      </c>
    </row>
    <row r="436" spans="1:2">
      <c r="A436" s="5">
        <v>45010</v>
      </c>
      <c r="B436" s="8">
        <v>1</v>
      </c>
    </row>
    <row r="437" spans="1:2">
      <c r="A437" s="5">
        <v>45012</v>
      </c>
      <c r="B437" s="8">
        <v>1</v>
      </c>
    </row>
    <row r="438" spans="1:2">
      <c r="A438" s="5">
        <v>45014</v>
      </c>
      <c r="B438" s="8">
        <v>1</v>
      </c>
    </row>
    <row r="439" spans="1:2">
      <c r="A439" s="5">
        <v>45015</v>
      </c>
      <c r="B439" s="8">
        <v>1</v>
      </c>
    </row>
    <row r="440" spans="1:2">
      <c r="A440" s="5">
        <v>45016</v>
      </c>
      <c r="B440" s="8">
        <v>3</v>
      </c>
    </row>
    <row r="441" spans="1:2">
      <c r="A441" s="5">
        <v>45020</v>
      </c>
      <c r="B441" s="8">
        <v>2</v>
      </c>
    </row>
    <row r="442" spans="1:2">
      <c r="A442" s="5">
        <v>45022</v>
      </c>
      <c r="B442" s="8">
        <v>1</v>
      </c>
    </row>
    <row r="443" spans="1:2">
      <c r="A443" s="5">
        <v>45023</v>
      </c>
      <c r="B443" s="8">
        <v>5</v>
      </c>
    </row>
    <row r="444" spans="1:2">
      <c r="A444" s="5">
        <v>45026</v>
      </c>
      <c r="B444" s="8">
        <v>1</v>
      </c>
    </row>
    <row r="445" spans="1:2">
      <c r="A445" s="5">
        <v>45028</v>
      </c>
      <c r="B445" s="8">
        <v>1</v>
      </c>
    </row>
    <row r="446" spans="1:2">
      <c r="A446" s="5">
        <v>45030</v>
      </c>
      <c r="B446" s="8">
        <v>3</v>
      </c>
    </row>
    <row r="447" spans="1:2">
      <c r="A447" s="5">
        <v>45033</v>
      </c>
      <c r="B447" s="8">
        <v>1</v>
      </c>
    </row>
    <row r="448" spans="1:2">
      <c r="A448" s="5">
        <v>45037</v>
      </c>
      <c r="B448" s="8">
        <v>3</v>
      </c>
    </row>
    <row r="449" spans="1:2">
      <c r="A449" s="5">
        <v>45040</v>
      </c>
      <c r="B449" s="8">
        <v>1</v>
      </c>
    </row>
    <row r="450" spans="1:2">
      <c r="A450" s="5">
        <v>45041</v>
      </c>
      <c r="B450" s="8">
        <v>1</v>
      </c>
    </row>
    <row r="451" spans="1:2">
      <c r="A451" s="5">
        <v>45043</v>
      </c>
      <c r="B451" s="8">
        <v>1</v>
      </c>
    </row>
    <row r="452" spans="1:2">
      <c r="A452" s="5">
        <v>45046</v>
      </c>
      <c r="B452" s="8">
        <v>1</v>
      </c>
    </row>
    <row r="453" spans="1:2">
      <c r="A453" s="5">
        <v>45047</v>
      </c>
      <c r="B453" s="8">
        <v>2</v>
      </c>
    </row>
    <row r="454" spans="1:2">
      <c r="A454" s="5">
        <v>45050</v>
      </c>
      <c r="B454" s="8">
        <v>3</v>
      </c>
    </row>
    <row r="455" spans="1:2">
      <c r="A455" s="5">
        <v>45051</v>
      </c>
      <c r="B455" s="8">
        <v>1</v>
      </c>
    </row>
    <row r="456" spans="1:2">
      <c r="A456" s="5">
        <v>45057</v>
      </c>
      <c r="B456" s="8">
        <v>2</v>
      </c>
    </row>
    <row r="457" spans="1:2">
      <c r="A457" s="5">
        <v>45058</v>
      </c>
      <c r="B457" s="8">
        <v>2</v>
      </c>
    </row>
    <row r="458" spans="1:2">
      <c r="A458" s="5">
        <v>45059</v>
      </c>
      <c r="B458" s="8">
        <v>1</v>
      </c>
    </row>
    <row r="459" spans="1:2">
      <c r="A459" s="5">
        <v>45061</v>
      </c>
      <c r="B459" s="8">
        <v>3</v>
      </c>
    </row>
    <row r="460" spans="1:2">
      <c r="A460" s="5">
        <v>45064</v>
      </c>
      <c r="B460" s="8">
        <v>2</v>
      </c>
    </row>
    <row r="461" spans="1:2">
      <c r="A461" s="5">
        <v>45065</v>
      </c>
      <c r="B461" s="8">
        <v>4</v>
      </c>
    </row>
    <row r="462" spans="1:2">
      <c r="A462" s="5">
        <v>45068</v>
      </c>
      <c r="B462" s="8">
        <v>2</v>
      </c>
    </row>
    <row r="463" spans="1:2">
      <c r="A463" s="5">
        <v>45071</v>
      </c>
      <c r="B463" s="8">
        <v>1</v>
      </c>
    </row>
    <row r="464" spans="1:2">
      <c r="A464" s="5">
        <v>45072</v>
      </c>
      <c r="B464" s="8">
        <v>5</v>
      </c>
    </row>
    <row r="465" spans="1:2">
      <c r="A465" s="5">
        <v>45077</v>
      </c>
      <c r="B465" s="8">
        <v>1</v>
      </c>
    </row>
    <row r="466" spans="1:2">
      <c r="A466" s="5">
        <v>45078</v>
      </c>
      <c r="B466" s="8">
        <v>3</v>
      </c>
    </row>
    <row r="467" spans="1:2">
      <c r="A467" s="5">
        <v>45079</v>
      </c>
      <c r="B467" s="8">
        <v>12</v>
      </c>
    </row>
    <row r="468" spans="1:2">
      <c r="A468" s="5">
        <v>45082</v>
      </c>
      <c r="B468" s="8">
        <v>1</v>
      </c>
    </row>
    <row r="469" spans="1:2">
      <c r="A469" s="5">
        <v>45085</v>
      </c>
      <c r="B469" s="8">
        <v>1</v>
      </c>
    </row>
    <row r="470" spans="1:2">
      <c r="A470" s="5">
        <v>45086</v>
      </c>
      <c r="B470" s="8">
        <v>1</v>
      </c>
    </row>
    <row r="471" spans="1:2">
      <c r="A471" s="5">
        <v>45092</v>
      </c>
      <c r="B471" s="8">
        <v>1</v>
      </c>
    </row>
    <row r="472" spans="1:2">
      <c r="A472" s="5">
        <v>45098</v>
      </c>
      <c r="B472" s="8">
        <v>1</v>
      </c>
    </row>
    <row r="473" spans="1:2">
      <c r="A473" s="5">
        <v>45099</v>
      </c>
      <c r="B473" s="8">
        <v>5</v>
      </c>
    </row>
    <row r="474" spans="1:2">
      <c r="A474" s="5">
        <v>45100</v>
      </c>
      <c r="B474" s="8">
        <v>3</v>
      </c>
    </row>
    <row r="475" spans="1:2">
      <c r="A475" s="5">
        <v>45105</v>
      </c>
      <c r="B475" s="8">
        <v>1</v>
      </c>
    </row>
    <row r="476" spans="1:2">
      <c r="A476" s="5">
        <v>45106</v>
      </c>
      <c r="B476" s="8">
        <v>1</v>
      </c>
    </row>
    <row r="477" spans="1:2">
      <c r="A477" s="5">
        <v>45107</v>
      </c>
      <c r="B477" s="8">
        <v>2</v>
      </c>
    </row>
    <row r="478" spans="1:2">
      <c r="A478" s="5">
        <v>45114</v>
      </c>
      <c r="B478" s="8">
        <v>8</v>
      </c>
    </row>
    <row r="479" spans="1:2">
      <c r="A479" s="5">
        <v>45120</v>
      </c>
      <c r="B479" s="8">
        <v>3</v>
      </c>
    </row>
    <row r="480" spans="1:2">
      <c r="A480" s="5">
        <v>45121</v>
      </c>
      <c r="B480" s="8">
        <v>3</v>
      </c>
    </row>
    <row r="481" spans="1:2">
      <c r="A481" s="5" t="s">
        <v>1621</v>
      </c>
      <c r="B481" s="8">
        <v>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DEF24-D277-43CA-95A3-B1DAF1880ECC}">
  <dimension ref="A3:C649"/>
  <sheetViews>
    <sheetView workbookViewId="0">
      <selection activeCell="A13" sqref="A13"/>
    </sheetView>
  </sheetViews>
  <sheetFormatPr defaultRowHeight="15"/>
  <cols>
    <col min="1" max="1" width="110.28515625" bestFit="1" customWidth="1"/>
    <col min="2" max="2" width="24.42578125" bestFit="1" customWidth="1"/>
    <col min="3" max="3" width="22" bestFit="1" customWidth="1"/>
  </cols>
  <sheetData>
    <row r="3" spans="1:3">
      <c r="A3" s="7" t="s">
        <v>0</v>
      </c>
      <c r="B3" t="s">
        <v>1623</v>
      </c>
      <c r="C3" t="s">
        <v>1620</v>
      </c>
    </row>
    <row r="4" spans="1:3">
      <c r="A4" t="s">
        <v>1036</v>
      </c>
      <c r="B4" s="6">
        <v>96</v>
      </c>
      <c r="C4" s="8">
        <v>1</v>
      </c>
    </row>
    <row r="5" spans="1:3">
      <c r="A5" t="s">
        <v>576</v>
      </c>
      <c r="B5" s="6">
        <v>95</v>
      </c>
      <c r="C5" s="8">
        <v>1</v>
      </c>
    </row>
    <row r="6" spans="1:3">
      <c r="A6" t="s">
        <v>743</v>
      </c>
      <c r="B6" s="6">
        <v>95</v>
      </c>
      <c r="C6" s="8">
        <v>1</v>
      </c>
    </row>
    <row r="7" spans="1:3">
      <c r="A7" t="s">
        <v>413</v>
      </c>
      <c r="B7" s="6">
        <v>95</v>
      </c>
      <c r="C7" s="8">
        <v>1</v>
      </c>
    </row>
    <row r="8" spans="1:3">
      <c r="A8" t="s">
        <v>1221</v>
      </c>
      <c r="B8" s="6">
        <v>95</v>
      </c>
      <c r="C8" s="8">
        <v>1</v>
      </c>
    </row>
    <row r="9" spans="1:3">
      <c r="A9" t="s">
        <v>453</v>
      </c>
      <c r="B9" s="6">
        <v>95</v>
      </c>
      <c r="C9" s="8">
        <v>1</v>
      </c>
    </row>
    <row r="10" spans="1:3">
      <c r="A10" t="s">
        <v>1164</v>
      </c>
      <c r="B10" s="6">
        <v>93</v>
      </c>
      <c r="C10" s="8">
        <v>1</v>
      </c>
    </row>
    <row r="11" spans="1:3">
      <c r="A11" t="s">
        <v>273</v>
      </c>
      <c r="B11" s="6">
        <v>93</v>
      </c>
      <c r="C11" s="8">
        <v>1</v>
      </c>
    </row>
    <row r="12" spans="1:3">
      <c r="A12" t="s">
        <v>1308</v>
      </c>
      <c r="B12" s="6">
        <v>93</v>
      </c>
      <c r="C12" s="8">
        <v>1</v>
      </c>
    </row>
    <row r="13" spans="1:3">
      <c r="A13" t="s">
        <v>481</v>
      </c>
      <c r="B13" s="6">
        <v>93</v>
      </c>
      <c r="C13" s="8">
        <v>1</v>
      </c>
    </row>
    <row r="14" spans="1:3">
      <c r="A14" t="s">
        <v>1600</v>
      </c>
      <c r="B14" s="6">
        <v>93</v>
      </c>
      <c r="C14" s="8">
        <v>1</v>
      </c>
    </row>
    <row r="15" spans="1:3">
      <c r="A15" t="s">
        <v>1569</v>
      </c>
      <c r="B15" s="6">
        <v>92</v>
      </c>
      <c r="C15" s="8">
        <v>1</v>
      </c>
    </row>
    <row r="16" spans="1:3">
      <c r="A16" t="s">
        <v>1354</v>
      </c>
      <c r="B16" s="6">
        <v>92</v>
      </c>
      <c r="C16" s="8">
        <v>1</v>
      </c>
    </row>
    <row r="17" spans="1:3">
      <c r="A17" t="s">
        <v>275</v>
      </c>
      <c r="B17" s="6">
        <v>92</v>
      </c>
      <c r="C17" s="8">
        <v>1</v>
      </c>
    </row>
    <row r="18" spans="1:3">
      <c r="A18" t="s">
        <v>688</v>
      </c>
      <c r="B18" s="6">
        <v>92</v>
      </c>
      <c r="C18" s="8">
        <v>1</v>
      </c>
    </row>
    <row r="19" spans="1:3">
      <c r="A19" t="s">
        <v>42</v>
      </c>
      <c r="B19" s="6">
        <v>92</v>
      </c>
      <c r="C19" s="8">
        <v>1</v>
      </c>
    </row>
    <row r="20" spans="1:3">
      <c r="A20" t="s">
        <v>1134</v>
      </c>
      <c r="B20" s="6">
        <v>92</v>
      </c>
      <c r="C20" s="8">
        <v>1</v>
      </c>
    </row>
    <row r="21" spans="1:3">
      <c r="A21" t="s">
        <v>1328</v>
      </c>
      <c r="B21" s="6">
        <v>91</v>
      </c>
      <c r="C21" s="8">
        <v>1</v>
      </c>
    </row>
    <row r="22" spans="1:3">
      <c r="A22" t="s">
        <v>1452</v>
      </c>
      <c r="B22" s="6">
        <v>91</v>
      </c>
      <c r="C22" s="8">
        <v>1</v>
      </c>
    </row>
    <row r="23" spans="1:3">
      <c r="A23" t="s">
        <v>1377</v>
      </c>
      <c r="B23" s="6">
        <v>91</v>
      </c>
      <c r="C23" s="8">
        <v>1</v>
      </c>
    </row>
    <row r="24" spans="1:3">
      <c r="A24" t="s">
        <v>1141</v>
      </c>
      <c r="B24" s="6">
        <v>91</v>
      </c>
      <c r="C24" s="8">
        <v>1</v>
      </c>
    </row>
    <row r="25" spans="1:3">
      <c r="A25" t="s">
        <v>1579</v>
      </c>
      <c r="B25" s="6">
        <v>91</v>
      </c>
      <c r="C25" s="8">
        <v>1</v>
      </c>
    </row>
    <row r="26" spans="1:3">
      <c r="A26" t="s">
        <v>733</v>
      </c>
      <c r="B26" s="6">
        <v>91</v>
      </c>
      <c r="C26" s="8">
        <v>1</v>
      </c>
    </row>
    <row r="27" spans="1:3">
      <c r="A27" t="s">
        <v>1532</v>
      </c>
      <c r="B27" s="6">
        <v>90</v>
      </c>
      <c r="C27" s="8">
        <v>1</v>
      </c>
    </row>
    <row r="28" spans="1:3">
      <c r="A28" t="s">
        <v>586</v>
      </c>
      <c r="B28" s="6">
        <v>90</v>
      </c>
      <c r="C28" s="8">
        <v>1</v>
      </c>
    </row>
    <row r="29" spans="1:3">
      <c r="A29" t="s">
        <v>735</v>
      </c>
      <c r="B29" s="6">
        <v>90</v>
      </c>
      <c r="C29" s="8">
        <v>1</v>
      </c>
    </row>
    <row r="30" spans="1:3">
      <c r="A30" t="s">
        <v>564</v>
      </c>
      <c r="B30" s="6">
        <v>90</v>
      </c>
      <c r="C30" s="8">
        <v>1</v>
      </c>
    </row>
    <row r="31" spans="1:3">
      <c r="A31" t="s">
        <v>1312</v>
      </c>
      <c r="B31" s="6">
        <v>89</v>
      </c>
      <c r="C31" s="8">
        <v>1</v>
      </c>
    </row>
    <row r="32" spans="1:3">
      <c r="A32" t="s">
        <v>387</v>
      </c>
      <c r="B32" s="6">
        <v>89</v>
      </c>
      <c r="C32" s="8">
        <v>1</v>
      </c>
    </row>
    <row r="33" spans="1:3">
      <c r="A33" t="s">
        <v>1183</v>
      </c>
      <c r="B33" s="6">
        <v>89</v>
      </c>
      <c r="C33" s="8">
        <v>1</v>
      </c>
    </row>
    <row r="34" spans="1:3">
      <c r="A34" t="s">
        <v>1080</v>
      </c>
      <c r="B34" s="6">
        <v>89</v>
      </c>
      <c r="C34" s="8">
        <v>1</v>
      </c>
    </row>
    <row r="35" spans="1:3">
      <c r="A35" t="s">
        <v>674</v>
      </c>
      <c r="B35" s="6">
        <v>88</v>
      </c>
      <c r="C35" s="8">
        <v>1</v>
      </c>
    </row>
    <row r="36" spans="1:3">
      <c r="A36" t="s">
        <v>725</v>
      </c>
      <c r="B36" s="6">
        <v>87</v>
      </c>
      <c r="C36" s="8">
        <v>1</v>
      </c>
    </row>
    <row r="37" spans="1:3">
      <c r="A37" t="s">
        <v>1314</v>
      </c>
      <c r="B37" s="6">
        <v>87</v>
      </c>
      <c r="C37" s="8">
        <v>1</v>
      </c>
    </row>
    <row r="38" spans="1:3">
      <c r="A38" t="s">
        <v>242</v>
      </c>
      <c r="B38" s="6">
        <v>87</v>
      </c>
      <c r="C38" s="8">
        <v>1</v>
      </c>
    </row>
    <row r="39" spans="1:3">
      <c r="A39" t="s">
        <v>623</v>
      </c>
      <c r="B39" s="6">
        <v>87</v>
      </c>
      <c r="C39" s="8">
        <v>1</v>
      </c>
    </row>
    <row r="40" spans="1:3">
      <c r="A40" t="s">
        <v>854</v>
      </c>
      <c r="B40" s="6">
        <v>87</v>
      </c>
      <c r="C40" s="8">
        <v>1</v>
      </c>
    </row>
    <row r="41" spans="1:3">
      <c r="A41" t="s">
        <v>1346</v>
      </c>
      <c r="B41" s="6">
        <v>87</v>
      </c>
      <c r="C41" s="8">
        <v>1</v>
      </c>
    </row>
    <row r="42" spans="1:3">
      <c r="A42" t="s">
        <v>489</v>
      </c>
      <c r="B42" s="6">
        <v>87</v>
      </c>
      <c r="C42" s="8">
        <v>1</v>
      </c>
    </row>
    <row r="43" spans="1:3">
      <c r="A43" t="s">
        <v>1217</v>
      </c>
      <c r="B43" s="6">
        <v>87</v>
      </c>
      <c r="C43" s="8">
        <v>1</v>
      </c>
    </row>
    <row r="44" spans="1:3">
      <c r="A44" t="s">
        <v>727</v>
      </c>
      <c r="B44" s="6">
        <v>87</v>
      </c>
      <c r="C44" s="8">
        <v>1</v>
      </c>
    </row>
    <row r="45" spans="1:3">
      <c r="A45" t="s">
        <v>1301</v>
      </c>
      <c r="B45" s="6">
        <v>86</v>
      </c>
      <c r="C45" s="8">
        <v>1</v>
      </c>
    </row>
    <row r="46" spans="1:3">
      <c r="A46" t="s">
        <v>68</v>
      </c>
      <c r="B46" s="6">
        <v>86</v>
      </c>
      <c r="C46" s="8">
        <v>1</v>
      </c>
    </row>
    <row r="47" spans="1:3">
      <c r="A47" t="s">
        <v>1326</v>
      </c>
      <c r="B47" s="6">
        <v>86</v>
      </c>
      <c r="C47" s="8">
        <v>1</v>
      </c>
    </row>
    <row r="48" spans="1:3">
      <c r="A48" t="s">
        <v>1176</v>
      </c>
      <c r="B48" s="6">
        <v>86</v>
      </c>
      <c r="C48" s="8">
        <v>1</v>
      </c>
    </row>
    <row r="49" spans="1:3">
      <c r="A49" t="s">
        <v>1268</v>
      </c>
      <c r="B49" s="6">
        <v>86</v>
      </c>
      <c r="C49" s="8">
        <v>1</v>
      </c>
    </row>
    <row r="50" spans="1:3">
      <c r="A50" t="s">
        <v>982</v>
      </c>
      <c r="B50" s="6">
        <v>86</v>
      </c>
      <c r="C50" s="8">
        <v>1</v>
      </c>
    </row>
    <row r="51" spans="1:3">
      <c r="A51" t="s">
        <v>1318</v>
      </c>
      <c r="B51" s="6">
        <v>86</v>
      </c>
      <c r="C51" s="8">
        <v>1</v>
      </c>
    </row>
    <row r="52" spans="1:3">
      <c r="A52" t="s">
        <v>310</v>
      </c>
      <c r="B52" s="6">
        <v>86</v>
      </c>
      <c r="C52" s="8">
        <v>1</v>
      </c>
    </row>
    <row r="53" spans="1:3">
      <c r="A53" t="s">
        <v>617</v>
      </c>
      <c r="B53" s="6">
        <v>86</v>
      </c>
      <c r="C53" s="8">
        <v>1</v>
      </c>
    </row>
    <row r="54" spans="1:3">
      <c r="A54" t="s">
        <v>519</v>
      </c>
      <c r="B54" s="6">
        <v>85.5</v>
      </c>
      <c r="C54" s="8">
        <v>2</v>
      </c>
    </row>
    <row r="55" spans="1:3">
      <c r="A55" t="s">
        <v>79</v>
      </c>
      <c r="B55" s="6">
        <v>85</v>
      </c>
      <c r="C55" s="8">
        <v>1</v>
      </c>
    </row>
    <row r="56" spans="1:3">
      <c r="A56" t="s">
        <v>1441</v>
      </c>
      <c r="B56" s="6">
        <v>85</v>
      </c>
      <c r="C56" s="8">
        <v>1</v>
      </c>
    </row>
    <row r="57" spans="1:3">
      <c r="A57" t="s">
        <v>1348</v>
      </c>
      <c r="B57" s="6">
        <v>85</v>
      </c>
      <c r="C57" s="8">
        <v>1</v>
      </c>
    </row>
    <row r="58" spans="1:3">
      <c r="A58" t="s">
        <v>81</v>
      </c>
      <c r="B58" s="6">
        <v>85</v>
      </c>
      <c r="C58" s="8">
        <v>1</v>
      </c>
    </row>
    <row r="59" spans="1:3">
      <c r="A59" t="s">
        <v>1120</v>
      </c>
      <c r="B59" s="6">
        <v>85</v>
      </c>
      <c r="C59" s="8">
        <v>1</v>
      </c>
    </row>
    <row r="60" spans="1:3">
      <c r="A60" t="s">
        <v>1604</v>
      </c>
      <c r="B60" s="6">
        <v>85</v>
      </c>
      <c r="C60" s="8">
        <v>1</v>
      </c>
    </row>
    <row r="61" spans="1:3">
      <c r="A61" t="s">
        <v>1156</v>
      </c>
      <c r="B61" s="6">
        <v>84</v>
      </c>
      <c r="C61" s="8">
        <v>1</v>
      </c>
    </row>
    <row r="62" spans="1:3">
      <c r="A62" t="s">
        <v>455</v>
      </c>
      <c r="B62" s="6">
        <v>84</v>
      </c>
      <c r="C62" s="8">
        <v>1</v>
      </c>
    </row>
    <row r="63" spans="1:3">
      <c r="A63" t="s">
        <v>447</v>
      </c>
      <c r="B63" s="6">
        <v>84</v>
      </c>
      <c r="C63" s="8">
        <v>1</v>
      </c>
    </row>
    <row r="64" spans="1:3">
      <c r="A64" t="s">
        <v>1124</v>
      </c>
      <c r="B64" s="6">
        <v>84</v>
      </c>
      <c r="C64" s="8">
        <v>1</v>
      </c>
    </row>
    <row r="65" spans="1:3">
      <c r="A65" t="s">
        <v>764</v>
      </c>
      <c r="B65" s="6">
        <v>84</v>
      </c>
      <c r="C65" s="8">
        <v>1</v>
      </c>
    </row>
    <row r="66" spans="1:3">
      <c r="A66" t="s">
        <v>654</v>
      </c>
      <c r="B66" s="6">
        <v>84</v>
      </c>
      <c r="C66" s="8">
        <v>1</v>
      </c>
    </row>
    <row r="67" spans="1:3">
      <c r="A67" t="s">
        <v>1203</v>
      </c>
      <c r="B67" s="6">
        <v>84</v>
      </c>
      <c r="C67" s="8">
        <v>2</v>
      </c>
    </row>
    <row r="68" spans="1:3">
      <c r="A68" t="s">
        <v>1170</v>
      </c>
      <c r="B68" s="6">
        <v>83.333333333333329</v>
      </c>
      <c r="C68" s="8">
        <v>3</v>
      </c>
    </row>
    <row r="69" spans="1:3">
      <c r="A69" t="s">
        <v>1287</v>
      </c>
      <c r="B69" s="6">
        <v>83</v>
      </c>
      <c r="C69" s="8">
        <v>1</v>
      </c>
    </row>
    <row r="70" spans="1:3">
      <c r="A70" t="s">
        <v>952</v>
      </c>
      <c r="B70" s="6">
        <v>83</v>
      </c>
      <c r="C70" s="8">
        <v>1</v>
      </c>
    </row>
    <row r="71" spans="1:3">
      <c r="A71" t="s">
        <v>194</v>
      </c>
      <c r="B71" s="6">
        <v>83</v>
      </c>
      <c r="C71" s="8">
        <v>1</v>
      </c>
    </row>
    <row r="72" spans="1:3">
      <c r="A72" t="s">
        <v>1453</v>
      </c>
      <c r="B72" s="6">
        <v>83</v>
      </c>
      <c r="C72" s="8">
        <v>1</v>
      </c>
    </row>
    <row r="73" spans="1:3">
      <c r="A73" t="s">
        <v>449</v>
      </c>
      <c r="B73" s="6">
        <v>83</v>
      </c>
      <c r="C73" s="8">
        <v>1</v>
      </c>
    </row>
    <row r="74" spans="1:3">
      <c r="A74" t="s">
        <v>341</v>
      </c>
      <c r="B74" s="6">
        <v>83</v>
      </c>
      <c r="C74" s="8">
        <v>1</v>
      </c>
    </row>
    <row r="75" spans="1:3">
      <c r="A75" t="s">
        <v>1385</v>
      </c>
      <c r="B75" s="6">
        <v>83</v>
      </c>
      <c r="C75" s="8">
        <v>1</v>
      </c>
    </row>
    <row r="76" spans="1:3">
      <c r="A76" t="s">
        <v>988</v>
      </c>
      <c r="B76" s="6">
        <v>83</v>
      </c>
      <c r="C76" s="8">
        <v>1</v>
      </c>
    </row>
    <row r="77" spans="1:3">
      <c r="A77" t="s">
        <v>919</v>
      </c>
      <c r="B77" s="6">
        <v>83</v>
      </c>
      <c r="C77" s="8">
        <v>1</v>
      </c>
    </row>
    <row r="78" spans="1:3">
      <c r="A78" t="s">
        <v>858</v>
      </c>
      <c r="B78" s="6">
        <v>83</v>
      </c>
      <c r="C78" s="8">
        <v>1</v>
      </c>
    </row>
    <row r="79" spans="1:3">
      <c r="A79" t="s">
        <v>760</v>
      </c>
      <c r="B79" s="6">
        <v>82</v>
      </c>
      <c r="C79" s="8">
        <v>1</v>
      </c>
    </row>
    <row r="80" spans="1:3">
      <c r="A80" t="s">
        <v>933</v>
      </c>
      <c r="B80" s="6">
        <v>82</v>
      </c>
      <c r="C80" s="8">
        <v>1</v>
      </c>
    </row>
    <row r="81" spans="1:3">
      <c r="A81" t="s">
        <v>1433</v>
      </c>
      <c r="B81" s="6">
        <v>82</v>
      </c>
      <c r="C81" s="8">
        <v>1</v>
      </c>
    </row>
    <row r="82" spans="1:3">
      <c r="A82" t="s">
        <v>431</v>
      </c>
      <c r="B82" s="6">
        <v>82</v>
      </c>
      <c r="C82" s="8">
        <v>1</v>
      </c>
    </row>
    <row r="83" spans="1:3">
      <c r="A83" t="s">
        <v>692</v>
      </c>
      <c r="B83" s="6">
        <v>82</v>
      </c>
      <c r="C83" s="8">
        <v>1</v>
      </c>
    </row>
    <row r="84" spans="1:3">
      <c r="A84" t="s">
        <v>318</v>
      </c>
      <c r="B84" s="6">
        <v>82</v>
      </c>
      <c r="C84" s="8">
        <v>1</v>
      </c>
    </row>
    <row r="85" spans="1:3">
      <c r="A85" t="s">
        <v>251</v>
      </c>
      <c r="B85" s="6">
        <v>82</v>
      </c>
      <c r="C85" s="8">
        <v>1</v>
      </c>
    </row>
    <row r="86" spans="1:3">
      <c r="A86" t="s">
        <v>533</v>
      </c>
      <c r="B86" s="6">
        <v>82</v>
      </c>
      <c r="C86" s="8">
        <v>1</v>
      </c>
    </row>
    <row r="87" spans="1:3">
      <c r="A87" t="s">
        <v>1516</v>
      </c>
      <c r="B87" s="6">
        <v>82</v>
      </c>
      <c r="C87" s="8">
        <v>1</v>
      </c>
    </row>
    <row r="88" spans="1:3">
      <c r="A88" t="s">
        <v>1616</v>
      </c>
      <c r="B88" s="6">
        <v>82</v>
      </c>
      <c r="C88" s="8">
        <v>1</v>
      </c>
    </row>
    <row r="89" spans="1:3">
      <c r="A89" t="s">
        <v>633</v>
      </c>
      <c r="B89" s="6">
        <v>81.25</v>
      </c>
      <c r="C89" s="8">
        <v>4</v>
      </c>
    </row>
    <row r="90" spans="1:3">
      <c r="A90" t="s">
        <v>737</v>
      </c>
      <c r="B90" s="6">
        <v>81</v>
      </c>
      <c r="C90" s="8">
        <v>1</v>
      </c>
    </row>
    <row r="91" spans="1:3">
      <c r="A91" t="s">
        <v>1510</v>
      </c>
      <c r="B91" s="6">
        <v>81</v>
      </c>
      <c r="C91" s="8">
        <v>1</v>
      </c>
    </row>
    <row r="92" spans="1:3">
      <c r="A92" t="s">
        <v>956</v>
      </c>
      <c r="B92" s="6">
        <v>81</v>
      </c>
      <c r="C92" s="8">
        <v>1</v>
      </c>
    </row>
    <row r="93" spans="1:3">
      <c r="A93" t="s">
        <v>1336</v>
      </c>
      <c r="B93" s="6">
        <v>81</v>
      </c>
      <c r="C93" s="8">
        <v>1</v>
      </c>
    </row>
    <row r="94" spans="1:3">
      <c r="A94" t="s">
        <v>1049</v>
      </c>
      <c r="B94" s="6">
        <v>81</v>
      </c>
      <c r="C94" s="8">
        <v>1</v>
      </c>
    </row>
    <row r="95" spans="1:3">
      <c r="A95" t="s">
        <v>753</v>
      </c>
      <c r="B95" s="6">
        <v>81</v>
      </c>
      <c r="C95" s="8">
        <v>1</v>
      </c>
    </row>
    <row r="96" spans="1:3">
      <c r="A96" t="s">
        <v>1126</v>
      </c>
      <c r="B96" s="6">
        <v>81</v>
      </c>
      <c r="C96" s="8">
        <v>1</v>
      </c>
    </row>
    <row r="97" spans="1:3">
      <c r="A97" t="s">
        <v>240</v>
      </c>
      <c r="B97" s="6">
        <v>81</v>
      </c>
      <c r="C97" s="8">
        <v>1</v>
      </c>
    </row>
    <row r="98" spans="1:3">
      <c r="A98" t="s">
        <v>87</v>
      </c>
      <c r="B98" s="6">
        <v>81</v>
      </c>
      <c r="C98" s="8">
        <v>1</v>
      </c>
    </row>
    <row r="99" spans="1:3">
      <c r="A99" t="s">
        <v>690</v>
      </c>
      <c r="B99" s="6">
        <v>81</v>
      </c>
      <c r="C99" s="8">
        <v>1</v>
      </c>
    </row>
    <row r="100" spans="1:3">
      <c r="A100" t="s">
        <v>570</v>
      </c>
      <c r="B100" s="6">
        <v>81</v>
      </c>
      <c r="C100" s="8">
        <v>1</v>
      </c>
    </row>
    <row r="101" spans="1:3">
      <c r="A101" t="s">
        <v>211</v>
      </c>
      <c r="B101" s="6">
        <v>81</v>
      </c>
      <c r="C101" s="8">
        <v>1</v>
      </c>
    </row>
    <row r="102" spans="1:3">
      <c r="A102" t="s">
        <v>1213</v>
      </c>
      <c r="B102" s="6">
        <v>81</v>
      </c>
      <c r="C102" s="8">
        <v>1</v>
      </c>
    </row>
    <row r="103" spans="1:3">
      <c r="A103" t="s">
        <v>1446</v>
      </c>
      <c r="B103" s="6">
        <v>81</v>
      </c>
      <c r="C103" s="8">
        <v>1</v>
      </c>
    </row>
    <row r="104" spans="1:3">
      <c r="A104" t="s">
        <v>288</v>
      </c>
      <c r="B104" s="6">
        <v>81</v>
      </c>
      <c r="C104" s="8">
        <v>1</v>
      </c>
    </row>
    <row r="105" spans="1:3">
      <c r="A105" t="s">
        <v>1501</v>
      </c>
      <c r="B105" s="6">
        <v>81</v>
      </c>
      <c r="C105" s="8">
        <v>1</v>
      </c>
    </row>
    <row r="106" spans="1:3">
      <c r="A106" t="s">
        <v>1219</v>
      </c>
      <c r="B106" s="6">
        <v>81</v>
      </c>
      <c r="C106" s="8">
        <v>1</v>
      </c>
    </row>
    <row r="107" spans="1:3">
      <c r="A107" t="s">
        <v>1547</v>
      </c>
      <c r="B107" s="6">
        <v>81</v>
      </c>
      <c r="C107" s="8">
        <v>1</v>
      </c>
    </row>
    <row r="108" spans="1:3">
      <c r="A108" t="s">
        <v>1229</v>
      </c>
      <c r="B108" s="6">
        <v>81</v>
      </c>
      <c r="C108" s="8">
        <v>1</v>
      </c>
    </row>
    <row r="109" spans="1:3">
      <c r="A109" t="s">
        <v>1277</v>
      </c>
      <c r="B109" s="6">
        <v>81</v>
      </c>
      <c r="C109" s="8">
        <v>1</v>
      </c>
    </row>
    <row r="110" spans="1:3">
      <c r="A110" t="s">
        <v>429</v>
      </c>
      <c r="B110" s="6">
        <v>80.5</v>
      </c>
      <c r="C110" s="8">
        <v>2</v>
      </c>
    </row>
    <row r="111" spans="1:3">
      <c r="A111" t="s">
        <v>270</v>
      </c>
      <c r="B111" s="6">
        <v>80.5</v>
      </c>
      <c r="C111" s="8">
        <v>2</v>
      </c>
    </row>
    <row r="112" spans="1:3">
      <c r="A112" t="s">
        <v>85</v>
      </c>
      <c r="B112" s="6">
        <v>80</v>
      </c>
      <c r="C112" s="8">
        <v>1</v>
      </c>
    </row>
    <row r="113" spans="1:3">
      <c r="A113" t="s">
        <v>1583</v>
      </c>
      <c r="B113" s="6">
        <v>80</v>
      </c>
      <c r="C113" s="8">
        <v>1</v>
      </c>
    </row>
    <row r="114" spans="1:3">
      <c r="A114" t="s">
        <v>663</v>
      </c>
      <c r="B114" s="6">
        <v>80</v>
      </c>
      <c r="C114" s="8">
        <v>1</v>
      </c>
    </row>
    <row r="115" spans="1:3">
      <c r="A115" t="s">
        <v>215</v>
      </c>
      <c r="B115" s="6">
        <v>80</v>
      </c>
      <c r="C115" s="8">
        <v>1</v>
      </c>
    </row>
    <row r="116" spans="1:3">
      <c r="A116" t="s">
        <v>1614</v>
      </c>
      <c r="B116" s="6">
        <v>80</v>
      </c>
      <c r="C116" s="8">
        <v>1</v>
      </c>
    </row>
    <row r="117" spans="1:3">
      <c r="A117" t="s">
        <v>510</v>
      </c>
      <c r="B117" s="6">
        <v>80</v>
      </c>
      <c r="C117" s="8">
        <v>1</v>
      </c>
    </row>
    <row r="118" spans="1:3">
      <c r="A118" t="s">
        <v>1118</v>
      </c>
      <c r="B118" s="6">
        <v>80</v>
      </c>
      <c r="C118" s="8">
        <v>1</v>
      </c>
    </row>
    <row r="119" spans="1:3">
      <c r="A119" t="s">
        <v>1551</v>
      </c>
      <c r="B119" s="6">
        <v>80</v>
      </c>
      <c r="C119" s="8">
        <v>2</v>
      </c>
    </row>
    <row r="120" spans="1:3">
      <c r="A120" t="s">
        <v>465</v>
      </c>
      <c r="B120" s="6">
        <v>80</v>
      </c>
      <c r="C120" s="8">
        <v>1</v>
      </c>
    </row>
    <row r="121" spans="1:3">
      <c r="A121" t="s">
        <v>850</v>
      </c>
      <c r="B121" s="6">
        <v>80</v>
      </c>
      <c r="C121" s="8">
        <v>1</v>
      </c>
    </row>
    <row r="122" spans="1:3">
      <c r="A122" t="s">
        <v>1575</v>
      </c>
      <c r="B122" s="6">
        <v>80</v>
      </c>
      <c r="C122" s="8">
        <v>1</v>
      </c>
    </row>
    <row r="123" spans="1:3">
      <c r="A123" t="s">
        <v>415</v>
      </c>
      <c r="B123" s="6">
        <v>80</v>
      </c>
      <c r="C123" s="8">
        <v>1</v>
      </c>
    </row>
    <row r="124" spans="1:3">
      <c r="A124" t="s">
        <v>253</v>
      </c>
      <c r="B124" s="6">
        <v>80</v>
      </c>
      <c r="C124" s="8">
        <v>1</v>
      </c>
    </row>
    <row r="125" spans="1:3">
      <c r="A125" t="s">
        <v>531</v>
      </c>
      <c r="B125" s="6">
        <v>80</v>
      </c>
      <c r="C125" s="8">
        <v>1</v>
      </c>
    </row>
    <row r="126" spans="1:3">
      <c r="A126" t="s">
        <v>1233</v>
      </c>
      <c r="B126" s="6">
        <v>80</v>
      </c>
      <c r="C126" s="8">
        <v>1</v>
      </c>
    </row>
    <row r="127" spans="1:3">
      <c r="A127" t="s">
        <v>1506</v>
      </c>
      <c r="B127" s="6">
        <v>79</v>
      </c>
      <c r="C127" s="8">
        <v>1</v>
      </c>
    </row>
    <row r="128" spans="1:3">
      <c r="A128" t="s">
        <v>1030</v>
      </c>
      <c r="B128" s="6">
        <v>79</v>
      </c>
      <c r="C128" s="8">
        <v>1</v>
      </c>
    </row>
    <row r="129" spans="1:3">
      <c r="A129" t="s">
        <v>1180</v>
      </c>
      <c r="B129" s="6">
        <v>79</v>
      </c>
      <c r="C129" s="8">
        <v>1</v>
      </c>
    </row>
    <row r="130" spans="1:3">
      <c r="A130" t="s">
        <v>83</v>
      </c>
      <c r="B130" s="6">
        <v>79</v>
      </c>
      <c r="C130" s="8">
        <v>1</v>
      </c>
    </row>
    <row r="131" spans="1:3">
      <c r="A131" t="s">
        <v>946</v>
      </c>
      <c r="B131" s="6">
        <v>79</v>
      </c>
      <c r="C131" s="8">
        <v>1</v>
      </c>
    </row>
    <row r="132" spans="1:3">
      <c r="A132" t="s">
        <v>678</v>
      </c>
      <c r="B132" s="6">
        <v>79</v>
      </c>
      <c r="C132" s="8">
        <v>1</v>
      </c>
    </row>
    <row r="133" spans="1:3">
      <c r="A133" t="s">
        <v>1508</v>
      </c>
      <c r="B133" s="6">
        <v>79</v>
      </c>
      <c r="C133" s="8">
        <v>1</v>
      </c>
    </row>
    <row r="134" spans="1:3">
      <c r="A134" t="s">
        <v>1324</v>
      </c>
      <c r="B134" s="6">
        <v>79</v>
      </c>
      <c r="C134" s="8">
        <v>1</v>
      </c>
    </row>
    <row r="135" spans="1:3">
      <c r="A135" t="s">
        <v>107</v>
      </c>
      <c r="B135" s="6">
        <v>79</v>
      </c>
      <c r="C135" s="8">
        <v>1</v>
      </c>
    </row>
    <row r="136" spans="1:3">
      <c r="A136" t="s">
        <v>709</v>
      </c>
      <c r="B136" s="6">
        <v>79</v>
      </c>
      <c r="C136" s="8">
        <v>1</v>
      </c>
    </row>
    <row r="137" spans="1:3">
      <c r="A137" t="s">
        <v>472</v>
      </c>
      <c r="B137" s="6">
        <v>79</v>
      </c>
      <c r="C137" s="8">
        <v>1</v>
      </c>
    </row>
    <row r="138" spans="1:3">
      <c r="A138" t="s">
        <v>984</v>
      </c>
      <c r="B138" s="6">
        <v>79</v>
      </c>
      <c r="C138" s="8">
        <v>1</v>
      </c>
    </row>
    <row r="139" spans="1:3">
      <c r="A139" t="s">
        <v>1055</v>
      </c>
      <c r="B139" s="6">
        <v>79</v>
      </c>
      <c r="C139" s="8">
        <v>1</v>
      </c>
    </row>
    <row r="140" spans="1:3">
      <c r="A140" t="s">
        <v>1242</v>
      </c>
      <c r="B140" s="6">
        <v>78.5</v>
      </c>
      <c r="C140" s="8">
        <v>2</v>
      </c>
    </row>
    <row r="141" spans="1:3">
      <c r="A141" t="s">
        <v>547</v>
      </c>
      <c r="B141" s="6">
        <v>78</v>
      </c>
      <c r="C141" s="8">
        <v>1</v>
      </c>
    </row>
    <row r="142" spans="1:3">
      <c r="A142" t="s">
        <v>249</v>
      </c>
      <c r="B142" s="6">
        <v>78</v>
      </c>
      <c r="C142" s="8">
        <v>1</v>
      </c>
    </row>
    <row r="143" spans="1:3">
      <c r="A143" t="s">
        <v>64</v>
      </c>
      <c r="B143" s="6">
        <v>78</v>
      </c>
      <c r="C143" s="8">
        <v>1</v>
      </c>
    </row>
    <row r="144" spans="1:3">
      <c r="A144" t="s">
        <v>491</v>
      </c>
      <c r="B144" s="6">
        <v>78</v>
      </c>
      <c r="C144" s="8">
        <v>8</v>
      </c>
    </row>
    <row r="145" spans="1:3">
      <c r="A145" t="s">
        <v>425</v>
      </c>
      <c r="B145" s="6">
        <v>78</v>
      </c>
      <c r="C145" s="8">
        <v>1</v>
      </c>
    </row>
    <row r="146" spans="1:3">
      <c r="A146" t="s">
        <v>166</v>
      </c>
      <c r="B146" s="6">
        <v>78</v>
      </c>
      <c r="C146" s="8">
        <v>1</v>
      </c>
    </row>
    <row r="147" spans="1:3">
      <c r="A147" t="s">
        <v>290</v>
      </c>
      <c r="B147" s="6">
        <v>78</v>
      </c>
      <c r="C147" s="8">
        <v>1</v>
      </c>
    </row>
    <row r="148" spans="1:3">
      <c r="A148" t="s">
        <v>1320</v>
      </c>
      <c r="B148" s="6">
        <v>78</v>
      </c>
      <c r="C148" s="8">
        <v>1</v>
      </c>
    </row>
    <row r="149" spans="1:3">
      <c r="A149" t="s">
        <v>1227</v>
      </c>
      <c r="B149" s="6">
        <v>78</v>
      </c>
      <c r="C149" s="8">
        <v>1</v>
      </c>
    </row>
    <row r="150" spans="1:3">
      <c r="A150" t="s">
        <v>308</v>
      </c>
      <c r="B150" s="6">
        <v>78</v>
      </c>
      <c r="C150" s="8">
        <v>1</v>
      </c>
    </row>
    <row r="151" spans="1:3">
      <c r="A151" t="s">
        <v>178</v>
      </c>
      <c r="B151" s="6">
        <v>78</v>
      </c>
      <c r="C151" s="8">
        <v>1</v>
      </c>
    </row>
    <row r="152" spans="1:3">
      <c r="A152" t="s">
        <v>433</v>
      </c>
      <c r="B152" s="6">
        <v>78</v>
      </c>
      <c r="C152" s="8">
        <v>1</v>
      </c>
    </row>
    <row r="153" spans="1:3">
      <c r="A153" t="s">
        <v>1059</v>
      </c>
      <c r="B153" s="6">
        <v>78</v>
      </c>
      <c r="C153" s="8">
        <v>1</v>
      </c>
    </row>
    <row r="154" spans="1:3">
      <c r="A154" t="s">
        <v>257</v>
      </c>
      <c r="B154" s="6">
        <v>78</v>
      </c>
      <c r="C154" s="8">
        <v>1</v>
      </c>
    </row>
    <row r="155" spans="1:3">
      <c r="A155" t="s">
        <v>405</v>
      </c>
      <c r="B155" s="6">
        <v>78</v>
      </c>
      <c r="C155" s="8">
        <v>1</v>
      </c>
    </row>
    <row r="156" spans="1:3">
      <c r="A156" t="s">
        <v>1071</v>
      </c>
      <c r="B156" s="6">
        <v>77.5</v>
      </c>
      <c r="C156" s="8">
        <v>2</v>
      </c>
    </row>
    <row r="157" spans="1:3">
      <c r="A157" t="s">
        <v>1443</v>
      </c>
      <c r="B157" s="6">
        <v>77.5</v>
      </c>
      <c r="C157" s="8">
        <v>2</v>
      </c>
    </row>
    <row r="158" spans="1:3">
      <c r="A158" t="s">
        <v>391</v>
      </c>
      <c r="B158" s="6">
        <v>77.5</v>
      </c>
      <c r="C158" s="8">
        <v>4</v>
      </c>
    </row>
    <row r="159" spans="1:3">
      <c r="A159" t="s">
        <v>937</v>
      </c>
      <c r="B159" s="6">
        <v>77</v>
      </c>
      <c r="C159" s="8">
        <v>1</v>
      </c>
    </row>
    <row r="160" spans="1:3">
      <c r="A160" t="s">
        <v>962</v>
      </c>
      <c r="B160" s="6">
        <v>77</v>
      </c>
      <c r="C160" s="8">
        <v>1</v>
      </c>
    </row>
    <row r="161" spans="1:3">
      <c r="A161" t="s">
        <v>1073</v>
      </c>
      <c r="B161" s="6">
        <v>77</v>
      </c>
      <c r="C161" s="8">
        <v>1</v>
      </c>
    </row>
    <row r="162" spans="1:3">
      <c r="A162" t="s">
        <v>1512</v>
      </c>
      <c r="B162" s="6">
        <v>77</v>
      </c>
      <c r="C162" s="8">
        <v>1</v>
      </c>
    </row>
    <row r="163" spans="1:3">
      <c r="A163" t="s">
        <v>1162</v>
      </c>
      <c r="B163" s="6">
        <v>77</v>
      </c>
      <c r="C163" s="8">
        <v>1</v>
      </c>
    </row>
    <row r="164" spans="1:3">
      <c r="A164" t="s">
        <v>312</v>
      </c>
      <c r="B164" s="6">
        <v>77</v>
      </c>
      <c r="C164" s="8">
        <v>1</v>
      </c>
    </row>
    <row r="165" spans="1:3">
      <c r="A165" t="s">
        <v>383</v>
      </c>
      <c r="B165" s="6">
        <v>77</v>
      </c>
      <c r="C165" s="8">
        <v>1</v>
      </c>
    </row>
    <row r="166" spans="1:3">
      <c r="A166" t="s">
        <v>1518</v>
      </c>
      <c r="B166" s="6">
        <v>77</v>
      </c>
      <c r="C166" s="8">
        <v>1</v>
      </c>
    </row>
    <row r="167" spans="1:3">
      <c r="A167" t="s">
        <v>219</v>
      </c>
      <c r="B167" s="6">
        <v>77</v>
      </c>
      <c r="C167" s="8">
        <v>1</v>
      </c>
    </row>
    <row r="168" spans="1:3">
      <c r="A168" t="s">
        <v>1530</v>
      </c>
      <c r="B168" s="6">
        <v>77</v>
      </c>
      <c r="C168" s="8">
        <v>1</v>
      </c>
    </row>
    <row r="169" spans="1:3">
      <c r="A169" t="s">
        <v>986</v>
      </c>
      <c r="B169" s="6">
        <v>77</v>
      </c>
      <c r="C169" s="8">
        <v>1</v>
      </c>
    </row>
    <row r="170" spans="1:3">
      <c r="A170" t="s">
        <v>483</v>
      </c>
      <c r="B170" s="6">
        <v>77</v>
      </c>
      <c r="C170" s="8">
        <v>3</v>
      </c>
    </row>
    <row r="171" spans="1:3">
      <c r="A171" t="s">
        <v>1007</v>
      </c>
      <c r="B171" s="6">
        <v>77</v>
      </c>
      <c r="C171" s="8">
        <v>1</v>
      </c>
    </row>
    <row r="172" spans="1:3">
      <c r="A172" t="s">
        <v>1111</v>
      </c>
      <c r="B172" s="6">
        <v>77</v>
      </c>
      <c r="C172" s="8">
        <v>1</v>
      </c>
    </row>
    <row r="173" spans="1:3">
      <c r="A173" t="s">
        <v>895</v>
      </c>
      <c r="B173" s="6">
        <v>77</v>
      </c>
      <c r="C173" s="8">
        <v>1</v>
      </c>
    </row>
    <row r="174" spans="1:3">
      <c r="A174" t="s">
        <v>880</v>
      </c>
      <c r="B174" s="6">
        <v>76.666666666666671</v>
      </c>
      <c r="C174" s="8">
        <v>3</v>
      </c>
    </row>
    <row r="175" spans="1:3">
      <c r="A175" t="s">
        <v>99</v>
      </c>
      <c r="B175" s="6">
        <v>76.5</v>
      </c>
      <c r="C175" s="8">
        <v>2</v>
      </c>
    </row>
    <row r="176" spans="1:3">
      <c r="A176" t="s">
        <v>182</v>
      </c>
      <c r="B176" s="6">
        <v>76.2</v>
      </c>
      <c r="C176" s="8">
        <v>5</v>
      </c>
    </row>
    <row r="177" spans="1:3">
      <c r="A177" t="s">
        <v>417</v>
      </c>
      <c r="B177" s="6">
        <v>76</v>
      </c>
      <c r="C177" s="8">
        <v>1</v>
      </c>
    </row>
    <row r="178" spans="1:3">
      <c r="A178" t="s">
        <v>638</v>
      </c>
      <c r="B178" s="6">
        <v>76</v>
      </c>
      <c r="C178" s="8">
        <v>1</v>
      </c>
    </row>
    <row r="179" spans="1:3">
      <c r="A179" t="s">
        <v>1283</v>
      </c>
      <c r="B179" s="6">
        <v>76</v>
      </c>
      <c r="C179" s="8">
        <v>1</v>
      </c>
    </row>
    <row r="180" spans="1:3">
      <c r="A180" t="s">
        <v>568</v>
      </c>
      <c r="B180" s="6">
        <v>76</v>
      </c>
      <c r="C180" s="8">
        <v>1</v>
      </c>
    </row>
    <row r="181" spans="1:3">
      <c r="A181" t="s">
        <v>1168</v>
      </c>
      <c r="B181" s="6">
        <v>76</v>
      </c>
      <c r="C181" s="8">
        <v>1</v>
      </c>
    </row>
    <row r="182" spans="1:3">
      <c r="A182" t="s">
        <v>1034</v>
      </c>
      <c r="B182" s="6">
        <v>76</v>
      </c>
      <c r="C182" s="8">
        <v>1</v>
      </c>
    </row>
    <row r="183" spans="1:3">
      <c r="A183" t="s">
        <v>1215</v>
      </c>
      <c r="B183" s="6">
        <v>76</v>
      </c>
      <c r="C183" s="8">
        <v>1</v>
      </c>
    </row>
    <row r="184" spans="1:3">
      <c r="A184" t="s">
        <v>264</v>
      </c>
      <c r="B184" s="6">
        <v>76</v>
      </c>
      <c r="C184" s="8">
        <v>1</v>
      </c>
    </row>
    <row r="185" spans="1:3">
      <c r="A185" t="s">
        <v>389</v>
      </c>
      <c r="B185" s="6">
        <v>76</v>
      </c>
      <c r="C185" s="8">
        <v>2</v>
      </c>
    </row>
    <row r="186" spans="1:3">
      <c r="A186" t="s">
        <v>111</v>
      </c>
      <c r="B186" s="6">
        <v>76</v>
      </c>
      <c r="C186" s="8">
        <v>1</v>
      </c>
    </row>
    <row r="187" spans="1:3">
      <c r="A187" t="s">
        <v>608</v>
      </c>
      <c r="B187" s="6">
        <v>76</v>
      </c>
      <c r="C187" s="8">
        <v>2</v>
      </c>
    </row>
    <row r="188" spans="1:3">
      <c r="A188" t="s">
        <v>152</v>
      </c>
      <c r="B188" s="6">
        <v>76</v>
      </c>
      <c r="C188" s="8">
        <v>1</v>
      </c>
    </row>
    <row r="189" spans="1:3">
      <c r="A189" t="s">
        <v>1297</v>
      </c>
      <c r="B189" s="6">
        <v>75.666666666666671</v>
      </c>
      <c r="C189" s="8">
        <v>3</v>
      </c>
    </row>
    <row r="190" spans="1:3">
      <c r="A190" t="s">
        <v>23</v>
      </c>
      <c r="B190" s="6">
        <v>75.5</v>
      </c>
      <c r="C190" s="8">
        <v>2</v>
      </c>
    </row>
    <row r="191" spans="1:3">
      <c r="A191" t="s">
        <v>711</v>
      </c>
      <c r="B191" s="6">
        <v>75.5</v>
      </c>
      <c r="C191" s="8">
        <v>2</v>
      </c>
    </row>
    <row r="192" spans="1:3">
      <c r="A192" t="s">
        <v>1143</v>
      </c>
      <c r="B192" s="6">
        <v>75.5</v>
      </c>
      <c r="C192" s="8">
        <v>2</v>
      </c>
    </row>
    <row r="193" spans="1:3">
      <c r="A193" t="s">
        <v>48</v>
      </c>
      <c r="B193" s="6">
        <v>75.25</v>
      </c>
      <c r="C193" s="8">
        <v>4</v>
      </c>
    </row>
    <row r="194" spans="1:3">
      <c r="A194" t="s">
        <v>1585</v>
      </c>
      <c r="B194" s="6">
        <v>75</v>
      </c>
      <c r="C194" s="8">
        <v>1</v>
      </c>
    </row>
    <row r="195" spans="1:3">
      <c r="A195" t="s">
        <v>504</v>
      </c>
      <c r="B195" s="6">
        <v>75</v>
      </c>
      <c r="C195" s="8">
        <v>1</v>
      </c>
    </row>
    <row r="196" spans="1:3">
      <c r="A196" t="s">
        <v>803</v>
      </c>
      <c r="B196" s="6">
        <v>75</v>
      </c>
      <c r="C196" s="8">
        <v>1</v>
      </c>
    </row>
    <row r="197" spans="1:3">
      <c r="A197" t="s">
        <v>992</v>
      </c>
      <c r="B197" s="6">
        <v>75</v>
      </c>
      <c r="C197" s="8">
        <v>1</v>
      </c>
    </row>
    <row r="198" spans="1:3">
      <c r="A198" t="s">
        <v>921</v>
      </c>
      <c r="B198" s="6">
        <v>75</v>
      </c>
      <c r="C198" s="8">
        <v>1</v>
      </c>
    </row>
    <row r="199" spans="1:3">
      <c r="A199" t="s">
        <v>644</v>
      </c>
      <c r="B199" s="6">
        <v>75</v>
      </c>
      <c r="C199" s="8">
        <v>1</v>
      </c>
    </row>
    <row r="200" spans="1:3">
      <c r="A200" t="s">
        <v>1045</v>
      </c>
      <c r="B200" s="6">
        <v>75</v>
      </c>
      <c r="C200" s="8">
        <v>1</v>
      </c>
    </row>
    <row r="201" spans="1:3">
      <c r="A201" t="s">
        <v>648</v>
      </c>
      <c r="B201" s="6">
        <v>75</v>
      </c>
      <c r="C201" s="8">
        <v>1</v>
      </c>
    </row>
    <row r="202" spans="1:3">
      <c r="A202" t="s">
        <v>875</v>
      </c>
      <c r="B202" s="6">
        <v>75</v>
      </c>
      <c r="C202" s="8">
        <v>2</v>
      </c>
    </row>
    <row r="203" spans="1:3">
      <c r="A203" t="s">
        <v>1264</v>
      </c>
      <c r="B203" s="6">
        <v>75</v>
      </c>
      <c r="C203" s="8">
        <v>1</v>
      </c>
    </row>
    <row r="204" spans="1:3">
      <c r="A204" t="s">
        <v>915</v>
      </c>
      <c r="B204" s="6">
        <v>75</v>
      </c>
      <c r="C204" s="8">
        <v>1</v>
      </c>
    </row>
    <row r="205" spans="1:3">
      <c r="A205" t="s">
        <v>966</v>
      </c>
      <c r="B205" s="6">
        <v>75</v>
      </c>
      <c r="C205" s="8">
        <v>1</v>
      </c>
    </row>
    <row r="206" spans="1:3">
      <c r="A206" t="s">
        <v>1581</v>
      </c>
      <c r="B206" s="6">
        <v>75</v>
      </c>
      <c r="C206" s="8">
        <v>1</v>
      </c>
    </row>
    <row r="207" spans="1:3">
      <c r="A207" t="s">
        <v>1587</v>
      </c>
      <c r="B207" s="6">
        <v>75</v>
      </c>
      <c r="C207" s="8">
        <v>2</v>
      </c>
    </row>
    <row r="208" spans="1:3">
      <c r="A208" t="s">
        <v>381</v>
      </c>
      <c r="B208" s="6">
        <v>75</v>
      </c>
      <c r="C208" s="8">
        <v>1</v>
      </c>
    </row>
    <row r="209" spans="1:3">
      <c r="A209" t="s">
        <v>262</v>
      </c>
      <c r="B209" s="6">
        <v>75</v>
      </c>
      <c r="C209" s="8">
        <v>1</v>
      </c>
    </row>
    <row r="210" spans="1:3">
      <c r="A210" t="s">
        <v>1272</v>
      </c>
      <c r="B210" s="6">
        <v>74.5</v>
      </c>
      <c r="C210" s="8">
        <v>2</v>
      </c>
    </row>
    <row r="211" spans="1:3">
      <c r="A211" t="s">
        <v>846</v>
      </c>
      <c r="B211" s="6">
        <v>74.333333333333329</v>
      </c>
      <c r="C211" s="8">
        <v>3</v>
      </c>
    </row>
    <row r="212" spans="1:3">
      <c r="A212" t="s">
        <v>286</v>
      </c>
      <c r="B212" s="6">
        <v>74</v>
      </c>
      <c r="C212" s="8">
        <v>1</v>
      </c>
    </row>
    <row r="213" spans="1:3">
      <c r="A213" t="s">
        <v>1053</v>
      </c>
      <c r="B213" s="6">
        <v>74</v>
      </c>
      <c r="C213" s="8">
        <v>1</v>
      </c>
    </row>
    <row r="214" spans="1:3">
      <c r="A214" t="s">
        <v>909</v>
      </c>
      <c r="B214" s="6">
        <v>74</v>
      </c>
      <c r="C214" s="8">
        <v>1</v>
      </c>
    </row>
    <row r="215" spans="1:3">
      <c r="A215" t="s">
        <v>1178</v>
      </c>
      <c r="B215" s="6">
        <v>74</v>
      </c>
      <c r="C215" s="8">
        <v>1</v>
      </c>
    </row>
    <row r="216" spans="1:3">
      <c r="A216" t="s">
        <v>1573</v>
      </c>
      <c r="B216" s="6">
        <v>74</v>
      </c>
      <c r="C216" s="8">
        <v>1</v>
      </c>
    </row>
    <row r="217" spans="1:3">
      <c r="A217" t="s">
        <v>1099</v>
      </c>
      <c r="B217" s="6">
        <v>74</v>
      </c>
      <c r="C217" s="8">
        <v>1</v>
      </c>
    </row>
    <row r="218" spans="1:3">
      <c r="A218" t="s">
        <v>1493</v>
      </c>
      <c r="B218" s="6">
        <v>74</v>
      </c>
      <c r="C218" s="8">
        <v>1</v>
      </c>
    </row>
    <row r="219" spans="1:3">
      <c r="A219" t="s">
        <v>407</v>
      </c>
      <c r="B219" s="6">
        <v>74</v>
      </c>
      <c r="C219" s="8">
        <v>1</v>
      </c>
    </row>
    <row r="220" spans="1:3">
      <c r="A220" t="s">
        <v>901</v>
      </c>
      <c r="B220" s="6">
        <v>74</v>
      </c>
      <c r="C220" s="8">
        <v>1</v>
      </c>
    </row>
    <row r="221" spans="1:3">
      <c r="A221" t="s">
        <v>479</v>
      </c>
      <c r="B221" s="6">
        <v>74</v>
      </c>
      <c r="C221" s="8">
        <v>1</v>
      </c>
    </row>
    <row r="222" spans="1:3">
      <c r="A222" t="s">
        <v>1528</v>
      </c>
      <c r="B222" s="6">
        <v>74</v>
      </c>
      <c r="C222" s="8">
        <v>1</v>
      </c>
    </row>
    <row r="223" spans="1:3">
      <c r="A223" t="s">
        <v>772</v>
      </c>
      <c r="B223" s="6">
        <v>74</v>
      </c>
      <c r="C223" s="8">
        <v>1</v>
      </c>
    </row>
    <row r="224" spans="1:3">
      <c r="A224" t="s">
        <v>1558</v>
      </c>
      <c r="B224" s="6">
        <v>74</v>
      </c>
      <c r="C224" s="8">
        <v>3</v>
      </c>
    </row>
    <row r="225" spans="1:3">
      <c r="A225" t="s">
        <v>776</v>
      </c>
      <c r="B225" s="6">
        <v>74</v>
      </c>
      <c r="C225" s="8">
        <v>1</v>
      </c>
    </row>
    <row r="226" spans="1:3">
      <c r="A226" t="s">
        <v>305</v>
      </c>
      <c r="B226" s="6">
        <v>74</v>
      </c>
      <c r="C226" s="8">
        <v>1</v>
      </c>
    </row>
    <row r="227" spans="1:3">
      <c r="A227" t="s">
        <v>994</v>
      </c>
      <c r="B227" s="6">
        <v>74</v>
      </c>
      <c r="C227" s="8">
        <v>1</v>
      </c>
    </row>
    <row r="228" spans="1:3">
      <c r="A228" t="s">
        <v>1040</v>
      </c>
      <c r="B228" s="6">
        <v>73.5</v>
      </c>
      <c r="C228" s="8">
        <v>2</v>
      </c>
    </row>
    <row r="229" spans="1:3">
      <c r="A229" t="s">
        <v>528</v>
      </c>
      <c r="B229" s="6">
        <v>73.5</v>
      </c>
      <c r="C229" s="8">
        <v>2</v>
      </c>
    </row>
    <row r="230" spans="1:3">
      <c r="A230" t="s">
        <v>535</v>
      </c>
      <c r="B230" s="6">
        <v>73</v>
      </c>
      <c r="C230" s="8">
        <v>1</v>
      </c>
    </row>
    <row r="231" spans="1:3">
      <c r="A231" t="s">
        <v>1057</v>
      </c>
      <c r="B231" s="6">
        <v>73</v>
      </c>
      <c r="C231" s="8">
        <v>1</v>
      </c>
    </row>
    <row r="232" spans="1:3">
      <c r="A232" t="s">
        <v>306</v>
      </c>
      <c r="B232" s="6">
        <v>73</v>
      </c>
      <c r="C232" s="8">
        <v>1</v>
      </c>
    </row>
    <row r="233" spans="1:3">
      <c r="A233" t="s">
        <v>1431</v>
      </c>
      <c r="B233" s="6">
        <v>73</v>
      </c>
      <c r="C233" s="8">
        <v>1</v>
      </c>
    </row>
    <row r="234" spans="1:3">
      <c r="A234" t="s">
        <v>1375</v>
      </c>
      <c r="B234" s="6">
        <v>73</v>
      </c>
      <c r="C234" s="8">
        <v>1</v>
      </c>
    </row>
    <row r="235" spans="1:3">
      <c r="A235" t="s">
        <v>1043</v>
      </c>
      <c r="B235" s="6">
        <v>73</v>
      </c>
      <c r="C235" s="8">
        <v>1</v>
      </c>
    </row>
    <row r="236" spans="1:3">
      <c r="A236" t="s">
        <v>1113</v>
      </c>
      <c r="B236" s="6">
        <v>73</v>
      </c>
      <c r="C236" s="8">
        <v>2</v>
      </c>
    </row>
    <row r="237" spans="1:3">
      <c r="A237" t="s">
        <v>970</v>
      </c>
      <c r="B237" s="6">
        <v>73</v>
      </c>
      <c r="C237" s="8">
        <v>1</v>
      </c>
    </row>
    <row r="238" spans="1:3">
      <c r="A238" t="s">
        <v>1075</v>
      </c>
      <c r="B238" s="6">
        <v>73</v>
      </c>
      <c r="C238" s="8">
        <v>1</v>
      </c>
    </row>
    <row r="239" spans="1:3">
      <c r="A239" t="s">
        <v>296</v>
      </c>
      <c r="B239" s="6">
        <v>73</v>
      </c>
      <c r="C239" s="8">
        <v>1</v>
      </c>
    </row>
    <row r="240" spans="1:3">
      <c r="A240" t="s">
        <v>322</v>
      </c>
      <c r="B240" s="6">
        <v>73</v>
      </c>
      <c r="C240" s="8">
        <v>1</v>
      </c>
    </row>
    <row r="241" spans="1:3">
      <c r="A241" t="s">
        <v>1503</v>
      </c>
      <c r="B241" s="6">
        <v>73</v>
      </c>
      <c r="C241" s="8">
        <v>2</v>
      </c>
    </row>
    <row r="242" spans="1:3">
      <c r="A242" t="s">
        <v>1196</v>
      </c>
      <c r="B242" s="6">
        <v>73</v>
      </c>
      <c r="C242" s="8">
        <v>1</v>
      </c>
    </row>
    <row r="243" spans="1:3">
      <c r="A243" t="s">
        <v>566</v>
      </c>
      <c r="B243" s="6">
        <v>73</v>
      </c>
      <c r="C243" s="8">
        <v>1</v>
      </c>
    </row>
    <row r="244" spans="1:3">
      <c r="A244" t="s">
        <v>1181</v>
      </c>
      <c r="B244" s="6">
        <v>73</v>
      </c>
      <c r="C244" s="8">
        <v>1</v>
      </c>
    </row>
    <row r="245" spans="1:3">
      <c r="A245" t="s">
        <v>545</v>
      </c>
      <c r="B245" s="6">
        <v>73</v>
      </c>
      <c r="C245" s="8">
        <v>1</v>
      </c>
    </row>
    <row r="246" spans="1:3">
      <c r="A246" t="s">
        <v>1590</v>
      </c>
      <c r="B246" s="6">
        <v>73</v>
      </c>
      <c r="C246" s="8">
        <v>1</v>
      </c>
    </row>
    <row r="247" spans="1:3">
      <c r="A247" t="s">
        <v>797</v>
      </c>
      <c r="B247" s="6">
        <v>73</v>
      </c>
      <c r="C247" s="8">
        <v>1</v>
      </c>
    </row>
    <row r="248" spans="1:3">
      <c r="A248" t="s">
        <v>954</v>
      </c>
      <c r="B248" s="6">
        <v>73</v>
      </c>
      <c r="C248" s="8">
        <v>1</v>
      </c>
    </row>
    <row r="249" spans="1:3">
      <c r="A249" t="s">
        <v>976</v>
      </c>
      <c r="B249" s="6">
        <v>73</v>
      </c>
      <c r="C249" s="8">
        <v>1</v>
      </c>
    </row>
    <row r="250" spans="1:3">
      <c r="A250" t="s">
        <v>1032</v>
      </c>
      <c r="B250" s="6">
        <v>73</v>
      </c>
      <c r="C250" s="8">
        <v>1</v>
      </c>
    </row>
    <row r="251" spans="1:3">
      <c r="A251" t="s">
        <v>1101</v>
      </c>
      <c r="B251" s="6">
        <v>72.714285714285708</v>
      </c>
      <c r="C251" s="8">
        <v>7</v>
      </c>
    </row>
    <row r="252" spans="1:3">
      <c r="A252" t="s">
        <v>1338</v>
      </c>
      <c r="B252" s="6">
        <v>72.666666666666671</v>
      </c>
      <c r="C252" s="8">
        <v>3</v>
      </c>
    </row>
    <row r="253" spans="1:3">
      <c r="A253" t="s">
        <v>476</v>
      </c>
      <c r="B253" s="6">
        <v>72.5</v>
      </c>
      <c r="C253" s="8">
        <v>2</v>
      </c>
    </row>
    <row r="254" spans="1:3">
      <c r="A254" t="s">
        <v>642</v>
      </c>
      <c r="B254" s="6">
        <v>72</v>
      </c>
      <c r="C254" s="8">
        <v>1</v>
      </c>
    </row>
    <row r="255" spans="1:3">
      <c r="A255" t="s">
        <v>828</v>
      </c>
      <c r="B255" s="6">
        <v>72</v>
      </c>
      <c r="C255" s="8">
        <v>1</v>
      </c>
    </row>
    <row r="256" spans="1:3">
      <c r="A256" t="s">
        <v>1289</v>
      </c>
      <c r="B256" s="6">
        <v>72</v>
      </c>
      <c r="C256" s="8">
        <v>1</v>
      </c>
    </row>
    <row r="257" spans="1:3">
      <c r="A257" t="s">
        <v>978</v>
      </c>
      <c r="B257" s="6">
        <v>72</v>
      </c>
      <c r="C257" s="8">
        <v>1</v>
      </c>
    </row>
    <row r="258" spans="1:3">
      <c r="A258" t="s">
        <v>487</v>
      </c>
      <c r="B258" s="6">
        <v>72</v>
      </c>
      <c r="C258" s="8">
        <v>1</v>
      </c>
    </row>
    <row r="259" spans="1:3">
      <c r="A259" t="s">
        <v>627</v>
      </c>
      <c r="B259" s="6">
        <v>72</v>
      </c>
      <c r="C259" s="8">
        <v>1</v>
      </c>
    </row>
    <row r="260" spans="1:3">
      <c r="A260" t="s">
        <v>558</v>
      </c>
      <c r="B260" s="6">
        <v>72</v>
      </c>
      <c r="C260" s="8">
        <v>1</v>
      </c>
    </row>
    <row r="261" spans="1:3">
      <c r="A261" t="s">
        <v>1565</v>
      </c>
      <c r="B261" s="6">
        <v>72</v>
      </c>
      <c r="C261" s="8">
        <v>1</v>
      </c>
    </row>
    <row r="262" spans="1:3">
      <c r="A262" t="s">
        <v>1489</v>
      </c>
      <c r="B262" s="6">
        <v>72</v>
      </c>
      <c r="C262" s="8">
        <v>1</v>
      </c>
    </row>
    <row r="263" spans="1:3">
      <c r="A263" t="s">
        <v>539</v>
      </c>
      <c r="B263" s="6">
        <v>72</v>
      </c>
      <c r="C263" s="8">
        <v>1</v>
      </c>
    </row>
    <row r="264" spans="1:3">
      <c r="A264" t="s">
        <v>811</v>
      </c>
      <c r="B264" s="6">
        <v>72</v>
      </c>
      <c r="C264" s="8">
        <v>1</v>
      </c>
    </row>
    <row r="265" spans="1:3">
      <c r="A265" t="s">
        <v>1016</v>
      </c>
      <c r="B265" s="6">
        <v>71.63636363636364</v>
      </c>
      <c r="C265" s="8">
        <v>11</v>
      </c>
    </row>
    <row r="266" spans="1:3">
      <c r="A266" t="s">
        <v>396</v>
      </c>
      <c r="B266" s="6">
        <v>71.375</v>
      </c>
      <c r="C266" s="8">
        <v>8</v>
      </c>
    </row>
    <row r="267" spans="1:3">
      <c r="A267" t="s">
        <v>793</v>
      </c>
      <c r="B267" s="6">
        <v>71</v>
      </c>
      <c r="C267" s="8">
        <v>1</v>
      </c>
    </row>
    <row r="268" spans="1:3">
      <c r="A268" t="s">
        <v>913</v>
      </c>
      <c r="B268" s="6">
        <v>71</v>
      </c>
      <c r="C268" s="8">
        <v>1</v>
      </c>
    </row>
    <row r="269" spans="1:3">
      <c r="A269" t="s">
        <v>551</v>
      </c>
      <c r="B269" s="6">
        <v>71</v>
      </c>
      <c r="C269" s="8">
        <v>1</v>
      </c>
    </row>
    <row r="270" spans="1:3">
      <c r="A270" t="s">
        <v>1352</v>
      </c>
      <c r="B270" s="6">
        <v>71</v>
      </c>
      <c r="C270" s="8">
        <v>1</v>
      </c>
    </row>
    <row r="271" spans="1:3">
      <c r="A271" t="s">
        <v>1093</v>
      </c>
      <c r="B271" s="6">
        <v>71</v>
      </c>
      <c r="C271" s="8">
        <v>1</v>
      </c>
    </row>
    <row r="272" spans="1:3">
      <c r="A272" t="s">
        <v>588</v>
      </c>
      <c r="B272" s="6">
        <v>71</v>
      </c>
      <c r="C272" s="8">
        <v>1</v>
      </c>
    </row>
    <row r="273" spans="1:3">
      <c r="A273" t="s">
        <v>120</v>
      </c>
      <c r="B273" s="6">
        <v>71</v>
      </c>
      <c r="C273" s="8">
        <v>1</v>
      </c>
    </row>
    <row r="274" spans="1:3">
      <c r="A274" t="s">
        <v>1484</v>
      </c>
      <c r="B274" s="6">
        <v>71</v>
      </c>
      <c r="C274" s="8">
        <v>1</v>
      </c>
    </row>
    <row r="275" spans="1:3">
      <c r="A275" t="s">
        <v>1427</v>
      </c>
      <c r="B275" s="6">
        <v>71</v>
      </c>
      <c r="C275" s="8">
        <v>1</v>
      </c>
    </row>
    <row r="276" spans="1:3">
      <c r="A276" t="s">
        <v>164</v>
      </c>
      <c r="B276" s="6">
        <v>71</v>
      </c>
      <c r="C276" s="8">
        <v>1</v>
      </c>
    </row>
    <row r="277" spans="1:3">
      <c r="A277" t="s">
        <v>572</v>
      </c>
      <c r="B277" s="6">
        <v>71</v>
      </c>
      <c r="C277" s="8">
        <v>1</v>
      </c>
    </row>
    <row r="278" spans="1:3">
      <c r="A278" t="s">
        <v>55</v>
      </c>
      <c r="B278" s="6">
        <v>71</v>
      </c>
      <c r="C278" s="8">
        <v>1</v>
      </c>
    </row>
    <row r="279" spans="1:3">
      <c r="A279" t="s">
        <v>1303</v>
      </c>
      <c r="B279" s="6">
        <v>71</v>
      </c>
      <c r="C279" s="8">
        <v>1</v>
      </c>
    </row>
    <row r="280" spans="1:3">
      <c r="A280" t="s">
        <v>1356</v>
      </c>
      <c r="B280" s="6">
        <v>70.89473684210526</v>
      </c>
      <c r="C280" s="8">
        <v>19</v>
      </c>
    </row>
    <row r="281" spans="1:3">
      <c r="A281" t="s">
        <v>541</v>
      </c>
      <c r="B281" s="6">
        <v>70.5</v>
      </c>
      <c r="C281" s="8">
        <v>2</v>
      </c>
    </row>
    <row r="282" spans="1:3">
      <c r="A282" t="s">
        <v>1285</v>
      </c>
      <c r="B282" s="6">
        <v>70</v>
      </c>
      <c r="C282" s="8">
        <v>1</v>
      </c>
    </row>
    <row r="283" spans="1:3">
      <c r="A283" t="s">
        <v>1545</v>
      </c>
      <c r="B283" s="6">
        <v>70</v>
      </c>
      <c r="C283" s="8">
        <v>1</v>
      </c>
    </row>
    <row r="284" spans="1:3">
      <c r="A284" t="s">
        <v>345</v>
      </c>
      <c r="B284" s="6">
        <v>70</v>
      </c>
      <c r="C284" s="8">
        <v>1</v>
      </c>
    </row>
    <row r="285" spans="1:3">
      <c r="A285" t="s">
        <v>337</v>
      </c>
      <c r="B285" s="6">
        <v>70</v>
      </c>
      <c r="C285" s="8">
        <v>1</v>
      </c>
    </row>
    <row r="286" spans="1:3">
      <c r="A286" t="s">
        <v>1486</v>
      </c>
      <c r="B286" s="6">
        <v>70</v>
      </c>
      <c r="C286" s="8">
        <v>2</v>
      </c>
    </row>
    <row r="287" spans="1:3">
      <c r="A287" t="s">
        <v>871</v>
      </c>
      <c r="B287" s="6">
        <v>70</v>
      </c>
      <c r="C287" s="8">
        <v>1</v>
      </c>
    </row>
    <row r="288" spans="1:3">
      <c r="A288" t="s">
        <v>670</v>
      </c>
      <c r="B288" s="6">
        <v>70</v>
      </c>
      <c r="C288" s="8">
        <v>1</v>
      </c>
    </row>
    <row r="289" spans="1:3">
      <c r="A289" t="s">
        <v>1256</v>
      </c>
      <c r="B289" s="6">
        <v>70</v>
      </c>
      <c r="C289" s="8">
        <v>1</v>
      </c>
    </row>
    <row r="290" spans="1:3">
      <c r="A290" t="s">
        <v>661</v>
      </c>
      <c r="B290" s="6">
        <v>70</v>
      </c>
      <c r="C290" s="8">
        <v>1</v>
      </c>
    </row>
    <row r="291" spans="1:3">
      <c r="A291" t="s">
        <v>888</v>
      </c>
      <c r="B291" s="6">
        <v>70</v>
      </c>
      <c r="C291" s="8">
        <v>1</v>
      </c>
    </row>
    <row r="292" spans="1:3">
      <c r="A292" t="s">
        <v>356</v>
      </c>
      <c r="B292" s="6">
        <v>70</v>
      </c>
      <c r="C292" s="8">
        <v>1</v>
      </c>
    </row>
    <row r="293" spans="1:3">
      <c r="A293" t="s">
        <v>980</v>
      </c>
      <c r="B293" s="6">
        <v>70</v>
      </c>
      <c r="C293" s="8">
        <v>1</v>
      </c>
    </row>
    <row r="294" spans="1:3">
      <c r="A294" t="s">
        <v>1554</v>
      </c>
      <c r="B294" s="6">
        <v>70</v>
      </c>
      <c r="C294" s="8">
        <v>1</v>
      </c>
    </row>
    <row r="295" spans="1:3">
      <c r="A295" t="s">
        <v>1514</v>
      </c>
      <c r="B295" s="6">
        <v>70</v>
      </c>
      <c r="C295" s="8">
        <v>1</v>
      </c>
    </row>
    <row r="296" spans="1:3">
      <c r="A296" t="s">
        <v>512</v>
      </c>
      <c r="B296" s="6">
        <v>70</v>
      </c>
      <c r="C296" s="8">
        <v>1</v>
      </c>
    </row>
    <row r="297" spans="1:3">
      <c r="A297" t="s">
        <v>526</v>
      </c>
      <c r="B297" s="6">
        <v>70</v>
      </c>
      <c r="C297" s="8">
        <v>1</v>
      </c>
    </row>
    <row r="298" spans="1:3">
      <c r="A298" t="s">
        <v>1491</v>
      </c>
      <c r="B298" s="6">
        <v>70</v>
      </c>
      <c r="C298" s="8">
        <v>1</v>
      </c>
    </row>
    <row r="299" spans="1:3">
      <c r="A299" t="s">
        <v>560</v>
      </c>
      <c r="B299" s="6">
        <v>70</v>
      </c>
      <c r="C299" s="8">
        <v>1</v>
      </c>
    </row>
    <row r="300" spans="1:3">
      <c r="A300" t="s">
        <v>1305</v>
      </c>
      <c r="B300" s="6">
        <v>70</v>
      </c>
      <c r="C300" s="8">
        <v>2</v>
      </c>
    </row>
    <row r="301" spans="1:3">
      <c r="A301" t="s">
        <v>778</v>
      </c>
      <c r="B301" s="6">
        <v>70</v>
      </c>
      <c r="C301" s="8">
        <v>1</v>
      </c>
    </row>
    <row r="302" spans="1:3">
      <c r="A302" t="s">
        <v>1200</v>
      </c>
      <c r="B302" s="6">
        <v>70</v>
      </c>
      <c r="C302" s="8">
        <v>2</v>
      </c>
    </row>
    <row r="303" spans="1:3">
      <c r="A303" t="s">
        <v>1534</v>
      </c>
      <c r="B303" s="6">
        <v>70</v>
      </c>
      <c r="C303" s="8">
        <v>1</v>
      </c>
    </row>
    <row r="304" spans="1:3">
      <c r="A304" t="s">
        <v>372</v>
      </c>
      <c r="B304" s="6">
        <v>69.833333333333329</v>
      </c>
      <c r="C304" s="8">
        <v>6</v>
      </c>
    </row>
    <row r="305" spans="1:3">
      <c r="A305" t="s">
        <v>124</v>
      </c>
      <c r="B305" s="6">
        <v>69.473684210526315</v>
      </c>
      <c r="C305" s="8">
        <v>19</v>
      </c>
    </row>
    <row r="306" spans="1:3">
      <c r="A306" t="s">
        <v>998</v>
      </c>
      <c r="B306" s="6">
        <v>69.25</v>
      </c>
      <c r="C306" s="8">
        <v>4</v>
      </c>
    </row>
    <row r="307" spans="1:3">
      <c r="A307" t="s">
        <v>1459</v>
      </c>
      <c r="B307" s="6">
        <v>69.13636363636364</v>
      </c>
      <c r="C307" s="8">
        <v>22</v>
      </c>
    </row>
    <row r="308" spans="1:3">
      <c r="A308" t="s">
        <v>423</v>
      </c>
      <c r="B308" s="6">
        <v>69</v>
      </c>
      <c r="C308" s="8">
        <v>1</v>
      </c>
    </row>
    <row r="309" spans="1:3">
      <c r="A309" t="s">
        <v>1258</v>
      </c>
      <c r="B309" s="6">
        <v>69</v>
      </c>
      <c r="C309" s="8">
        <v>1</v>
      </c>
    </row>
    <row r="310" spans="1:3">
      <c r="A310" t="s">
        <v>766</v>
      </c>
      <c r="B310" s="6">
        <v>69</v>
      </c>
      <c r="C310" s="8">
        <v>1</v>
      </c>
    </row>
    <row r="311" spans="1:3">
      <c r="A311" t="s">
        <v>294</v>
      </c>
      <c r="B311" s="6">
        <v>69</v>
      </c>
      <c r="C311" s="8">
        <v>1</v>
      </c>
    </row>
    <row r="312" spans="1:3">
      <c r="A312" t="s">
        <v>277</v>
      </c>
      <c r="B312" s="6">
        <v>69</v>
      </c>
      <c r="C312" s="8">
        <v>2</v>
      </c>
    </row>
    <row r="313" spans="1:3">
      <c r="A313" t="s">
        <v>1116</v>
      </c>
      <c r="B313" s="6">
        <v>69</v>
      </c>
      <c r="C313" s="8">
        <v>1</v>
      </c>
    </row>
    <row r="314" spans="1:3">
      <c r="A314" t="s">
        <v>500</v>
      </c>
      <c r="B314" s="6">
        <v>69</v>
      </c>
      <c r="C314" s="8">
        <v>1</v>
      </c>
    </row>
    <row r="315" spans="1:3">
      <c r="A315" t="s">
        <v>75</v>
      </c>
      <c r="B315" s="6">
        <v>69</v>
      </c>
      <c r="C315" s="8">
        <v>1</v>
      </c>
    </row>
    <row r="316" spans="1:3">
      <c r="A316" t="s">
        <v>1252</v>
      </c>
      <c r="B316" s="6">
        <v>69</v>
      </c>
      <c r="C316" s="8">
        <v>1</v>
      </c>
    </row>
    <row r="317" spans="1:3">
      <c r="A317" t="s">
        <v>839</v>
      </c>
      <c r="B317" s="6">
        <v>69</v>
      </c>
      <c r="C317" s="8">
        <v>1</v>
      </c>
    </row>
    <row r="318" spans="1:3">
      <c r="A318" t="s">
        <v>716</v>
      </c>
      <c r="B318" s="6">
        <v>68.5</v>
      </c>
      <c r="C318" s="8">
        <v>2</v>
      </c>
    </row>
    <row r="319" spans="1:3">
      <c r="A319" t="s">
        <v>650</v>
      </c>
      <c r="B319" s="6">
        <v>68.333333333333329</v>
      </c>
      <c r="C319" s="8">
        <v>3</v>
      </c>
    </row>
    <row r="320" spans="1:3">
      <c r="A320" t="s">
        <v>911</v>
      </c>
      <c r="B320" s="6">
        <v>68</v>
      </c>
      <c r="C320" s="8">
        <v>1</v>
      </c>
    </row>
    <row r="321" spans="1:3">
      <c r="A321" t="s">
        <v>188</v>
      </c>
      <c r="B321" s="6">
        <v>68</v>
      </c>
      <c r="C321" s="8">
        <v>1</v>
      </c>
    </row>
    <row r="322" spans="1:3">
      <c r="A322" t="s">
        <v>704</v>
      </c>
      <c r="B322" s="6">
        <v>68</v>
      </c>
      <c r="C322" s="8">
        <v>1</v>
      </c>
    </row>
    <row r="323" spans="1:3">
      <c r="A323" t="s">
        <v>700</v>
      </c>
      <c r="B323" s="6">
        <v>68</v>
      </c>
      <c r="C323" s="8">
        <v>1</v>
      </c>
    </row>
    <row r="324" spans="1:3">
      <c r="A324" t="s">
        <v>1330</v>
      </c>
      <c r="B324" s="6">
        <v>68</v>
      </c>
      <c r="C324" s="8">
        <v>1</v>
      </c>
    </row>
    <row r="325" spans="1:3">
      <c r="A325" t="s">
        <v>334</v>
      </c>
      <c r="B325" s="6">
        <v>68</v>
      </c>
      <c r="C325" s="8">
        <v>2</v>
      </c>
    </row>
    <row r="326" spans="1:3">
      <c r="A326" t="s">
        <v>168</v>
      </c>
      <c r="B326" s="6">
        <v>68</v>
      </c>
      <c r="C326" s="8">
        <v>1</v>
      </c>
    </row>
    <row r="327" spans="1:3">
      <c r="A327" t="s">
        <v>1524</v>
      </c>
      <c r="B327" s="6">
        <v>68</v>
      </c>
      <c r="C327" s="8">
        <v>1</v>
      </c>
    </row>
    <row r="328" spans="1:3">
      <c r="A328" t="s">
        <v>102</v>
      </c>
      <c r="B328" s="6">
        <v>68</v>
      </c>
      <c r="C328" s="8">
        <v>2</v>
      </c>
    </row>
    <row r="329" spans="1:3">
      <c r="A329" t="s">
        <v>1208</v>
      </c>
      <c r="B329" s="6">
        <v>68</v>
      </c>
      <c r="C329" s="8">
        <v>1</v>
      </c>
    </row>
    <row r="330" spans="1:3">
      <c r="A330" t="s">
        <v>1270</v>
      </c>
      <c r="B330" s="6">
        <v>68</v>
      </c>
      <c r="C330" s="8">
        <v>1</v>
      </c>
    </row>
    <row r="331" spans="1:3">
      <c r="A331" t="s">
        <v>1281</v>
      </c>
      <c r="B331" s="6">
        <v>68</v>
      </c>
      <c r="C331" s="8">
        <v>1</v>
      </c>
    </row>
    <row r="332" spans="1:3">
      <c r="A332" t="s">
        <v>867</v>
      </c>
      <c r="B332" s="6">
        <v>67.666666666666671</v>
      </c>
      <c r="C332" s="8">
        <v>3</v>
      </c>
    </row>
    <row r="333" spans="1:3">
      <c r="A333" t="s">
        <v>897</v>
      </c>
      <c r="B333" s="6">
        <v>67.333333333333329</v>
      </c>
      <c r="C333" s="8">
        <v>3</v>
      </c>
    </row>
    <row r="334" spans="1:3">
      <c r="A334" t="s">
        <v>1260</v>
      </c>
      <c r="B334" s="6">
        <v>67</v>
      </c>
      <c r="C334" s="8">
        <v>1</v>
      </c>
    </row>
    <row r="335" spans="1:3">
      <c r="A335" t="s">
        <v>343</v>
      </c>
      <c r="B335" s="6">
        <v>67</v>
      </c>
      <c r="C335" s="8">
        <v>1</v>
      </c>
    </row>
    <row r="336" spans="1:3">
      <c r="A336" t="s">
        <v>1520</v>
      </c>
      <c r="B336" s="6">
        <v>67</v>
      </c>
      <c r="C336" s="8">
        <v>1</v>
      </c>
    </row>
    <row r="337" spans="1:3">
      <c r="A337" t="s">
        <v>46</v>
      </c>
      <c r="B337" s="6">
        <v>67</v>
      </c>
      <c r="C337" s="8">
        <v>1</v>
      </c>
    </row>
    <row r="338" spans="1:3">
      <c r="A338" t="s">
        <v>44</v>
      </c>
      <c r="B338" s="6">
        <v>67</v>
      </c>
      <c r="C338" s="8">
        <v>1</v>
      </c>
    </row>
    <row r="339" spans="1:3">
      <c r="A339" t="s">
        <v>549</v>
      </c>
      <c r="B339" s="6">
        <v>67</v>
      </c>
      <c r="C339" s="8">
        <v>1</v>
      </c>
    </row>
    <row r="340" spans="1:3">
      <c r="A340" t="s">
        <v>799</v>
      </c>
      <c r="B340" s="6">
        <v>67</v>
      </c>
      <c r="C340" s="8">
        <v>1</v>
      </c>
    </row>
    <row r="341" spans="1:3">
      <c r="A341" t="s">
        <v>118</v>
      </c>
      <c r="B341" s="6">
        <v>67</v>
      </c>
      <c r="C341" s="8">
        <v>1</v>
      </c>
    </row>
    <row r="342" spans="1:3">
      <c r="A342" t="s">
        <v>1522</v>
      </c>
      <c r="B342" s="6">
        <v>67</v>
      </c>
      <c r="C342" s="8">
        <v>1</v>
      </c>
    </row>
    <row r="343" spans="1:3">
      <c r="A343" t="s">
        <v>816</v>
      </c>
      <c r="B343" s="6">
        <v>67</v>
      </c>
      <c r="C343" s="8">
        <v>1</v>
      </c>
    </row>
    <row r="344" spans="1:3">
      <c r="A344" t="s">
        <v>1174</v>
      </c>
      <c r="B344" s="6">
        <v>67</v>
      </c>
      <c r="C344" s="8">
        <v>1</v>
      </c>
    </row>
    <row r="345" spans="1:3">
      <c r="A345" t="s">
        <v>658</v>
      </c>
      <c r="B345" s="6">
        <v>67</v>
      </c>
      <c r="C345" s="8">
        <v>2</v>
      </c>
    </row>
    <row r="346" spans="1:3">
      <c r="A346" t="s">
        <v>451</v>
      </c>
      <c r="B346" s="6">
        <v>67</v>
      </c>
      <c r="C346" s="8">
        <v>1</v>
      </c>
    </row>
    <row r="347" spans="1:3">
      <c r="A347" t="s">
        <v>1160</v>
      </c>
      <c r="B347" s="6">
        <v>67</v>
      </c>
      <c r="C347" s="8">
        <v>1</v>
      </c>
    </row>
    <row r="348" spans="1:3">
      <c r="A348" t="s">
        <v>228</v>
      </c>
      <c r="B348" s="6">
        <v>67</v>
      </c>
      <c r="C348" s="8">
        <v>2</v>
      </c>
    </row>
    <row r="349" spans="1:3">
      <c r="A349" t="s">
        <v>749</v>
      </c>
      <c r="B349" s="6">
        <v>67</v>
      </c>
      <c r="C349" s="8">
        <v>1</v>
      </c>
    </row>
    <row r="350" spans="1:3">
      <c r="A350" t="s">
        <v>91</v>
      </c>
      <c r="B350" s="6">
        <v>67</v>
      </c>
      <c r="C350" s="8">
        <v>1</v>
      </c>
    </row>
    <row r="351" spans="1:3">
      <c r="A351" t="s">
        <v>884</v>
      </c>
      <c r="B351" s="6">
        <v>67</v>
      </c>
      <c r="C351" s="8">
        <v>1</v>
      </c>
    </row>
    <row r="352" spans="1:3">
      <c r="A352" t="s">
        <v>223</v>
      </c>
      <c r="B352" s="6">
        <v>66.75</v>
      </c>
      <c r="C352" s="8">
        <v>4</v>
      </c>
    </row>
    <row r="353" spans="1:3">
      <c r="A353" t="s">
        <v>231</v>
      </c>
      <c r="B353" s="6">
        <v>66.75</v>
      </c>
      <c r="C353" s="8">
        <v>8</v>
      </c>
    </row>
    <row r="354" spans="1:3">
      <c r="A354" t="s">
        <v>115</v>
      </c>
      <c r="B354" s="6">
        <v>66.5</v>
      </c>
      <c r="C354" s="8">
        <v>2</v>
      </c>
    </row>
    <row r="355" spans="1:3">
      <c r="A355" t="s">
        <v>93</v>
      </c>
      <c r="B355" s="6">
        <v>66.25</v>
      </c>
      <c r="C355" s="8">
        <v>4</v>
      </c>
    </row>
    <row r="356" spans="1:3">
      <c r="A356" t="s">
        <v>1187</v>
      </c>
      <c r="B356" s="6">
        <v>66.25</v>
      </c>
      <c r="C356" s="8">
        <v>4</v>
      </c>
    </row>
    <row r="357" spans="1:3">
      <c r="A357" t="s">
        <v>832</v>
      </c>
      <c r="B357" s="6">
        <v>66.142857142857139</v>
      </c>
      <c r="C357" s="8">
        <v>7</v>
      </c>
    </row>
    <row r="358" spans="1:3">
      <c r="A358" t="s">
        <v>1562</v>
      </c>
      <c r="B358" s="6">
        <v>66</v>
      </c>
      <c r="C358" s="8">
        <v>1</v>
      </c>
    </row>
    <row r="359" spans="1:3">
      <c r="A359" t="s">
        <v>302</v>
      </c>
      <c r="B359" s="6">
        <v>66</v>
      </c>
      <c r="C359" s="8">
        <v>1</v>
      </c>
    </row>
    <row r="360" spans="1:3">
      <c r="A360" t="s">
        <v>409</v>
      </c>
      <c r="B360" s="6">
        <v>66</v>
      </c>
      <c r="C360" s="8">
        <v>1</v>
      </c>
    </row>
    <row r="361" spans="1:3">
      <c r="A361" t="s">
        <v>411</v>
      </c>
      <c r="B361" s="6">
        <v>66</v>
      </c>
      <c r="C361" s="8">
        <v>1</v>
      </c>
    </row>
    <row r="362" spans="1:3">
      <c r="A362" t="s">
        <v>972</v>
      </c>
      <c r="B362" s="6">
        <v>66</v>
      </c>
      <c r="C362" s="8">
        <v>1</v>
      </c>
    </row>
    <row r="363" spans="1:3">
      <c r="A363" t="s">
        <v>996</v>
      </c>
      <c r="B363" s="6">
        <v>66</v>
      </c>
      <c r="C363" s="8">
        <v>1</v>
      </c>
    </row>
    <row r="364" spans="1:3">
      <c r="A364" t="s">
        <v>844</v>
      </c>
      <c r="B364" s="6">
        <v>66</v>
      </c>
      <c r="C364" s="8">
        <v>1</v>
      </c>
    </row>
    <row r="365" spans="1:3">
      <c r="A365" t="s">
        <v>1394</v>
      </c>
      <c r="B365" s="6">
        <v>66</v>
      </c>
      <c r="C365" s="8">
        <v>34</v>
      </c>
    </row>
    <row r="366" spans="1:3">
      <c r="A366" t="s">
        <v>676</v>
      </c>
      <c r="B366" s="6">
        <v>66</v>
      </c>
      <c r="C366" s="8">
        <v>1</v>
      </c>
    </row>
    <row r="367" spans="1:3">
      <c r="A367" t="s">
        <v>590</v>
      </c>
      <c r="B367" s="6">
        <v>65.647058823529406</v>
      </c>
      <c r="C367" s="8">
        <v>17</v>
      </c>
    </row>
    <row r="368" spans="1:3">
      <c r="A368" t="s">
        <v>1391</v>
      </c>
      <c r="B368" s="6">
        <v>65.5</v>
      </c>
      <c r="C368" s="8">
        <v>2</v>
      </c>
    </row>
    <row r="369" spans="1:3">
      <c r="A369" t="s">
        <v>1341</v>
      </c>
      <c r="B369" s="6">
        <v>65.5</v>
      </c>
      <c r="C369" s="8">
        <v>2</v>
      </c>
    </row>
    <row r="370" spans="1:3">
      <c r="A370" t="s">
        <v>1235</v>
      </c>
      <c r="B370" s="6">
        <v>65</v>
      </c>
      <c r="C370" s="8">
        <v>1</v>
      </c>
    </row>
    <row r="371" spans="1:3">
      <c r="A371" t="s">
        <v>646</v>
      </c>
      <c r="B371" s="6">
        <v>65</v>
      </c>
      <c r="C371" s="8">
        <v>1</v>
      </c>
    </row>
    <row r="372" spans="1:3">
      <c r="A372" t="s">
        <v>39</v>
      </c>
      <c r="B372" s="6">
        <v>65</v>
      </c>
      <c r="C372" s="8">
        <v>1</v>
      </c>
    </row>
    <row r="373" spans="1:3">
      <c r="A373" t="s">
        <v>770</v>
      </c>
      <c r="B373" s="6">
        <v>65</v>
      </c>
      <c r="C373" s="8">
        <v>1</v>
      </c>
    </row>
    <row r="374" spans="1:3">
      <c r="A374" t="s">
        <v>1538</v>
      </c>
      <c r="B374" s="6">
        <v>65</v>
      </c>
      <c r="C374" s="8">
        <v>1</v>
      </c>
    </row>
    <row r="375" spans="1:3">
      <c r="A375" t="s">
        <v>457</v>
      </c>
      <c r="B375" s="6">
        <v>65</v>
      </c>
      <c r="C375" s="8">
        <v>1</v>
      </c>
    </row>
    <row r="376" spans="1:3">
      <c r="A376" t="s">
        <v>280</v>
      </c>
      <c r="B376" s="6">
        <v>65</v>
      </c>
      <c r="C376" s="8">
        <v>1</v>
      </c>
    </row>
    <row r="377" spans="1:3">
      <c r="A377" t="s">
        <v>326</v>
      </c>
      <c r="B377" s="6">
        <v>65</v>
      </c>
      <c r="C377" s="8">
        <v>1</v>
      </c>
    </row>
    <row r="378" spans="1:3">
      <c r="A378" t="s">
        <v>1003</v>
      </c>
      <c r="B378" s="6">
        <v>65</v>
      </c>
      <c r="C378" s="8">
        <v>2</v>
      </c>
    </row>
    <row r="379" spans="1:3">
      <c r="A379" t="s">
        <v>537</v>
      </c>
      <c r="B379" s="6">
        <v>65</v>
      </c>
      <c r="C379" s="8">
        <v>1</v>
      </c>
    </row>
    <row r="380" spans="1:3">
      <c r="A380" t="s">
        <v>1536</v>
      </c>
      <c r="B380" s="6">
        <v>65</v>
      </c>
      <c r="C380" s="8">
        <v>1</v>
      </c>
    </row>
    <row r="381" spans="1:3">
      <c r="A381" t="s">
        <v>73</v>
      </c>
      <c r="B381" s="6">
        <v>65</v>
      </c>
      <c r="C381" s="8">
        <v>1</v>
      </c>
    </row>
    <row r="382" spans="1:3">
      <c r="A382" t="s">
        <v>762</v>
      </c>
      <c r="B382" s="6">
        <v>65</v>
      </c>
      <c r="C382" s="8">
        <v>1</v>
      </c>
    </row>
    <row r="383" spans="1:3">
      <c r="A383" t="s">
        <v>554</v>
      </c>
      <c r="B383" s="6">
        <v>65</v>
      </c>
      <c r="C383" s="8">
        <v>1</v>
      </c>
    </row>
    <row r="384" spans="1:3">
      <c r="A384" t="s">
        <v>366</v>
      </c>
      <c r="B384" s="6">
        <v>65</v>
      </c>
      <c r="C384" s="8">
        <v>1</v>
      </c>
    </row>
    <row r="385" spans="1:3">
      <c r="A385" t="s">
        <v>905</v>
      </c>
      <c r="B385" s="6">
        <v>65</v>
      </c>
      <c r="C385" s="8">
        <v>1</v>
      </c>
    </row>
    <row r="386" spans="1:3">
      <c r="A386" t="s">
        <v>1437</v>
      </c>
      <c r="B386" s="6">
        <v>65</v>
      </c>
      <c r="C386" s="8">
        <v>1</v>
      </c>
    </row>
    <row r="387" spans="1:3">
      <c r="A387" t="s">
        <v>686</v>
      </c>
      <c r="B387" s="6">
        <v>65</v>
      </c>
      <c r="C387" s="8">
        <v>1</v>
      </c>
    </row>
    <row r="388" spans="1:3">
      <c r="A388" t="s">
        <v>944</v>
      </c>
      <c r="B388" s="6">
        <v>65</v>
      </c>
      <c r="C388" s="8">
        <v>1</v>
      </c>
    </row>
    <row r="389" spans="1:3">
      <c r="A389" t="s">
        <v>1185</v>
      </c>
      <c r="B389" s="6">
        <v>65</v>
      </c>
      <c r="C389" s="8">
        <v>1</v>
      </c>
    </row>
    <row r="390" spans="1:3">
      <c r="A390" t="s">
        <v>435</v>
      </c>
      <c r="B390" s="6">
        <v>64.555555555555557</v>
      </c>
      <c r="C390" s="8">
        <v>9</v>
      </c>
    </row>
    <row r="391" spans="1:3">
      <c r="A391" t="s">
        <v>419</v>
      </c>
      <c r="B391" s="6">
        <v>64.333333333333329</v>
      </c>
      <c r="C391" s="8">
        <v>3</v>
      </c>
    </row>
    <row r="392" spans="1:3">
      <c r="A392" t="s">
        <v>672</v>
      </c>
      <c r="B392" s="6">
        <v>64</v>
      </c>
      <c r="C392" s="8">
        <v>1</v>
      </c>
    </row>
    <row r="393" spans="1:3">
      <c r="A393" t="s">
        <v>61</v>
      </c>
      <c r="B393" s="6">
        <v>64</v>
      </c>
      <c r="C393" s="8">
        <v>1</v>
      </c>
    </row>
    <row r="394" spans="1:3">
      <c r="A394" t="s">
        <v>562</v>
      </c>
      <c r="B394" s="6">
        <v>64</v>
      </c>
      <c r="C394" s="8">
        <v>1</v>
      </c>
    </row>
    <row r="395" spans="1:3">
      <c r="A395" t="s">
        <v>1606</v>
      </c>
      <c r="B395" s="6">
        <v>64</v>
      </c>
      <c r="C395" s="8">
        <v>1</v>
      </c>
    </row>
    <row r="396" spans="1:3">
      <c r="A396" t="s">
        <v>917</v>
      </c>
      <c r="B396" s="6">
        <v>64</v>
      </c>
      <c r="C396" s="8">
        <v>1</v>
      </c>
    </row>
    <row r="397" spans="1:3">
      <c r="A397" t="s">
        <v>696</v>
      </c>
      <c r="B397" s="6">
        <v>64</v>
      </c>
      <c r="C397" s="8">
        <v>3</v>
      </c>
    </row>
    <row r="398" spans="1:3">
      <c r="A398" t="s">
        <v>1223</v>
      </c>
      <c r="B398" s="6">
        <v>64</v>
      </c>
      <c r="C398" s="8">
        <v>1</v>
      </c>
    </row>
    <row r="399" spans="1:3">
      <c r="A399" t="s">
        <v>1383</v>
      </c>
      <c r="B399" s="6">
        <v>64</v>
      </c>
      <c r="C399" s="8">
        <v>1</v>
      </c>
    </row>
    <row r="400" spans="1:3">
      <c r="A400" t="s">
        <v>1549</v>
      </c>
      <c r="B400" s="6">
        <v>64</v>
      </c>
      <c r="C400" s="8">
        <v>1</v>
      </c>
    </row>
    <row r="401" spans="1:3">
      <c r="A401" t="s">
        <v>149</v>
      </c>
      <c r="B401" s="6">
        <v>64</v>
      </c>
      <c r="C401" s="8">
        <v>2</v>
      </c>
    </row>
    <row r="402" spans="1:3">
      <c r="A402" t="s">
        <v>741</v>
      </c>
      <c r="B402" s="6">
        <v>64</v>
      </c>
      <c r="C402" s="8">
        <v>1</v>
      </c>
    </row>
    <row r="403" spans="1:3">
      <c r="A403" t="s">
        <v>1067</v>
      </c>
      <c r="B403" s="6">
        <v>64</v>
      </c>
      <c r="C403" s="8">
        <v>1</v>
      </c>
    </row>
    <row r="404" spans="1:3">
      <c r="A404" t="s">
        <v>1237</v>
      </c>
      <c r="B404" s="6">
        <v>63.5</v>
      </c>
      <c r="C404" s="8">
        <v>2</v>
      </c>
    </row>
    <row r="405" spans="1:3">
      <c r="A405" t="s">
        <v>1439</v>
      </c>
      <c r="B405" s="6">
        <v>63</v>
      </c>
      <c r="C405" s="8">
        <v>1</v>
      </c>
    </row>
    <row r="406" spans="1:3">
      <c r="A406" t="s">
        <v>968</v>
      </c>
      <c r="B406" s="6">
        <v>63</v>
      </c>
      <c r="C406" s="8">
        <v>1</v>
      </c>
    </row>
    <row r="407" spans="1:3">
      <c r="A407" t="s">
        <v>1293</v>
      </c>
      <c r="B407" s="6">
        <v>63</v>
      </c>
      <c r="C407" s="8">
        <v>1</v>
      </c>
    </row>
    <row r="408" spans="1:3">
      <c r="A408" t="s">
        <v>960</v>
      </c>
      <c r="B408" s="6">
        <v>63</v>
      </c>
      <c r="C408" s="8">
        <v>1</v>
      </c>
    </row>
    <row r="409" spans="1:3">
      <c r="A409" t="s">
        <v>358</v>
      </c>
      <c r="B409" s="6">
        <v>63</v>
      </c>
      <c r="C409" s="8">
        <v>1</v>
      </c>
    </row>
    <row r="410" spans="1:3">
      <c r="A410" t="s">
        <v>852</v>
      </c>
      <c r="B410" s="6">
        <v>63</v>
      </c>
      <c r="C410" s="8">
        <v>1</v>
      </c>
    </row>
    <row r="411" spans="1:3">
      <c r="A411" t="s">
        <v>1077</v>
      </c>
      <c r="B411" s="6">
        <v>63</v>
      </c>
      <c r="C411" s="8">
        <v>2</v>
      </c>
    </row>
    <row r="412" spans="1:3">
      <c r="A412" t="s">
        <v>364</v>
      </c>
      <c r="B412" s="6">
        <v>63</v>
      </c>
      <c r="C412" s="8">
        <v>1</v>
      </c>
    </row>
    <row r="413" spans="1:3">
      <c r="A413" t="s">
        <v>935</v>
      </c>
      <c r="B413" s="6">
        <v>63</v>
      </c>
      <c r="C413" s="8">
        <v>1</v>
      </c>
    </row>
    <row r="414" spans="1:3">
      <c r="A414" t="s">
        <v>70</v>
      </c>
      <c r="B414" s="6">
        <v>63</v>
      </c>
      <c r="C414" s="8">
        <v>1</v>
      </c>
    </row>
    <row r="415" spans="1:3">
      <c r="A415" t="s">
        <v>260</v>
      </c>
      <c r="B415" s="6">
        <v>63</v>
      </c>
      <c r="C415" s="8">
        <v>1</v>
      </c>
    </row>
    <row r="416" spans="1:3">
      <c r="A416" t="s">
        <v>1122</v>
      </c>
      <c r="B416" s="6">
        <v>63</v>
      </c>
      <c r="C416" s="8">
        <v>1</v>
      </c>
    </row>
    <row r="417" spans="1:3">
      <c r="A417" t="s">
        <v>574</v>
      </c>
      <c r="B417" s="6">
        <v>63</v>
      </c>
      <c r="C417" s="8">
        <v>1</v>
      </c>
    </row>
    <row r="418" spans="1:3">
      <c r="A418" t="s">
        <v>841</v>
      </c>
      <c r="B418" s="6">
        <v>63</v>
      </c>
      <c r="C418" s="8">
        <v>2</v>
      </c>
    </row>
    <row r="419" spans="1:3">
      <c r="A419" t="s">
        <v>1060</v>
      </c>
      <c r="B419" s="6">
        <v>62.333333333333336</v>
      </c>
      <c r="C419" s="8">
        <v>6</v>
      </c>
    </row>
    <row r="420" spans="1:3">
      <c r="A420" t="s">
        <v>1206</v>
      </c>
      <c r="B420" s="6">
        <v>62</v>
      </c>
      <c r="C420" s="8">
        <v>1</v>
      </c>
    </row>
    <row r="421" spans="1:3">
      <c r="A421" t="s">
        <v>203</v>
      </c>
      <c r="B421" s="6">
        <v>62</v>
      </c>
      <c r="C421" s="8">
        <v>1</v>
      </c>
    </row>
    <row r="422" spans="1:3">
      <c r="A422" t="s">
        <v>706</v>
      </c>
      <c r="B422" s="6">
        <v>62</v>
      </c>
      <c r="C422" s="8">
        <v>2</v>
      </c>
    </row>
    <row r="423" spans="1:3">
      <c r="A423" t="s">
        <v>209</v>
      </c>
      <c r="B423" s="6">
        <v>62</v>
      </c>
      <c r="C423" s="8">
        <v>1</v>
      </c>
    </row>
    <row r="424" spans="1:3">
      <c r="A424" t="s">
        <v>807</v>
      </c>
      <c r="B424" s="6">
        <v>62</v>
      </c>
      <c r="C424" s="8">
        <v>1</v>
      </c>
    </row>
    <row r="425" spans="1:3">
      <c r="A425" t="s">
        <v>461</v>
      </c>
      <c r="B425" s="6">
        <v>62</v>
      </c>
      <c r="C425" s="8">
        <v>1</v>
      </c>
    </row>
    <row r="426" spans="1:3">
      <c r="A426" t="s">
        <v>190</v>
      </c>
      <c r="B426" s="6">
        <v>62</v>
      </c>
      <c r="C426" s="8">
        <v>1</v>
      </c>
    </row>
    <row r="427" spans="1:3">
      <c r="A427" t="s">
        <v>158</v>
      </c>
      <c r="B427" s="6">
        <v>62</v>
      </c>
      <c r="C427" s="8">
        <v>1</v>
      </c>
    </row>
    <row r="428" spans="1:3">
      <c r="A428" t="s">
        <v>524</v>
      </c>
      <c r="B428" s="6">
        <v>62</v>
      </c>
      <c r="C428" s="8">
        <v>1</v>
      </c>
    </row>
    <row r="429" spans="1:3">
      <c r="A429" t="s">
        <v>1334</v>
      </c>
      <c r="B429" s="6">
        <v>61</v>
      </c>
      <c r="C429" s="8">
        <v>1</v>
      </c>
    </row>
    <row r="430" spans="1:3">
      <c r="A430" t="s">
        <v>1051</v>
      </c>
      <c r="B430" s="6">
        <v>61</v>
      </c>
      <c r="C430" s="8">
        <v>1</v>
      </c>
    </row>
    <row r="431" spans="1:3">
      <c r="A431" t="s">
        <v>755</v>
      </c>
      <c r="B431" s="6">
        <v>61</v>
      </c>
      <c r="C431" s="8">
        <v>4</v>
      </c>
    </row>
    <row r="432" spans="1:3">
      <c r="A432" t="s">
        <v>304</v>
      </c>
      <c r="B432" s="6">
        <v>61</v>
      </c>
      <c r="C432" s="8">
        <v>1</v>
      </c>
    </row>
    <row r="433" spans="1:3">
      <c r="A433" t="s">
        <v>863</v>
      </c>
      <c r="B433" s="6">
        <v>61</v>
      </c>
      <c r="C433" s="8">
        <v>1</v>
      </c>
    </row>
    <row r="434" spans="1:3">
      <c r="A434" t="s">
        <v>217</v>
      </c>
      <c r="B434" s="6">
        <v>61</v>
      </c>
      <c r="C434" s="8">
        <v>1</v>
      </c>
    </row>
    <row r="435" spans="1:3">
      <c r="A435" t="s">
        <v>1618</v>
      </c>
      <c r="B435" s="6">
        <v>61</v>
      </c>
      <c r="C435" s="8">
        <v>1</v>
      </c>
    </row>
    <row r="436" spans="1:3">
      <c r="A436" t="s">
        <v>1262</v>
      </c>
      <c r="B436" s="6">
        <v>61</v>
      </c>
      <c r="C436" s="8">
        <v>1</v>
      </c>
    </row>
    <row r="437" spans="1:3">
      <c r="A437" t="s">
        <v>1332</v>
      </c>
      <c r="B437" s="6">
        <v>61</v>
      </c>
      <c r="C437" s="8">
        <v>1</v>
      </c>
    </row>
    <row r="438" spans="1:3">
      <c r="A438" t="s">
        <v>1495</v>
      </c>
      <c r="B438" s="6">
        <v>61</v>
      </c>
      <c r="C438" s="8">
        <v>1</v>
      </c>
    </row>
    <row r="439" spans="1:3">
      <c r="A439" t="s">
        <v>221</v>
      </c>
      <c r="B439" s="6">
        <v>61</v>
      </c>
      <c r="C439" s="8">
        <v>1</v>
      </c>
    </row>
    <row r="440" spans="1:3">
      <c r="A440" t="s">
        <v>156</v>
      </c>
      <c r="B440" s="6">
        <v>61</v>
      </c>
      <c r="C440" s="8">
        <v>1</v>
      </c>
    </row>
    <row r="441" spans="1:3">
      <c r="A441" t="s">
        <v>467</v>
      </c>
      <c r="B441" s="6">
        <v>60.75</v>
      </c>
      <c r="C441" s="8">
        <v>4</v>
      </c>
    </row>
    <row r="442" spans="1:3">
      <c r="A442" t="s">
        <v>745</v>
      </c>
      <c r="B442" s="6">
        <v>60.666666666666664</v>
      </c>
      <c r="C442" s="8">
        <v>3</v>
      </c>
    </row>
    <row r="443" spans="1:3">
      <c r="A443" t="s">
        <v>314</v>
      </c>
      <c r="B443" s="6">
        <v>60.333333333333336</v>
      </c>
      <c r="C443" s="8">
        <v>3</v>
      </c>
    </row>
    <row r="444" spans="1:3">
      <c r="A444" t="s">
        <v>1097</v>
      </c>
      <c r="B444" s="6">
        <v>60</v>
      </c>
      <c r="C444" s="8">
        <v>1</v>
      </c>
    </row>
    <row r="445" spans="1:3">
      <c r="A445" t="s">
        <v>580</v>
      </c>
      <c r="B445" s="6">
        <v>60</v>
      </c>
      <c r="C445" s="8">
        <v>1</v>
      </c>
    </row>
    <row r="446" spans="1:3">
      <c r="A446" t="s">
        <v>873</v>
      </c>
      <c r="B446" s="6">
        <v>60</v>
      </c>
      <c r="C446" s="8">
        <v>1</v>
      </c>
    </row>
    <row r="447" spans="1:3">
      <c r="A447" t="s">
        <v>805</v>
      </c>
      <c r="B447" s="6">
        <v>60</v>
      </c>
      <c r="C447" s="8">
        <v>1</v>
      </c>
    </row>
    <row r="448" spans="1:3">
      <c r="A448" t="s">
        <v>813</v>
      </c>
      <c r="B448" s="6">
        <v>60</v>
      </c>
      <c r="C448" s="8">
        <v>1</v>
      </c>
    </row>
    <row r="449" spans="1:3">
      <c r="A449" t="s">
        <v>105</v>
      </c>
      <c r="B449" s="6">
        <v>60</v>
      </c>
      <c r="C449" s="8">
        <v>1</v>
      </c>
    </row>
    <row r="450" spans="1:3">
      <c r="A450" t="s">
        <v>1279</v>
      </c>
      <c r="B450" s="6">
        <v>60</v>
      </c>
      <c r="C450" s="8">
        <v>1</v>
      </c>
    </row>
    <row r="451" spans="1:3">
      <c r="A451" t="s">
        <v>324</v>
      </c>
      <c r="B451" s="6">
        <v>60</v>
      </c>
      <c r="C451" s="8">
        <v>1</v>
      </c>
    </row>
    <row r="452" spans="1:3">
      <c r="A452" t="s">
        <v>445</v>
      </c>
      <c r="B452" s="6">
        <v>60</v>
      </c>
      <c r="C452" s="8">
        <v>1</v>
      </c>
    </row>
    <row r="453" spans="1:3">
      <c r="A453" t="s">
        <v>860</v>
      </c>
      <c r="B453" s="6">
        <v>60</v>
      </c>
      <c r="C453" s="8">
        <v>2</v>
      </c>
    </row>
    <row r="454" spans="1:3">
      <c r="A454" t="s">
        <v>1158</v>
      </c>
      <c r="B454" s="6">
        <v>60</v>
      </c>
      <c r="C454" s="8">
        <v>1</v>
      </c>
    </row>
    <row r="455" spans="1:3">
      <c r="A455" t="s">
        <v>1610</v>
      </c>
      <c r="B455" s="6">
        <v>60</v>
      </c>
      <c r="C455" s="8">
        <v>1</v>
      </c>
    </row>
    <row r="456" spans="1:3">
      <c r="A456" t="s">
        <v>1146</v>
      </c>
      <c r="B456" s="6">
        <v>60</v>
      </c>
      <c r="C456" s="8">
        <v>1</v>
      </c>
    </row>
    <row r="457" spans="1:3">
      <c r="A457" t="s">
        <v>1457</v>
      </c>
      <c r="B457" s="6">
        <v>60</v>
      </c>
      <c r="C457" s="8">
        <v>1</v>
      </c>
    </row>
    <row r="458" spans="1:3">
      <c r="A458" t="s">
        <v>284</v>
      </c>
      <c r="B458" s="6">
        <v>60</v>
      </c>
      <c r="C458" s="8">
        <v>1</v>
      </c>
    </row>
    <row r="459" spans="1:3">
      <c r="A459" t="s">
        <v>266</v>
      </c>
      <c r="B459" s="6">
        <v>60</v>
      </c>
      <c r="C459" s="8">
        <v>1</v>
      </c>
    </row>
    <row r="460" spans="1:3">
      <c r="A460" t="s">
        <v>809</v>
      </c>
      <c r="B460" s="6">
        <v>60</v>
      </c>
      <c r="C460" s="8">
        <v>1</v>
      </c>
    </row>
    <row r="461" spans="1:3">
      <c r="A461" t="s">
        <v>1448</v>
      </c>
      <c r="B461" s="6">
        <v>59.666666666666664</v>
      </c>
      <c r="C461" s="8">
        <v>3</v>
      </c>
    </row>
    <row r="462" spans="1:3">
      <c r="A462" t="s">
        <v>719</v>
      </c>
      <c r="B462" s="6">
        <v>59.666666666666664</v>
      </c>
      <c r="C462" s="8">
        <v>3</v>
      </c>
    </row>
    <row r="463" spans="1:3">
      <c r="A463" t="s">
        <v>1088</v>
      </c>
      <c r="B463" s="6">
        <v>59.5</v>
      </c>
      <c r="C463" s="8">
        <v>2</v>
      </c>
    </row>
    <row r="464" spans="1:3">
      <c r="A464" t="s">
        <v>502</v>
      </c>
      <c r="B464" s="6">
        <v>59</v>
      </c>
      <c r="C464" s="8">
        <v>1</v>
      </c>
    </row>
    <row r="465" spans="1:3">
      <c r="A465" t="s">
        <v>244</v>
      </c>
      <c r="B465" s="6">
        <v>59</v>
      </c>
      <c r="C465" s="8">
        <v>2</v>
      </c>
    </row>
    <row r="466" spans="1:3">
      <c r="A466" t="s">
        <v>1210</v>
      </c>
      <c r="B466" s="6">
        <v>59</v>
      </c>
      <c r="C466" s="8">
        <v>2</v>
      </c>
    </row>
    <row r="467" spans="1:3">
      <c r="A467" t="s">
        <v>176</v>
      </c>
      <c r="B467" s="6">
        <v>59</v>
      </c>
      <c r="C467" s="8">
        <v>1</v>
      </c>
    </row>
    <row r="468" spans="1:3">
      <c r="A468" t="s">
        <v>556</v>
      </c>
      <c r="B468" s="6">
        <v>59</v>
      </c>
      <c r="C468" s="8">
        <v>1</v>
      </c>
    </row>
    <row r="469" spans="1:3">
      <c r="A469" t="s">
        <v>508</v>
      </c>
      <c r="B469" s="6">
        <v>59</v>
      </c>
      <c r="C469" s="8">
        <v>1</v>
      </c>
    </row>
    <row r="470" spans="1:3">
      <c r="A470" t="s">
        <v>145</v>
      </c>
      <c r="B470" s="6">
        <v>59</v>
      </c>
      <c r="C470" s="8">
        <v>1</v>
      </c>
    </row>
    <row r="471" spans="1:3">
      <c r="A471" t="s">
        <v>1250</v>
      </c>
      <c r="B471" s="6">
        <v>59</v>
      </c>
      <c r="C471" s="8">
        <v>1</v>
      </c>
    </row>
    <row r="472" spans="1:3">
      <c r="A472" t="s">
        <v>1009</v>
      </c>
      <c r="B472" s="6">
        <v>59</v>
      </c>
      <c r="C472" s="8">
        <v>1</v>
      </c>
    </row>
    <row r="473" spans="1:3">
      <c r="A473" t="s">
        <v>1291</v>
      </c>
      <c r="B473" s="6">
        <v>59</v>
      </c>
      <c r="C473" s="8">
        <v>1</v>
      </c>
    </row>
    <row r="474" spans="1:3">
      <c r="A474" t="s">
        <v>1240</v>
      </c>
      <c r="B474" s="6">
        <v>59</v>
      </c>
      <c r="C474" s="8">
        <v>1</v>
      </c>
    </row>
    <row r="475" spans="1:3">
      <c r="A475" t="s">
        <v>1577</v>
      </c>
      <c r="B475" s="6">
        <v>59</v>
      </c>
      <c r="C475" s="8">
        <v>1</v>
      </c>
    </row>
    <row r="476" spans="1:3">
      <c r="A476" t="s">
        <v>122</v>
      </c>
      <c r="B476" s="6">
        <v>59</v>
      </c>
      <c r="C476" s="8">
        <v>1</v>
      </c>
    </row>
    <row r="477" spans="1:3">
      <c r="A477" t="s">
        <v>619</v>
      </c>
      <c r="B477" s="6">
        <v>59</v>
      </c>
      <c r="C477" s="8">
        <v>1</v>
      </c>
    </row>
    <row r="478" spans="1:3">
      <c r="A478" t="s">
        <v>1231</v>
      </c>
      <c r="B478" s="6">
        <v>59</v>
      </c>
      <c r="C478" s="8">
        <v>1</v>
      </c>
    </row>
    <row r="479" spans="1:3">
      <c r="A479" t="s">
        <v>621</v>
      </c>
      <c r="B479" s="6">
        <v>59</v>
      </c>
      <c r="C479" s="8">
        <v>1</v>
      </c>
    </row>
    <row r="480" spans="1:3">
      <c r="A480" t="s">
        <v>931</v>
      </c>
      <c r="B480" s="6">
        <v>59</v>
      </c>
      <c r="C480" s="8">
        <v>1</v>
      </c>
    </row>
    <row r="481" spans="1:3">
      <c r="A481" t="s">
        <v>929</v>
      </c>
      <c r="B481" s="6">
        <v>59</v>
      </c>
      <c r="C481" s="8">
        <v>1</v>
      </c>
    </row>
    <row r="482" spans="1:3">
      <c r="A482" t="s">
        <v>830</v>
      </c>
      <c r="B482" s="6">
        <v>59</v>
      </c>
      <c r="C482" s="8">
        <v>1</v>
      </c>
    </row>
    <row r="483" spans="1:3">
      <c r="A483" t="s">
        <v>1247</v>
      </c>
      <c r="B483" s="6">
        <v>58.5</v>
      </c>
      <c r="C483" s="8">
        <v>2</v>
      </c>
    </row>
    <row r="484" spans="1:3">
      <c r="A484" t="s">
        <v>1429</v>
      </c>
      <c r="B484" s="6">
        <v>58</v>
      </c>
      <c r="C484" s="8">
        <v>1</v>
      </c>
    </row>
    <row r="485" spans="1:3">
      <c r="A485" t="s">
        <v>768</v>
      </c>
      <c r="B485" s="6">
        <v>58</v>
      </c>
      <c r="C485" s="8">
        <v>1</v>
      </c>
    </row>
    <row r="486" spans="1:3">
      <c r="A486" t="s">
        <v>1136</v>
      </c>
      <c r="B486" s="6">
        <v>58</v>
      </c>
      <c r="C486" s="8">
        <v>2</v>
      </c>
    </row>
    <row r="487" spans="1:3">
      <c r="A487" t="s">
        <v>878</v>
      </c>
      <c r="B487" s="6">
        <v>58</v>
      </c>
      <c r="C487" s="8">
        <v>1</v>
      </c>
    </row>
    <row r="488" spans="1:3">
      <c r="A488" t="s">
        <v>941</v>
      </c>
      <c r="B488" s="6">
        <v>58</v>
      </c>
      <c r="C488" s="8">
        <v>2</v>
      </c>
    </row>
    <row r="489" spans="1:3">
      <c r="A489" t="s">
        <v>578</v>
      </c>
      <c r="B489" s="6">
        <v>58</v>
      </c>
      <c r="C489" s="8">
        <v>1</v>
      </c>
    </row>
    <row r="490" spans="1:3">
      <c r="A490" t="s">
        <v>958</v>
      </c>
      <c r="B490" s="6">
        <v>58</v>
      </c>
      <c r="C490" s="8">
        <v>1</v>
      </c>
    </row>
    <row r="491" spans="1:3">
      <c r="A491" t="s">
        <v>1482</v>
      </c>
      <c r="B491" s="6">
        <v>58</v>
      </c>
      <c r="C491" s="8">
        <v>1</v>
      </c>
    </row>
    <row r="492" spans="1:3">
      <c r="A492" t="s">
        <v>751</v>
      </c>
      <c r="B492" s="6">
        <v>58</v>
      </c>
      <c r="C492" s="8">
        <v>1</v>
      </c>
    </row>
    <row r="493" spans="1:3">
      <c r="A493" t="s">
        <v>162</v>
      </c>
      <c r="B493" s="6">
        <v>58</v>
      </c>
      <c r="C493" s="8">
        <v>1</v>
      </c>
    </row>
    <row r="494" spans="1:3">
      <c r="A494" t="s">
        <v>1316</v>
      </c>
      <c r="B494" s="6">
        <v>58</v>
      </c>
      <c r="C494" s="8">
        <v>1</v>
      </c>
    </row>
    <row r="495" spans="1:3">
      <c r="A495" t="s">
        <v>328</v>
      </c>
      <c r="B495" s="6">
        <v>57.5</v>
      </c>
      <c r="C495" s="8">
        <v>2</v>
      </c>
    </row>
    <row r="496" spans="1:3">
      <c r="A496" t="s">
        <v>1567</v>
      </c>
      <c r="B496" s="6">
        <v>57</v>
      </c>
      <c r="C496" s="8">
        <v>1</v>
      </c>
    </row>
    <row r="497" spans="1:3">
      <c r="A497" t="s">
        <v>1152</v>
      </c>
      <c r="B497" s="6">
        <v>57</v>
      </c>
      <c r="C497" s="8">
        <v>1</v>
      </c>
    </row>
    <row r="498" spans="1:3">
      <c r="A498" t="s">
        <v>684</v>
      </c>
      <c r="B498" s="6">
        <v>57</v>
      </c>
      <c r="C498" s="8">
        <v>1</v>
      </c>
    </row>
    <row r="499" spans="1:3">
      <c r="A499" t="s">
        <v>680</v>
      </c>
      <c r="B499" s="6">
        <v>57</v>
      </c>
      <c r="C499" s="8">
        <v>3</v>
      </c>
    </row>
    <row r="500" spans="1:3">
      <c r="A500" t="s">
        <v>1563</v>
      </c>
      <c r="B500" s="6">
        <v>57</v>
      </c>
      <c r="C500" s="8">
        <v>1</v>
      </c>
    </row>
    <row r="501" spans="1:3">
      <c r="A501" t="s">
        <v>360</v>
      </c>
      <c r="B501" s="6">
        <v>57</v>
      </c>
      <c r="C501" s="8">
        <v>1</v>
      </c>
    </row>
    <row r="502" spans="1:3">
      <c r="A502" t="s">
        <v>950</v>
      </c>
      <c r="B502" s="6">
        <v>57</v>
      </c>
      <c r="C502" s="8">
        <v>1</v>
      </c>
    </row>
    <row r="503" spans="1:3">
      <c r="A503" t="s">
        <v>1310</v>
      </c>
      <c r="B503" s="6">
        <v>57</v>
      </c>
      <c r="C503" s="8">
        <v>1</v>
      </c>
    </row>
    <row r="504" spans="1:3">
      <c r="A504" t="s">
        <v>1608</v>
      </c>
      <c r="B504" s="6">
        <v>57</v>
      </c>
      <c r="C504" s="8">
        <v>1</v>
      </c>
    </row>
    <row r="505" spans="1:3">
      <c r="A505" t="s">
        <v>668</v>
      </c>
      <c r="B505" s="6">
        <v>56</v>
      </c>
      <c r="C505" s="8">
        <v>1</v>
      </c>
    </row>
    <row r="506" spans="1:3">
      <c r="A506" t="s">
        <v>506</v>
      </c>
      <c r="B506" s="6">
        <v>56</v>
      </c>
      <c r="C506" s="8">
        <v>1</v>
      </c>
    </row>
    <row r="507" spans="1:3">
      <c r="A507" t="s">
        <v>339</v>
      </c>
      <c r="B507" s="6">
        <v>56</v>
      </c>
      <c r="C507" s="8">
        <v>1</v>
      </c>
    </row>
    <row r="508" spans="1:3">
      <c r="A508" t="s">
        <v>385</v>
      </c>
      <c r="B508" s="6">
        <v>56</v>
      </c>
      <c r="C508" s="8">
        <v>1</v>
      </c>
    </row>
    <row r="509" spans="1:3">
      <c r="A509" t="s">
        <v>113</v>
      </c>
      <c r="B509" s="6">
        <v>56</v>
      </c>
      <c r="C509" s="8">
        <v>1</v>
      </c>
    </row>
    <row r="510" spans="1:3">
      <c r="A510" t="s">
        <v>1435</v>
      </c>
      <c r="B510" s="6">
        <v>56</v>
      </c>
      <c r="C510" s="8">
        <v>1</v>
      </c>
    </row>
    <row r="511" spans="1:3">
      <c r="A511" t="s">
        <v>201</v>
      </c>
      <c r="B511" s="6">
        <v>56</v>
      </c>
      <c r="C511" s="8">
        <v>1</v>
      </c>
    </row>
    <row r="512" spans="1:3">
      <c r="A512" t="s">
        <v>1455</v>
      </c>
      <c r="B512" s="6">
        <v>56</v>
      </c>
      <c r="C512" s="8">
        <v>1</v>
      </c>
    </row>
    <row r="513" spans="1:3">
      <c r="A513" t="s">
        <v>974</v>
      </c>
      <c r="B513" s="6">
        <v>56</v>
      </c>
      <c r="C513" s="8">
        <v>1</v>
      </c>
    </row>
    <row r="514" spans="1:3">
      <c r="A514" t="s">
        <v>147</v>
      </c>
      <c r="B514" s="6">
        <v>56</v>
      </c>
      <c r="C514" s="8">
        <v>1</v>
      </c>
    </row>
    <row r="515" spans="1:3">
      <c r="A515" t="s">
        <v>1295</v>
      </c>
      <c r="B515" s="6">
        <v>56</v>
      </c>
      <c r="C515" s="8">
        <v>1</v>
      </c>
    </row>
    <row r="516" spans="1:3">
      <c r="A516" t="s">
        <v>925</v>
      </c>
      <c r="B516" s="6">
        <v>56</v>
      </c>
      <c r="C516" s="8">
        <v>1</v>
      </c>
    </row>
    <row r="517" spans="1:3">
      <c r="A517" t="s">
        <v>109</v>
      </c>
      <c r="B517" s="6">
        <v>56</v>
      </c>
      <c r="C517" s="8">
        <v>1</v>
      </c>
    </row>
    <row r="518" spans="1:3">
      <c r="A518" t="s">
        <v>199</v>
      </c>
      <c r="B518" s="6">
        <v>56</v>
      </c>
      <c r="C518" s="8">
        <v>1</v>
      </c>
    </row>
    <row r="519" spans="1:3">
      <c r="A519" t="s">
        <v>268</v>
      </c>
      <c r="B519" s="6">
        <v>56</v>
      </c>
      <c r="C519" s="8">
        <v>1</v>
      </c>
    </row>
    <row r="520" spans="1:3">
      <c r="A520" t="s">
        <v>1594</v>
      </c>
      <c r="B520" s="6">
        <v>55.5</v>
      </c>
      <c r="C520" s="8">
        <v>2</v>
      </c>
    </row>
    <row r="521" spans="1:3">
      <c r="A521" t="s">
        <v>665</v>
      </c>
      <c r="B521" s="6">
        <v>55.5</v>
      </c>
      <c r="C521" s="8">
        <v>2</v>
      </c>
    </row>
    <row r="522" spans="1:3">
      <c r="A522" t="s">
        <v>351</v>
      </c>
      <c r="B522" s="6">
        <v>55.5</v>
      </c>
      <c r="C522" s="8">
        <v>2</v>
      </c>
    </row>
    <row r="523" spans="1:3">
      <c r="A523" t="s">
        <v>631</v>
      </c>
      <c r="B523" s="6">
        <v>55</v>
      </c>
      <c r="C523" s="8">
        <v>1</v>
      </c>
    </row>
    <row r="524" spans="1:3">
      <c r="A524" t="s">
        <v>1344</v>
      </c>
      <c r="B524" s="6">
        <v>55</v>
      </c>
      <c r="C524" s="8">
        <v>1</v>
      </c>
    </row>
    <row r="525" spans="1:3">
      <c r="A525" t="s">
        <v>35</v>
      </c>
      <c r="B525" s="6">
        <v>55</v>
      </c>
      <c r="C525" s="8">
        <v>1</v>
      </c>
    </row>
    <row r="526" spans="1:3">
      <c r="A526" t="s">
        <v>1597</v>
      </c>
      <c r="B526" s="6">
        <v>55</v>
      </c>
      <c r="C526" s="8">
        <v>2</v>
      </c>
    </row>
    <row r="527" spans="1:3">
      <c r="A527" t="s">
        <v>1109</v>
      </c>
      <c r="B527" s="6">
        <v>55</v>
      </c>
      <c r="C527" s="8">
        <v>1</v>
      </c>
    </row>
    <row r="528" spans="1:3">
      <c r="A528" t="s">
        <v>1497</v>
      </c>
      <c r="B528" s="6">
        <v>55</v>
      </c>
      <c r="C528" s="8">
        <v>1</v>
      </c>
    </row>
    <row r="529" spans="1:3">
      <c r="A529" t="s">
        <v>613</v>
      </c>
      <c r="B529" s="6">
        <v>54.666666666666664</v>
      </c>
      <c r="C529" s="8">
        <v>3</v>
      </c>
    </row>
    <row r="530" spans="1:3">
      <c r="A530" t="s">
        <v>300</v>
      </c>
      <c r="B530" s="6">
        <v>54</v>
      </c>
      <c r="C530" s="8">
        <v>1</v>
      </c>
    </row>
    <row r="531" spans="1:3">
      <c r="A531" t="s">
        <v>213</v>
      </c>
      <c r="B531" s="6">
        <v>54</v>
      </c>
      <c r="C531" s="8">
        <v>1</v>
      </c>
    </row>
    <row r="532" spans="1:3">
      <c r="A532" t="s">
        <v>1602</v>
      </c>
      <c r="B532" s="6">
        <v>54</v>
      </c>
      <c r="C532" s="8">
        <v>1</v>
      </c>
    </row>
    <row r="533" spans="1:3">
      <c r="A533" t="s">
        <v>354</v>
      </c>
      <c r="B533" s="6">
        <v>54</v>
      </c>
      <c r="C533" s="8">
        <v>1</v>
      </c>
    </row>
    <row r="534" spans="1:3">
      <c r="A534" t="s">
        <v>362</v>
      </c>
      <c r="B534" s="6">
        <v>54</v>
      </c>
      <c r="C534" s="8">
        <v>1</v>
      </c>
    </row>
    <row r="535" spans="1:3">
      <c r="A535" t="s">
        <v>517</v>
      </c>
      <c r="B535" s="6">
        <v>54</v>
      </c>
      <c r="C535" s="8">
        <v>1</v>
      </c>
    </row>
    <row r="536" spans="1:3">
      <c r="A536" t="s">
        <v>780</v>
      </c>
      <c r="B536" s="6">
        <v>53.916666666666664</v>
      </c>
      <c r="C536" s="8">
        <v>12</v>
      </c>
    </row>
    <row r="537" spans="1:3">
      <c r="A537" t="s">
        <v>205</v>
      </c>
      <c r="B537" s="6">
        <v>53.666666666666664</v>
      </c>
      <c r="C537" s="8">
        <v>3</v>
      </c>
    </row>
    <row r="538" spans="1:3">
      <c r="A538" t="s">
        <v>379</v>
      </c>
      <c r="B538" s="6">
        <v>53</v>
      </c>
      <c r="C538" s="8">
        <v>1</v>
      </c>
    </row>
    <row r="539" spans="1:3">
      <c r="A539" t="s">
        <v>1132</v>
      </c>
      <c r="B539" s="6">
        <v>53</v>
      </c>
      <c r="C539" s="8">
        <v>1</v>
      </c>
    </row>
    <row r="540" spans="1:3">
      <c r="A540" t="s">
        <v>939</v>
      </c>
      <c r="B540" s="6">
        <v>53</v>
      </c>
      <c r="C540" s="8">
        <v>1</v>
      </c>
    </row>
    <row r="541" spans="1:3">
      <c r="A541" t="s">
        <v>1254</v>
      </c>
      <c r="B541" s="6">
        <v>53</v>
      </c>
      <c r="C541" s="8">
        <v>1</v>
      </c>
    </row>
    <row r="542" spans="1:3">
      <c r="A542" t="s">
        <v>826</v>
      </c>
      <c r="B542" s="6">
        <v>53</v>
      </c>
      <c r="C542" s="8">
        <v>1</v>
      </c>
    </row>
    <row r="543" spans="1:3">
      <c r="A543" t="s">
        <v>656</v>
      </c>
      <c r="B543" s="6">
        <v>53</v>
      </c>
      <c r="C543" s="8">
        <v>1</v>
      </c>
    </row>
    <row r="544" spans="1:3">
      <c r="A544" t="s">
        <v>192</v>
      </c>
      <c r="B544" s="6">
        <v>53</v>
      </c>
      <c r="C544" s="8">
        <v>1</v>
      </c>
    </row>
    <row r="545" spans="1:3">
      <c r="A545" t="s">
        <v>347</v>
      </c>
      <c r="B545" s="6">
        <v>53</v>
      </c>
      <c r="C545" s="8">
        <v>1</v>
      </c>
    </row>
    <row r="546" spans="1:3">
      <c r="A546" t="s">
        <v>886</v>
      </c>
      <c r="B546" s="6">
        <v>53</v>
      </c>
      <c r="C546" s="8">
        <v>1</v>
      </c>
    </row>
    <row r="547" spans="1:3">
      <c r="A547" t="s">
        <v>1069</v>
      </c>
      <c r="B547" s="6">
        <v>53</v>
      </c>
      <c r="C547" s="8">
        <v>1</v>
      </c>
    </row>
    <row r="548" spans="1:3">
      <c r="A548" t="s">
        <v>629</v>
      </c>
      <c r="B548" s="6">
        <v>53</v>
      </c>
      <c r="C548" s="8">
        <v>1</v>
      </c>
    </row>
    <row r="549" spans="1:3">
      <c r="A549" t="s">
        <v>640</v>
      </c>
      <c r="B549" s="6">
        <v>53</v>
      </c>
      <c r="C549" s="8">
        <v>1</v>
      </c>
    </row>
    <row r="550" spans="1:3">
      <c r="A550" t="s">
        <v>59</v>
      </c>
      <c r="B550" s="6">
        <v>52</v>
      </c>
      <c r="C550" s="8">
        <v>1</v>
      </c>
    </row>
    <row r="551" spans="1:3">
      <c r="A551" t="s">
        <v>1084</v>
      </c>
      <c r="B551" s="6">
        <v>52</v>
      </c>
      <c r="C551" s="8">
        <v>1</v>
      </c>
    </row>
    <row r="552" spans="1:3">
      <c r="A552" t="s">
        <v>1139</v>
      </c>
      <c r="B552" s="6">
        <v>52</v>
      </c>
      <c r="C552" s="8">
        <v>1</v>
      </c>
    </row>
    <row r="553" spans="1:3">
      <c r="A553" t="s">
        <v>89</v>
      </c>
      <c r="B553" s="6">
        <v>52</v>
      </c>
      <c r="C553" s="8">
        <v>1</v>
      </c>
    </row>
    <row r="554" spans="1:3">
      <c r="A554" t="s">
        <v>259</v>
      </c>
      <c r="B554" s="6">
        <v>52</v>
      </c>
      <c r="C554" s="8">
        <v>1</v>
      </c>
    </row>
    <row r="555" spans="1:3">
      <c r="A555" t="s">
        <v>1556</v>
      </c>
      <c r="B555" s="6">
        <v>52</v>
      </c>
      <c r="C555" s="8">
        <v>1</v>
      </c>
    </row>
    <row r="556" spans="1:3">
      <c r="A556" t="s">
        <v>814</v>
      </c>
      <c r="B556" s="6">
        <v>51</v>
      </c>
      <c r="C556" s="8">
        <v>1</v>
      </c>
    </row>
    <row r="557" spans="1:3">
      <c r="A557" t="s">
        <v>474</v>
      </c>
      <c r="B557" s="6">
        <v>51</v>
      </c>
      <c r="C557" s="8">
        <v>1</v>
      </c>
    </row>
    <row r="558" spans="1:3">
      <c r="A558" t="s">
        <v>154</v>
      </c>
      <c r="B558" s="6">
        <v>51</v>
      </c>
      <c r="C558" s="8">
        <v>1</v>
      </c>
    </row>
    <row r="559" spans="1:3">
      <c r="A559" t="s">
        <v>1128</v>
      </c>
      <c r="B559" s="6">
        <v>51</v>
      </c>
      <c r="C559" s="8">
        <v>1</v>
      </c>
    </row>
    <row r="560" spans="1:3">
      <c r="A560" t="s">
        <v>30</v>
      </c>
      <c r="B560" s="6">
        <v>51</v>
      </c>
      <c r="C560" s="8">
        <v>1</v>
      </c>
    </row>
    <row r="561" spans="1:3">
      <c r="A561" t="s">
        <v>57</v>
      </c>
      <c r="B561" s="6">
        <v>51</v>
      </c>
      <c r="C561" s="8">
        <v>1</v>
      </c>
    </row>
    <row r="562" spans="1:3">
      <c r="A562" t="s">
        <v>820</v>
      </c>
      <c r="B562" s="6">
        <v>51</v>
      </c>
      <c r="C562" s="8">
        <v>1</v>
      </c>
    </row>
    <row r="563" spans="1:3">
      <c r="A563" t="s">
        <v>368</v>
      </c>
      <c r="B563" s="6">
        <v>50</v>
      </c>
      <c r="C563" s="8">
        <v>1</v>
      </c>
    </row>
    <row r="564" spans="1:3">
      <c r="A564" t="s">
        <v>1350</v>
      </c>
      <c r="B564" s="6">
        <v>50</v>
      </c>
      <c r="C564" s="8">
        <v>1</v>
      </c>
    </row>
    <row r="565" spans="1:3">
      <c r="A565" t="s">
        <v>611</v>
      </c>
      <c r="B565" s="6">
        <v>50</v>
      </c>
      <c r="C565" s="8">
        <v>1</v>
      </c>
    </row>
    <row r="566" spans="1:3">
      <c r="A566" t="s">
        <v>180</v>
      </c>
      <c r="B566" s="6">
        <v>50</v>
      </c>
      <c r="C566" s="8">
        <v>1</v>
      </c>
    </row>
    <row r="567" spans="1:3">
      <c r="A567" t="s">
        <v>298</v>
      </c>
      <c r="B567" s="6">
        <v>50</v>
      </c>
      <c r="C567" s="8">
        <v>1</v>
      </c>
    </row>
    <row r="568" spans="1:3">
      <c r="A568" t="s">
        <v>463</v>
      </c>
      <c r="B568" s="6">
        <v>50</v>
      </c>
      <c r="C568" s="8">
        <v>1</v>
      </c>
    </row>
    <row r="569" spans="1:3">
      <c r="A569" t="s">
        <v>739</v>
      </c>
      <c r="B569" s="6">
        <v>49</v>
      </c>
      <c r="C569" s="8">
        <v>1</v>
      </c>
    </row>
    <row r="570" spans="1:3">
      <c r="A570" t="s">
        <v>893</v>
      </c>
      <c r="B570" s="6">
        <v>49</v>
      </c>
      <c r="C570" s="8">
        <v>1</v>
      </c>
    </row>
    <row r="571" spans="1:3">
      <c r="A571" t="s">
        <v>160</v>
      </c>
      <c r="B571" s="6">
        <v>49</v>
      </c>
      <c r="C571" s="8">
        <v>1</v>
      </c>
    </row>
    <row r="572" spans="1:3">
      <c r="A572" t="s">
        <v>1571</v>
      </c>
      <c r="B572" s="6">
        <v>49</v>
      </c>
      <c r="C572" s="8">
        <v>1</v>
      </c>
    </row>
    <row r="573" spans="1:3">
      <c r="A573" t="s">
        <v>172</v>
      </c>
      <c r="B573" s="6">
        <v>49</v>
      </c>
      <c r="C573" s="8">
        <v>3</v>
      </c>
    </row>
    <row r="574" spans="1:3">
      <c r="A574" t="s">
        <v>197</v>
      </c>
      <c r="B574" s="6">
        <v>49</v>
      </c>
      <c r="C574" s="8">
        <v>1</v>
      </c>
    </row>
    <row r="575" spans="1:3">
      <c r="A575" t="s">
        <v>625</v>
      </c>
      <c r="B575" s="6">
        <v>49</v>
      </c>
      <c r="C575" s="8">
        <v>1</v>
      </c>
    </row>
    <row r="576" spans="1:3">
      <c r="A576" t="s">
        <v>890</v>
      </c>
      <c r="B576" s="6">
        <v>48.5</v>
      </c>
      <c r="C576" s="8">
        <v>2</v>
      </c>
    </row>
    <row r="577" spans="1:3">
      <c r="A577" t="s">
        <v>170</v>
      </c>
      <c r="B577" s="6">
        <v>48</v>
      </c>
      <c r="C577" s="8">
        <v>1</v>
      </c>
    </row>
    <row r="578" spans="1:3">
      <c r="A578" t="s">
        <v>1592</v>
      </c>
      <c r="B578" s="6">
        <v>48</v>
      </c>
      <c r="C578" s="8">
        <v>1</v>
      </c>
    </row>
    <row r="579" spans="1:3">
      <c r="A579" t="s">
        <v>77</v>
      </c>
      <c r="B579" s="6">
        <v>48</v>
      </c>
      <c r="C579" s="8">
        <v>1</v>
      </c>
    </row>
    <row r="580" spans="1:3">
      <c r="A580" t="s">
        <v>370</v>
      </c>
      <c r="B580" s="6">
        <v>48</v>
      </c>
      <c r="C580" s="8">
        <v>1</v>
      </c>
    </row>
    <row r="581" spans="1:3">
      <c r="A581" t="s">
        <v>543</v>
      </c>
      <c r="B581" s="6">
        <v>48</v>
      </c>
      <c r="C581" s="8">
        <v>1</v>
      </c>
    </row>
    <row r="582" spans="1:3">
      <c r="A582" t="s">
        <v>1499</v>
      </c>
      <c r="B582" s="6">
        <v>47</v>
      </c>
      <c r="C582" s="8">
        <v>1</v>
      </c>
    </row>
    <row r="583" spans="1:3">
      <c r="A583" t="s">
        <v>292</v>
      </c>
      <c r="B583" s="6">
        <v>47</v>
      </c>
      <c r="C583" s="8">
        <v>1</v>
      </c>
    </row>
    <row r="584" spans="1:3">
      <c r="A584" t="s">
        <v>731</v>
      </c>
      <c r="B584" s="6">
        <v>46.5</v>
      </c>
      <c r="C584" s="8">
        <v>2</v>
      </c>
    </row>
    <row r="585" spans="1:3">
      <c r="A585" t="s">
        <v>714</v>
      </c>
      <c r="B585" s="6">
        <v>46</v>
      </c>
      <c r="C585" s="8">
        <v>1</v>
      </c>
    </row>
    <row r="586" spans="1:3">
      <c r="A586" t="s">
        <v>1154</v>
      </c>
      <c r="B586" s="6">
        <v>46</v>
      </c>
      <c r="C586" s="8">
        <v>1</v>
      </c>
    </row>
    <row r="587" spans="1:3">
      <c r="A587" t="s">
        <v>1047</v>
      </c>
      <c r="B587" s="6">
        <v>46</v>
      </c>
      <c r="C587" s="8">
        <v>1</v>
      </c>
    </row>
    <row r="588" spans="1:3">
      <c r="A588" t="s">
        <v>514</v>
      </c>
      <c r="B588" s="6">
        <v>45.5</v>
      </c>
      <c r="C588" s="8">
        <v>2</v>
      </c>
    </row>
    <row r="589" spans="1:3">
      <c r="A589" t="s">
        <v>331</v>
      </c>
      <c r="B589" s="6">
        <v>45</v>
      </c>
      <c r="C589" s="8">
        <v>2</v>
      </c>
    </row>
    <row r="590" spans="1:3">
      <c r="A590" t="s">
        <v>1275</v>
      </c>
      <c r="B590" s="6">
        <v>45</v>
      </c>
      <c r="C590" s="8">
        <v>1</v>
      </c>
    </row>
    <row r="591" spans="1:3">
      <c r="A591" t="s">
        <v>282</v>
      </c>
      <c r="B591" s="6">
        <v>45</v>
      </c>
      <c r="C591" s="8">
        <v>1</v>
      </c>
    </row>
    <row r="592" spans="1:3">
      <c r="A592" t="s">
        <v>1086</v>
      </c>
      <c r="B592" s="6">
        <v>45</v>
      </c>
      <c r="C592" s="8">
        <v>1</v>
      </c>
    </row>
    <row r="593" spans="1:3">
      <c r="A593" t="s">
        <v>1322</v>
      </c>
      <c r="B593" s="6">
        <v>45</v>
      </c>
      <c r="C593" s="8">
        <v>1</v>
      </c>
    </row>
    <row r="594" spans="1:3">
      <c r="A594" t="s">
        <v>522</v>
      </c>
      <c r="B594" s="6">
        <v>45</v>
      </c>
      <c r="C594" s="8">
        <v>1</v>
      </c>
    </row>
    <row r="595" spans="1:3">
      <c r="A595" t="s">
        <v>1028</v>
      </c>
      <c r="B595" s="6">
        <v>45</v>
      </c>
      <c r="C595" s="8">
        <v>1</v>
      </c>
    </row>
    <row r="596" spans="1:3">
      <c r="A596" t="s">
        <v>320</v>
      </c>
      <c r="B596" s="6">
        <v>45</v>
      </c>
      <c r="C596" s="8">
        <v>1</v>
      </c>
    </row>
    <row r="597" spans="1:3">
      <c r="A597" t="s">
        <v>856</v>
      </c>
      <c r="B597" s="6">
        <v>45</v>
      </c>
      <c r="C597" s="8">
        <v>1</v>
      </c>
    </row>
    <row r="598" spans="1:3">
      <c r="A598" t="s">
        <v>1540</v>
      </c>
      <c r="B598" s="6">
        <v>45</v>
      </c>
      <c r="C598" s="8">
        <v>2</v>
      </c>
    </row>
    <row r="599" spans="1:3">
      <c r="A599" t="s">
        <v>459</v>
      </c>
      <c r="B599" s="6">
        <v>44</v>
      </c>
      <c r="C599" s="8">
        <v>1</v>
      </c>
    </row>
    <row r="600" spans="1:3">
      <c r="A600" t="s">
        <v>1381</v>
      </c>
      <c r="B600" s="6">
        <v>44</v>
      </c>
      <c r="C600" s="8">
        <v>1</v>
      </c>
    </row>
    <row r="601" spans="1:3">
      <c r="A601" t="s">
        <v>990</v>
      </c>
      <c r="B601" s="6">
        <v>44</v>
      </c>
      <c r="C601" s="8">
        <v>1</v>
      </c>
    </row>
    <row r="602" spans="1:3">
      <c r="A602" t="s">
        <v>1480</v>
      </c>
      <c r="B602" s="6">
        <v>44</v>
      </c>
      <c r="C602" s="8">
        <v>1</v>
      </c>
    </row>
    <row r="603" spans="1:3">
      <c r="A603" t="s">
        <v>66</v>
      </c>
      <c r="B603" s="6">
        <v>44</v>
      </c>
      <c r="C603" s="8">
        <v>1</v>
      </c>
    </row>
    <row r="604" spans="1:3">
      <c r="A604" t="s">
        <v>1194</v>
      </c>
      <c r="B604" s="6">
        <v>44</v>
      </c>
      <c r="C604" s="8">
        <v>1</v>
      </c>
    </row>
    <row r="605" spans="1:3">
      <c r="A605" t="s">
        <v>1011</v>
      </c>
      <c r="B605" s="6">
        <v>44</v>
      </c>
      <c r="C605" s="8">
        <v>2</v>
      </c>
    </row>
    <row r="606" spans="1:3">
      <c r="A606" t="s">
        <v>964</v>
      </c>
      <c r="B606" s="6">
        <v>44</v>
      </c>
      <c r="C606" s="8">
        <v>1</v>
      </c>
    </row>
    <row r="607" spans="1:3">
      <c r="A607" t="s">
        <v>694</v>
      </c>
      <c r="B607" s="6">
        <v>44</v>
      </c>
      <c r="C607" s="8">
        <v>1</v>
      </c>
    </row>
    <row r="608" spans="1:3">
      <c r="A608" t="s">
        <v>824</v>
      </c>
      <c r="B608" s="6">
        <v>43</v>
      </c>
      <c r="C608" s="8">
        <v>1</v>
      </c>
    </row>
    <row r="609" spans="1:3">
      <c r="A609" t="s">
        <v>427</v>
      </c>
      <c r="B609" s="6">
        <v>43</v>
      </c>
      <c r="C609" s="8">
        <v>1</v>
      </c>
    </row>
    <row r="610" spans="1:3">
      <c r="A610" t="s">
        <v>1245</v>
      </c>
      <c r="B610" s="6">
        <v>42</v>
      </c>
      <c r="C610" s="8">
        <v>1</v>
      </c>
    </row>
    <row r="611" spans="1:3">
      <c r="A611" t="s">
        <v>255</v>
      </c>
      <c r="B611" s="6">
        <v>42</v>
      </c>
      <c r="C611" s="8">
        <v>1</v>
      </c>
    </row>
    <row r="612" spans="1:3">
      <c r="A612" t="s">
        <v>1082</v>
      </c>
      <c r="B612" s="6">
        <v>42</v>
      </c>
      <c r="C612" s="8">
        <v>1</v>
      </c>
    </row>
    <row r="613" spans="1:3">
      <c r="A613" t="s">
        <v>1612</v>
      </c>
      <c r="B613" s="6">
        <v>42</v>
      </c>
      <c r="C613" s="8">
        <v>1</v>
      </c>
    </row>
    <row r="614" spans="1:3">
      <c r="A614" t="s">
        <v>702</v>
      </c>
      <c r="B614" s="6">
        <v>41</v>
      </c>
      <c r="C614" s="8">
        <v>1</v>
      </c>
    </row>
    <row r="615" spans="1:3">
      <c r="A615" t="s">
        <v>1091</v>
      </c>
      <c r="B615" s="6">
        <v>41</v>
      </c>
      <c r="C615" s="8">
        <v>1</v>
      </c>
    </row>
    <row r="616" spans="1:3">
      <c r="A616" t="s">
        <v>948</v>
      </c>
      <c r="B616" s="6">
        <v>40</v>
      </c>
      <c r="C616" s="8">
        <v>1</v>
      </c>
    </row>
    <row r="617" spans="1:3">
      <c r="A617" t="s">
        <v>1038</v>
      </c>
      <c r="B617" s="6">
        <v>40</v>
      </c>
      <c r="C617" s="8">
        <v>1</v>
      </c>
    </row>
    <row r="618" spans="1:3">
      <c r="A618" t="s">
        <v>729</v>
      </c>
      <c r="B618" s="6">
        <v>40</v>
      </c>
      <c r="C618" s="8">
        <v>1</v>
      </c>
    </row>
    <row r="619" spans="1:3">
      <c r="A619" t="s">
        <v>723</v>
      </c>
      <c r="B619" s="6">
        <v>40</v>
      </c>
      <c r="C619" s="8">
        <v>1</v>
      </c>
    </row>
    <row r="620" spans="1:3">
      <c r="A620" t="s">
        <v>582</v>
      </c>
      <c r="B620" s="6">
        <v>40</v>
      </c>
      <c r="C620" s="8">
        <v>1</v>
      </c>
    </row>
    <row r="621" spans="1:3">
      <c r="A621" t="s">
        <v>1198</v>
      </c>
      <c r="B621" s="6">
        <v>39</v>
      </c>
      <c r="C621" s="8">
        <v>1</v>
      </c>
    </row>
    <row r="622" spans="1:3">
      <c r="A622" t="s">
        <v>1266</v>
      </c>
      <c r="B622" s="6">
        <v>39</v>
      </c>
      <c r="C622" s="8">
        <v>1</v>
      </c>
    </row>
    <row r="623" spans="1:3">
      <c r="A623" t="s">
        <v>1387</v>
      </c>
      <c r="B623" s="6">
        <v>38</v>
      </c>
      <c r="C623" s="8">
        <v>1</v>
      </c>
    </row>
    <row r="624" spans="1:3">
      <c r="A624" t="s">
        <v>1148</v>
      </c>
      <c r="B624" s="6">
        <v>37</v>
      </c>
      <c r="C624" s="8">
        <v>1</v>
      </c>
    </row>
    <row r="625" spans="1:3">
      <c r="A625" t="s">
        <v>1526</v>
      </c>
      <c r="B625" s="6">
        <v>37</v>
      </c>
      <c r="C625" s="8">
        <v>1</v>
      </c>
    </row>
    <row r="626" spans="1:3">
      <c r="A626" t="s">
        <v>1543</v>
      </c>
      <c r="B626" s="6">
        <v>37</v>
      </c>
      <c r="C626" s="8">
        <v>1</v>
      </c>
    </row>
    <row r="627" spans="1:3">
      <c r="A627" t="s">
        <v>1389</v>
      </c>
      <c r="B627" s="6">
        <v>37</v>
      </c>
      <c r="C627" s="8">
        <v>1</v>
      </c>
    </row>
    <row r="628" spans="1:3">
      <c r="A628" t="s">
        <v>1379</v>
      </c>
      <c r="B628" s="6">
        <v>36</v>
      </c>
      <c r="C628" s="8">
        <v>1</v>
      </c>
    </row>
    <row r="629" spans="1:3">
      <c r="A629" t="s">
        <v>801</v>
      </c>
      <c r="B629" s="6">
        <v>36</v>
      </c>
      <c r="C629" s="8">
        <v>1</v>
      </c>
    </row>
    <row r="630" spans="1:3">
      <c r="A630" t="s">
        <v>584</v>
      </c>
      <c r="B630" s="6">
        <v>36</v>
      </c>
      <c r="C630" s="8">
        <v>1</v>
      </c>
    </row>
    <row r="631" spans="1:3">
      <c r="A631" t="s">
        <v>1130</v>
      </c>
      <c r="B631" s="6">
        <v>35</v>
      </c>
      <c r="C631" s="8">
        <v>1</v>
      </c>
    </row>
    <row r="632" spans="1:3">
      <c r="A632" t="s">
        <v>1014</v>
      </c>
      <c r="B632" s="6">
        <v>35</v>
      </c>
      <c r="C632" s="8">
        <v>1</v>
      </c>
    </row>
    <row r="633" spans="1:3">
      <c r="A633" t="s">
        <v>1095</v>
      </c>
      <c r="B633" s="6">
        <v>35</v>
      </c>
      <c r="C633" s="8">
        <v>1</v>
      </c>
    </row>
    <row r="634" spans="1:3">
      <c r="A634" t="s">
        <v>247</v>
      </c>
      <c r="B634" s="6">
        <v>35</v>
      </c>
      <c r="C634" s="8">
        <v>1</v>
      </c>
    </row>
    <row r="635" spans="1:3">
      <c r="A635" t="s">
        <v>822</v>
      </c>
      <c r="B635" s="6">
        <v>34</v>
      </c>
      <c r="C635" s="8">
        <v>1</v>
      </c>
    </row>
    <row r="636" spans="1:3">
      <c r="A636" t="s">
        <v>774</v>
      </c>
      <c r="B636" s="6">
        <v>34</v>
      </c>
      <c r="C636" s="8">
        <v>1</v>
      </c>
    </row>
    <row r="637" spans="1:3">
      <c r="A637" t="s">
        <v>349</v>
      </c>
      <c r="B637" s="6">
        <v>34</v>
      </c>
      <c r="C637" s="8">
        <v>1</v>
      </c>
    </row>
    <row r="638" spans="1:3">
      <c r="A638" t="s">
        <v>865</v>
      </c>
      <c r="B638" s="6">
        <v>33</v>
      </c>
      <c r="C638" s="8">
        <v>1</v>
      </c>
    </row>
    <row r="639" spans="1:3">
      <c r="A639" t="s">
        <v>795</v>
      </c>
      <c r="B639" s="6">
        <v>33</v>
      </c>
      <c r="C639" s="8">
        <v>1</v>
      </c>
    </row>
    <row r="640" spans="1:3">
      <c r="A640" t="s">
        <v>1192</v>
      </c>
      <c r="B640" s="6">
        <v>31</v>
      </c>
      <c r="C640" s="8">
        <v>1</v>
      </c>
    </row>
    <row r="641" spans="1:3">
      <c r="A641" t="s">
        <v>1166</v>
      </c>
      <c r="B641" s="6">
        <v>31</v>
      </c>
      <c r="C641" s="8">
        <v>1</v>
      </c>
    </row>
    <row r="642" spans="1:3">
      <c r="A642" t="s">
        <v>1150</v>
      </c>
      <c r="B642" s="6">
        <v>31</v>
      </c>
      <c r="C642" s="8">
        <v>1</v>
      </c>
    </row>
    <row r="643" spans="1:3">
      <c r="A643" t="s">
        <v>923</v>
      </c>
      <c r="B643" s="6">
        <v>31</v>
      </c>
      <c r="C643" s="8">
        <v>1</v>
      </c>
    </row>
    <row r="644" spans="1:3">
      <c r="A644" t="s">
        <v>927</v>
      </c>
      <c r="B644" s="6">
        <v>29</v>
      </c>
      <c r="C644" s="8">
        <v>1</v>
      </c>
    </row>
    <row r="645" spans="1:3">
      <c r="A645" t="s">
        <v>1225</v>
      </c>
      <c r="B645" s="6">
        <v>28</v>
      </c>
      <c r="C645" s="8">
        <v>1</v>
      </c>
    </row>
    <row r="646" spans="1:3">
      <c r="A646" t="s">
        <v>907</v>
      </c>
      <c r="B646" s="6">
        <v>28</v>
      </c>
      <c r="C646" s="8">
        <v>1</v>
      </c>
    </row>
    <row r="647" spans="1:3">
      <c r="A647" t="s">
        <v>903</v>
      </c>
      <c r="B647" s="6">
        <v>27</v>
      </c>
      <c r="C647" s="8">
        <v>1</v>
      </c>
    </row>
    <row r="648" spans="1:3">
      <c r="A648" t="s">
        <v>818</v>
      </c>
      <c r="B648" s="6">
        <v>23</v>
      </c>
      <c r="C648" s="8">
        <v>1</v>
      </c>
    </row>
    <row r="649" spans="1:3">
      <c r="A649" t="s">
        <v>1621</v>
      </c>
      <c r="B649" s="6">
        <v>66.969569779643237</v>
      </c>
      <c r="C649" s="8">
        <v>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E9EE8-0446-4F9B-991E-79B50E2FC7F6}">
  <dimension ref="A3:B481"/>
  <sheetViews>
    <sheetView workbookViewId="0">
      <selection activeCell="E30" sqref="E30"/>
    </sheetView>
  </sheetViews>
  <sheetFormatPr defaultRowHeight="15"/>
  <cols>
    <col min="1" max="1" width="15.5703125" bestFit="1" customWidth="1"/>
    <col min="2" max="2" width="19.7109375" style="8" bestFit="1" customWidth="1"/>
  </cols>
  <sheetData>
    <row r="3" spans="1:2">
      <c r="A3" s="7" t="s">
        <v>3</v>
      </c>
      <c r="B3" s="8" t="s">
        <v>1624</v>
      </c>
    </row>
    <row r="4" spans="1:2">
      <c r="A4" s="5">
        <v>10959</v>
      </c>
      <c r="B4" s="8">
        <v>80</v>
      </c>
    </row>
    <row r="5" spans="1:2">
      <c r="A5" s="5">
        <v>15342</v>
      </c>
      <c r="B5" s="8">
        <v>25</v>
      </c>
    </row>
    <row r="6" spans="1:2">
      <c r="A6" s="5">
        <v>17107</v>
      </c>
      <c r="B6" s="8">
        <v>15</v>
      </c>
    </row>
    <row r="7" spans="1:2">
      <c r="A7" s="5">
        <v>18264</v>
      </c>
      <c r="B7" s="8">
        <v>32</v>
      </c>
    </row>
    <row r="8" spans="1:2">
      <c r="A8" s="5">
        <v>18994</v>
      </c>
      <c r="B8" s="8">
        <v>36</v>
      </c>
    </row>
    <row r="9" spans="1:2">
      <c r="A9" s="5">
        <v>20821</v>
      </c>
      <c r="B9" s="8">
        <v>35.5</v>
      </c>
    </row>
    <row r="10" spans="1:2">
      <c r="A10" s="5">
        <v>21186</v>
      </c>
      <c r="B10" s="8">
        <v>48</v>
      </c>
    </row>
    <row r="11" spans="1:2">
      <c r="A11" s="5">
        <v>21551</v>
      </c>
      <c r="B11" s="8">
        <v>36</v>
      </c>
    </row>
    <row r="12" spans="1:2">
      <c r="A12" s="5">
        <v>21870</v>
      </c>
      <c r="B12" s="8">
        <v>24</v>
      </c>
    </row>
    <row r="13" spans="1:2">
      <c r="A13" s="5">
        <v>23298</v>
      </c>
      <c r="B13" s="8">
        <v>60</v>
      </c>
    </row>
    <row r="14" spans="1:2">
      <c r="A14" s="5">
        <v>23337</v>
      </c>
      <c r="B14" s="8">
        <v>76.5</v>
      </c>
    </row>
    <row r="15" spans="1:2">
      <c r="A15" s="5">
        <v>25020</v>
      </c>
      <c r="B15" s="8">
        <v>70</v>
      </c>
    </row>
    <row r="16" spans="1:2">
      <c r="A16" s="5">
        <v>25569</v>
      </c>
      <c r="B16" s="8">
        <v>69</v>
      </c>
    </row>
    <row r="17" spans="1:2">
      <c r="A17" s="5">
        <v>25873</v>
      </c>
      <c r="B17" s="8">
        <v>82</v>
      </c>
    </row>
    <row r="18" spans="1:2">
      <c r="A18" s="5">
        <v>26268</v>
      </c>
      <c r="B18" s="8">
        <v>61</v>
      </c>
    </row>
    <row r="19" spans="1:2">
      <c r="A19" s="5">
        <v>26669</v>
      </c>
      <c r="B19" s="8">
        <v>43</v>
      </c>
    </row>
    <row r="20" spans="1:2">
      <c r="A20" s="5">
        <v>27395</v>
      </c>
      <c r="B20" s="8">
        <v>73</v>
      </c>
    </row>
    <row r="21" spans="1:2">
      <c r="A21" s="5">
        <v>27698</v>
      </c>
      <c r="B21" s="8">
        <v>40</v>
      </c>
    </row>
    <row r="22" spans="1:2">
      <c r="A22" s="5">
        <v>29175</v>
      </c>
      <c r="B22" s="8">
        <v>58</v>
      </c>
    </row>
    <row r="23" spans="1:2">
      <c r="A23" s="5">
        <v>29952</v>
      </c>
      <c r="B23" s="8">
        <v>67</v>
      </c>
    </row>
    <row r="24" spans="1:2">
      <c r="A24" s="5">
        <v>30087</v>
      </c>
      <c r="B24" s="8">
        <v>58</v>
      </c>
    </row>
    <row r="25" spans="1:2">
      <c r="A25" s="5">
        <v>30322</v>
      </c>
      <c r="B25" s="8">
        <v>45</v>
      </c>
    </row>
    <row r="26" spans="1:2">
      <c r="A26" s="5">
        <v>30682</v>
      </c>
      <c r="B26" s="8">
        <v>76</v>
      </c>
    </row>
    <row r="27" spans="1:2">
      <c r="A27" s="5">
        <v>30974</v>
      </c>
      <c r="B27" s="8">
        <v>90</v>
      </c>
    </row>
    <row r="28" spans="1:2">
      <c r="A28" s="5">
        <v>31011</v>
      </c>
      <c r="B28" s="8">
        <v>57</v>
      </c>
    </row>
    <row r="29" spans="1:2">
      <c r="A29" s="5">
        <v>31095</v>
      </c>
      <c r="B29" s="8">
        <v>81</v>
      </c>
    </row>
    <row r="30" spans="1:2">
      <c r="A30" s="5">
        <v>31306</v>
      </c>
      <c r="B30" s="8">
        <v>55</v>
      </c>
    </row>
    <row r="31" spans="1:2">
      <c r="A31" s="5">
        <v>31413</v>
      </c>
      <c r="B31" s="8">
        <v>58</v>
      </c>
    </row>
    <row r="32" spans="1:2">
      <c r="A32" s="5">
        <v>31474</v>
      </c>
      <c r="B32" s="8">
        <v>83</v>
      </c>
    </row>
    <row r="33" spans="1:2">
      <c r="A33" s="5">
        <v>31778</v>
      </c>
      <c r="B33" s="8">
        <v>90</v>
      </c>
    </row>
    <row r="34" spans="1:2">
      <c r="A34" s="5">
        <v>33491</v>
      </c>
      <c r="B34" s="8">
        <v>91</v>
      </c>
    </row>
    <row r="35" spans="1:2">
      <c r="A35" s="5">
        <v>33505</v>
      </c>
      <c r="B35" s="8">
        <v>20</v>
      </c>
    </row>
    <row r="36" spans="1:2">
      <c r="A36" s="5">
        <v>33868</v>
      </c>
      <c r="B36" s="8">
        <v>34</v>
      </c>
    </row>
    <row r="37" spans="1:2">
      <c r="A37" s="5">
        <v>34635</v>
      </c>
      <c r="B37" s="8">
        <v>63</v>
      </c>
    </row>
    <row r="38" spans="1:2">
      <c r="A38" s="5">
        <v>34891</v>
      </c>
      <c r="B38" s="8">
        <v>61</v>
      </c>
    </row>
    <row r="39" spans="1:2">
      <c r="A39" s="5">
        <v>35061</v>
      </c>
      <c r="B39" s="8">
        <v>84</v>
      </c>
    </row>
    <row r="40" spans="1:2">
      <c r="A40" s="5">
        <v>35393</v>
      </c>
      <c r="B40" s="8">
        <v>64</v>
      </c>
    </row>
    <row r="41" spans="1:2">
      <c r="A41" s="5">
        <v>35431</v>
      </c>
      <c r="B41" s="8">
        <v>73</v>
      </c>
    </row>
    <row r="42" spans="1:2">
      <c r="A42" s="5">
        <v>35885</v>
      </c>
      <c r="B42" s="8">
        <v>72</v>
      </c>
    </row>
    <row r="43" spans="1:2">
      <c r="A43" s="5">
        <v>36161</v>
      </c>
      <c r="B43" s="8">
        <v>76.75</v>
      </c>
    </row>
    <row r="44" spans="1:2">
      <c r="A44" s="5">
        <v>36485</v>
      </c>
      <c r="B44" s="8">
        <v>74</v>
      </c>
    </row>
    <row r="45" spans="1:2">
      <c r="A45" s="5">
        <v>36526</v>
      </c>
      <c r="B45" s="8">
        <v>66</v>
      </c>
    </row>
    <row r="46" spans="1:2">
      <c r="A46" s="5">
        <v>36717</v>
      </c>
      <c r="B46" s="8">
        <v>27</v>
      </c>
    </row>
    <row r="47" spans="1:2">
      <c r="A47" s="5">
        <v>36823</v>
      </c>
      <c r="B47" s="8">
        <v>90</v>
      </c>
    </row>
    <row r="48" spans="1:2">
      <c r="A48" s="5">
        <v>36837</v>
      </c>
      <c r="B48" s="8">
        <v>72</v>
      </c>
    </row>
    <row r="49" spans="1:2">
      <c r="A49" s="5">
        <v>37257</v>
      </c>
      <c r="B49" s="8">
        <v>70</v>
      </c>
    </row>
    <row r="50" spans="1:2">
      <c r="A50" s="5">
        <v>37402</v>
      </c>
      <c r="B50" s="8">
        <v>80.5</v>
      </c>
    </row>
    <row r="51" spans="1:2">
      <c r="A51" s="5">
        <v>37473</v>
      </c>
      <c r="B51" s="8">
        <v>44</v>
      </c>
    </row>
    <row r="52" spans="1:2">
      <c r="A52" s="5">
        <v>37704</v>
      </c>
      <c r="B52" s="8">
        <v>86</v>
      </c>
    </row>
    <row r="53" spans="1:2">
      <c r="A53" s="5">
        <v>37887</v>
      </c>
      <c r="B53" s="8">
        <v>93</v>
      </c>
    </row>
    <row r="54" spans="1:2">
      <c r="A54" s="5">
        <v>37987</v>
      </c>
      <c r="B54" s="8">
        <v>63</v>
      </c>
    </row>
    <row r="55" spans="1:2">
      <c r="A55" s="5">
        <v>38111</v>
      </c>
      <c r="B55" s="8">
        <v>70</v>
      </c>
    </row>
    <row r="56" spans="1:2">
      <c r="A56" s="5">
        <v>38181</v>
      </c>
      <c r="B56" s="8">
        <v>80</v>
      </c>
    </row>
    <row r="57" spans="1:2">
      <c r="A57" s="5">
        <v>38615</v>
      </c>
      <c r="B57" s="8">
        <v>88</v>
      </c>
    </row>
    <row r="58" spans="1:2">
      <c r="A58" s="5">
        <v>39192</v>
      </c>
      <c r="B58" s="8">
        <v>85</v>
      </c>
    </row>
    <row r="59" spans="1:2">
      <c r="A59" s="5">
        <v>39448</v>
      </c>
      <c r="B59" s="8">
        <v>63.5</v>
      </c>
    </row>
    <row r="60" spans="1:2">
      <c r="A60" s="5">
        <v>40179</v>
      </c>
      <c r="B60" s="8">
        <v>79.666666666666671</v>
      </c>
    </row>
    <row r="61" spans="1:2">
      <c r="A61" s="5">
        <v>40323</v>
      </c>
      <c r="B61" s="8">
        <v>60</v>
      </c>
    </row>
    <row r="62" spans="1:2">
      <c r="A62" s="5">
        <v>40379</v>
      </c>
      <c r="B62" s="8">
        <v>77</v>
      </c>
    </row>
    <row r="63" spans="1:2">
      <c r="A63" s="5">
        <v>40455</v>
      </c>
      <c r="B63" s="8">
        <v>61</v>
      </c>
    </row>
    <row r="64" spans="1:2">
      <c r="A64" s="5">
        <v>40511</v>
      </c>
      <c r="B64" s="8">
        <v>76</v>
      </c>
    </row>
    <row r="65" spans="1:2">
      <c r="A65" s="5">
        <v>40544</v>
      </c>
      <c r="B65" s="8">
        <v>66.857142857142861</v>
      </c>
    </row>
    <row r="66" spans="1:2">
      <c r="A66" s="5">
        <v>40771</v>
      </c>
      <c r="B66" s="8">
        <v>93</v>
      </c>
    </row>
    <row r="67" spans="1:2">
      <c r="A67" s="5">
        <v>40830</v>
      </c>
      <c r="B67" s="8">
        <v>35</v>
      </c>
    </row>
    <row r="68" spans="1:2">
      <c r="A68" s="5">
        <v>40909</v>
      </c>
      <c r="B68" s="8">
        <v>62.8</v>
      </c>
    </row>
    <row r="69" spans="1:2">
      <c r="A69" s="5">
        <v>41043</v>
      </c>
      <c r="B69" s="8">
        <v>81</v>
      </c>
    </row>
    <row r="70" spans="1:2">
      <c r="A70" s="5">
        <v>41080</v>
      </c>
      <c r="B70" s="8">
        <v>82</v>
      </c>
    </row>
    <row r="71" spans="1:2">
      <c r="A71" s="5">
        <v>41197</v>
      </c>
      <c r="B71" s="8">
        <v>54</v>
      </c>
    </row>
    <row r="72" spans="1:2">
      <c r="A72" s="5">
        <v>41248</v>
      </c>
      <c r="B72" s="8">
        <v>48.5</v>
      </c>
    </row>
    <row r="73" spans="1:2">
      <c r="A73" s="5">
        <v>41275</v>
      </c>
      <c r="B73" s="8">
        <v>64.857142857142861</v>
      </c>
    </row>
    <row r="74" spans="1:2">
      <c r="A74" s="5">
        <v>41471</v>
      </c>
      <c r="B74" s="8">
        <v>70</v>
      </c>
    </row>
    <row r="75" spans="1:2">
      <c r="A75" s="5">
        <v>41487</v>
      </c>
      <c r="B75" s="8">
        <v>26</v>
      </c>
    </row>
    <row r="76" spans="1:2">
      <c r="A76" s="5">
        <v>41502</v>
      </c>
      <c r="B76" s="8">
        <v>71</v>
      </c>
    </row>
    <row r="77" spans="1:2">
      <c r="A77" s="5">
        <v>41530</v>
      </c>
      <c r="B77" s="8">
        <v>66</v>
      </c>
    </row>
    <row r="78" spans="1:2">
      <c r="A78" s="5">
        <v>41572</v>
      </c>
      <c r="B78" s="8">
        <v>81</v>
      </c>
    </row>
    <row r="79" spans="1:2">
      <c r="A79" s="5">
        <v>41621</v>
      </c>
      <c r="B79" s="8">
        <v>63</v>
      </c>
    </row>
    <row r="80" spans="1:2">
      <c r="A80" s="5">
        <v>41640</v>
      </c>
      <c r="B80" s="8">
        <v>70.714285714285708</v>
      </c>
    </row>
    <row r="81" spans="1:2">
      <c r="A81" s="5">
        <v>41795</v>
      </c>
      <c r="B81" s="8">
        <v>87</v>
      </c>
    </row>
    <row r="82" spans="1:2">
      <c r="A82" s="5">
        <v>41810</v>
      </c>
      <c r="B82" s="8">
        <v>38</v>
      </c>
    </row>
    <row r="83" spans="1:2">
      <c r="A83" s="5">
        <v>41859</v>
      </c>
      <c r="B83" s="8">
        <v>60</v>
      </c>
    </row>
    <row r="84" spans="1:2">
      <c r="A84" s="5">
        <v>41960</v>
      </c>
      <c r="B84" s="8">
        <v>52</v>
      </c>
    </row>
    <row r="85" spans="1:2">
      <c r="A85" s="5">
        <v>41971</v>
      </c>
      <c r="B85" s="8">
        <v>67</v>
      </c>
    </row>
    <row r="86" spans="1:2">
      <c r="A86" s="5">
        <v>41982</v>
      </c>
      <c r="B86" s="8">
        <v>52</v>
      </c>
    </row>
    <row r="87" spans="1:2">
      <c r="A87" s="5">
        <v>42005</v>
      </c>
      <c r="B87" s="8">
        <v>70.5</v>
      </c>
    </row>
    <row r="88" spans="1:2">
      <c r="A88" s="5">
        <v>42015</v>
      </c>
      <c r="B88" s="8">
        <v>71</v>
      </c>
    </row>
    <row r="89" spans="1:2">
      <c r="A89" s="5">
        <v>42037</v>
      </c>
      <c r="B89" s="8">
        <v>37</v>
      </c>
    </row>
    <row r="90" spans="1:2">
      <c r="A90" s="5">
        <v>42116</v>
      </c>
      <c r="B90" s="8">
        <v>48</v>
      </c>
    </row>
    <row r="91" spans="1:2">
      <c r="A91" s="5">
        <v>42134</v>
      </c>
      <c r="B91" s="8">
        <v>94</v>
      </c>
    </row>
    <row r="92" spans="1:2">
      <c r="A92" s="5">
        <v>42151</v>
      </c>
      <c r="B92" s="8">
        <v>57</v>
      </c>
    </row>
    <row r="93" spans="1:2">
      <c r="A93" s="5">
        <v>42177</v>
      </c>
      <c r="B93" s="8">
        <v>66</v>
      </c>
    </row>
    <row r="94" spans="1:2">
      <c r="A94" s="5">
        <v>42209</v>
      </c>
      <c r="B94" s="8">
        <v>76</v>
      </c>
    </row>
    <row r="95" spans="1:2">
      <c r="A95" s="5">
        <v>42307</v>
      </c>
      <c r="B95" s="8">
        <v>52</v>
      </c>
    </row>
    <row r="96" spans="1:2">
      <c r="A96" s="5">
        <v>42317</v>
      </c>
      <c r="B96" s="8">
        <v>38</v>
      </c>
    </row>
    <row r="97" spans="1:2">
      <c r="A97" s="5">
        <v>42384</v>
      </c>
      <c r="B97" s="8">
        <v>82</v>
      </c>
    </row>
    <row r="98" spans="1:2">
      <c r="A98" s="5">
        <v>42390</v>
      </c>
      <c r="B98" s="8">
        <v>78</v>
      </c>
    </row>
    <row r="99" spans="1:2">
      <c r="A99" s="5">
        <v>42464</v>
      </c>
      <c r="B99" s="8">
        <v>63</v>
      </c>
    </row>
    <row r="100" spans="1:2">
      <c r="A100" s="5">
        <v>42480</v>
      </c>
      <c r="B100" s="8">
        <v>45</v>
      </c>
    </row>
    <row r="101" spans="1:2">
      <c r="A101" s="5">
        <v>42521</v>
      </c>
      <c r="B101" s="8">
        <v>52</v>
      </c>
    </row>
    <row r="102" spans="1:2">
      <c r="A102" s="5">
        <v>42544</v>
      </c>
      <c r="B102" s="8">
        <v>60</v>
      </c>
    </row>
    <row r="103" spans="1:2">
      <c r="A103" s="5">
        <v>42587</v>
      </c>
      <c r="B103" s="8">
        <v>88</v>
      </c>
    </row>
    <row r="104" spans="1:2">
      <c r="A104" s="5">
        <v>42602</v>
      </c>
      <c r="B104" s="8">
        <v>55</v>
      </c>
    </row>
    <row r="105" spans="1:2">
      <c r="A105" s="5">
        <v>42622</v>
      </c>
      <c r="B105" s="8">
        <v>56</v>
      </c>
    </row>
    <row r="106" spans="1:2">
      <c r="A106" s="5">
        <v>42634</v>
      </c>
      <c r="B106" s="8">
        <v>59</v>
      </c>
    </row>
    <row r="107" spans="1:2">
      <c r="A107" s="5">
        <v>42636</v>
      </c>
      <c r="B107" s="8">
        <v>80</v>
      </c>
    </row>
    <row r="108" spans="1:2">
      <c r="A108" s="5">
        <v>42640</v>
      </c>
      <c r="B108" s="8">
        <v>51</v>
      </c>
    </row>
    <row r="109" spans="1:2">
      <c r="A109" s="5">
        <v>42678</v>
      </c>
      <c r="B109" s="8">
        <v>84</v>
      </c>
    </row>
    <row r="110" spans="1:2">
      <c r="A110" s="5">
        <v>42684</v>
      </c>
      <c r="B110" s="8">
        <v>45</v>
      </c>
    </row>
    <row r="111" spans="1:2">
      <c r="A111" s="5">
        <v>42692</v>
      </c>
      <c r="B111" s="8">
        <v>89</v>
      </c>
    </row>
    <row r="112" spans="1:2">
      <c r="A112" s="5">
        <v>42698</v>
      </c>
      <c r="B112" s="8">
        <v>50</v>
      </c>
    </row>
    <row r="113" spans="1:2">
      <c r="A113" s="5">
        <v>42699</v>
      </c>
      <c r="B113" s="8">
        <v>50</v>
      </c>
    </row>
    <row r="114" spans="1:2">
      <c r="A114" s="5">
        <v>42736</v>
      </c>
      <c r="B114" s="8">
        <v>48</v>
      </c>
    </row>
    <row r="115" spans="1:2">
      <c r="A115" s="5">
        <v>42741</v>
      </c>
      <c r="B115" s="8">
        <v>65</v>
      </c>
    </row>
    <row r="116" spans="1:2">
      <c r="A116" s="5">
        <v>42766</v>
      </c>
      <c r="B116" s="8">
        <v>78</v>
      </c>
    </row>
    <row r="117" spans="1:2">
      <c r="A117" s="5">
        <v>42786</v>
      </c>
      <c r="B117" s="8">
        <v>78</v>
      </c>
    </row>
    <row r="118" spans="1:2">
      <c r="A118" s="5">
        <v>42788</v>
      </c>
      <c r="B118" s="8">
        <v>65</v>
      </c>
    </row>
    <row r="119" spans="1:2">
      <c r="A119" s="5">
        <v>42815</v>
      </c>
      <c r="B119" s="8">
        <v>47</v>
      </c>
    </row>
    <row r="120" spans="1:2">
      <c r="A120" s="5">
        <v>42824</v>
      </c>
      <c r="B120" s="8">
        <v>46.5</v>
      </c>
    </row>
    <row r="121" spans="1:2">
      <c r="A121" s="5">
        <v>42853</v>
      </c>
      <c r="B121" s="8">
        <v>69</v>
      </c>
    </row>
    <row r="122" spans="1:2">
      <c r="A122" s="5">
        <v>42888</v>
      </c>
      <c r="B122" s="8">
        <v>86</v>
      </c>
    </row>
    <row r="123" spans="1:2">
      <c r="A123" s="5">
        <v>42901</v>
      </c>
      <c r="B123" s="8">
        <v>48</v>
      </c>
    </row>
    <row r="124" spans="1:2">
      <c r="A124" s="5">
        <v>42909</v>
      </c>
      <c r="B124" s="8">
        <v>67</v>
      </c>
    </row>
    <row r="125" spans="1:2">
      <c r="A125" s="5">
        <v>42937</v>
      </c>
      <c r="B125" s="8">
        <v>56</v>
      </c>
    </row>
    <row r="126" spans="1:2">
      <c r="A126" s="5">
        <v>42958</v>
      </c>
      <c r="B126" s="8">
        <v>30</v>
      </c>
    </row>
    <row r="127" spans="1:2">
      <c r="A127" s="5">
        <v>42972</v>
      </c>
      <c r="B127" s="8">
        <v>25</v>
      </c>
    </row>
    <row r="128" spans="1:2">
      <c r="A128" s="5">
        <v>43012</v>
      </c>
      <c r="B128" s="8">
        <v>54</v>
      </c>
    </row>
    <row r="129" spans="1:2">
      <c r="A129" s="5">
        <v>43028</v>
      </c>
      <c r="B129" s="8">
        <v>56</v>
      </c>
    </row>
    <row r="130" spans="1:2">
      <c r="A130" s="5">
        <v>43047</v>
      </c>
      <c r="B130" s="8">
        <v>53</v>
      </c>
    </row>
    <row r="131" spans="1:2">
      <c r="A131" s="5">
        <v>43049</v>
      </c>
      <c r="B131" s="8">
        <v>83.666666666666671</v>
      </c>
    </row>
    <row r="132" spans="1:2">
      <c r="A132" s="5">
        <v>43077</v>
      </c>
      <c r="B132" s="8">
        <v>80</v>
      </c>
    </row>
    <row r="133" spans="1:2">
      <c r="A133" s="5">
        <v>43168</v>
      </c>
      <c r="B133" s="8">
        <v>58</v>
      </c>
    </row>
    <row r="134" spans="1:2">
      <c r="A134" s="5">
        <v>43175</v>
      </c>
      <c r="B134" s="8">
        <v>46</v>
      </c>
    </row>
    <row r="135" spans="1:2">
      <c r="A135" s="5">
        <v>43188</v>
      </c>
      <c r="B135" s="8">
        <v>67</v>
      </c>
    </row>
    <row r="136" spans="1:2">
      <c r="A136" s="5">
        <v>43245</v>
      </c>
      <c r="B136" s="8">
        <v>55</v>
      </c>
    </row>
    <row r="137" spans="1:2">
      <c r="A137" s="5">
        <v>43355</v>
      </c>
      <c r="B137" s="8">
        <v>48</v>
      </c>
    </row>
    <row r="138" spans="1:2">
      <c r="A138" s="5">
        <v>43370</v>
      </c>
      <c r="B138" s="8">
        <v>40</v>
      </c>
    </row>
    <row r="139" spans="1:2">
      <c r="A139" s="5">
        <v>43382</v>
      </c>
      <c r="B139" s="8">
        <v>50</v>
      </c>
    </row>
    <row r="140" spans="1:2">
      <c r="A140" s="5">
        <v>43412</v>
      </c>
      <c r="B140" s="8">
        <v>41</v>
      </c>
    </row>
    <row r="141" spans="1:2">
      <c r="A141" s="5">
        <v>43425</v>
      </c>
      <c r="B141" s="8">
        <v>37</v>
      </c>
    </row>
    <row r="142" spans="1:2">
      <c r="A142" s="5">
        <v>43466</v>
      </c>
      <c r="B142" s="8">
        <v>70</v>
      </c>
    </row>
    <row r="143" spans="1:2">
      <c r="A143" s="5">
        <v>43476</v>
      </c>
      <c r="B143" s="8">
        <v>68</v>
      </c>
    </row>
    <row r="144" spans="1:2">
      <c r="A144" s="5">
        <v>43531</v>
      </c>
      <c r="B144" s="8">
        <v>33</v>
      </c>
    </row>
    <row r="145" spans="1:2">
      <c r="A145" s="5">
        <v>43567</v>
      </c>
      <c r="B145" s="8">
        <v>86</v>
      </c>
    </row>
    <row r="146" spans="1:2">
      <c r="A146" s="5">
        <v>43595</v>
      </c>
      <c r="B146" s="8">
        <v>36</v>
      </c>
    </row>
    <row r="147" spans="1:2">
      <c r="A147" s="5">
        <v>43601</v>
      </c>
      <c r="B147" s="8">
        <v>73</v>
      </c>
    </row>
    <row r="148" spans="1:2">
      <c r="A148" s="5">
        <v>43616</v>
      </c>
      <c r="B148" s="8">
        <v>62</v>
      </c>
    </row>
    <row r="149" spans="1:2">
      <c r="A149" s="5">
        <v>43635</v>
      </c>
      <c r="B149" s="8">
        <v>52</v>
      </c>
    </row>
    <row r="150" spans="1:2">
      <c r="A150" s="5">
        <v>43637</v>
      </c>
      <c r="B150" s="8">
        <v>43</v>
      </c>
    </row>
    <row r="151" spans="1:2">
      <c r="A151" s="5">
        <v>43644</v>
      </c>
      <c r="B151" s="8">
        <v>54</v>
      </c>
    </row>
    <row r="152" spans="1:2">
      <c r="A152" s="5">
        <v>43672</v>
      </c>
      <c r="B152" s="8">
        <v>73</v>
      </c>
    </row>
    <row r="153" spans="1:2">
      <c r="A153" s="5">
        <v>43681</v>
      </c>
      <c r="B153" s="8">
        <v>67</v>
      </c>
    </row>
    <row r="154" spans="1:2">
      <c r="A154" s="5">
        <v>43700</v>
      </c>
      <c r="B154" s="8">
        <v>59.5</v>
      </c>
    </row>
    <row r="155" spans="1:2">
      <c r="A155" s="5">
        <v>43707</v>
      </c>
      <c r="B155" s="8">
        <v>67.5</v>
      </c>
    </row>
    <row r="156" spans="1:2">
      <c r="A156" s="5">
        <v>43721</v>
      </c>
      <c r="B156" s="8">
        <v>90</v>
      </c>
    </row>
    <row r="157" spans="1:2">
      <c r="A157" s="5">
        <v>43728</v>
      </c>
      <c r="B157" s="8">
        <v>32</v>
      </c>
    </row>
    <row r="158" spans="1:2">
      <c r="A158" s="5">
        <v>43742</v>
      </c>
      <c r="B158" s="8">
        <v>59.8</v>
      </c>
    </row>
    <row r="159" spans="1:2">
      <c r="A159" s="5">
        <v>43756</v>
      </c>
      <c r="B159" s="8">
        <v>56</v>
      </c>
    </row>
    <row r="160" spans="1:2">
      <c r="A160" s="5">
        <v>43769</v>
      </c>
      <c r="B160" s="8">
        <v>79</v>
      </c>
    </row>
    <row r="161" spans="1:2">
      <c r="A161" s="5">
        <v>43770</v>
      </c>
      <c r="B161" s="8">
        <v>60</v>
      </c>
    </row>
    <row r="162" spans="1:2">
      <c r="A162" s="5">
        <v>43776</v>
      </c>
      <c r="B162" s="8">
        <v>41</v>
      </c>
    </row>
    <row r="163" spans="1:2">
      <c r="A163" s="5">
        <v>43786</v>
      </c>
      <c r="B163" s="8">
        <v>82</v>
      </c>
    </row>
    <row r="164" spans="1:2">
      <c r="A164" s="5">
        <v>43798</v>
      </c>
      <c r="B164" s="8">
        <v>80</v>
      </c>
    </row>
    <row r="165" spans="1:2">
      <c r="A165" s="5">
        <v>43805</v>
      </c>
      <c r="B165" s="8">
        <v>77</v>
      </c>
    </row>
    <row r="166" spans="1:2">
      <c r="A166" s="5">
        <v>43812</v>
      </c>
      <c r="B166" s="8">
        <v>55.5</v>
      </c>
    </row>
    <row r="167" spans="1:2">
      <c r="A167" s="5">
        <v>43831</v>
      </c>
      <c r="B167" s="8">
        <v>62</v>
      </c>
    </row>
    <row r="168" spans="1:2">
      <c r="A168" s="5">
        <v>43840</v>
      </c>
      <c r="B168" s="8">
        <v>61</v>
      </c>
    </row>
    <row r="169" spans="1:2">
      <c r="A169" s="5">
        <v>43846</v>
      </c>
      <c r="B169" s="8">
        <v>75</v>
      </c>
    </row>
    <row r="170" spans="1:2">
      <c r="A170" s="5">
        <v>43871</v>
      </c>
      <c r="B170" s="8">
        <v>41</v>
      </c>
    </row>
    <row r="171" spans="1:2">
      <c r="A171" s="5">
        <v>43880</v>
      </c>
      <c r="B171" s="8">
        <v>57</v>
      </c>
    </row>
    <row r="172" spans="1:2">
      <c r="A172" s="5">
        <v>43882</v>
      </c>
      <c r="B172" s="8">
        <v>46</v>
      </c>
    </row>
    <row r="173" spans="1:2">
      <c r="A173" s="5">
        <v>43890</v>
      </c>
      <c r="B173" s="8">
        <v>82</v>
      </c>
    </row>
    <row r="174" spans="1:2">
      <c r="A174" s="5">
        <v>43903</v>
      </c>
      <c r="B174" s="8">
        <v>47</v>
      </c>
    </row>
    <row r="175" spans="1:2">
      <c r="A175" s="5">
        <v>43910</v>
      </c>
      <c r="B175" s="8">
        <v>68</v>
      </c>
    </row>
    <row r="176" spans="1:2">
      <c r="A176" s="5">
        <v>43917</v>
      </c>
      <c r="B176" s="8">
        <v>85.5</v>
      </c>
    </row>
    <row r="177" spans="1:2">
      <c r="A177" s="5">
        <v>43938</v>
      </c>
      <c r="B177" s="8">
        <v>37</v>
      </c>
    </row>
    <row r="178" spans="1:2">
      <c r="A178" s="5">
        <v>43971</v>
      </c>
      <c r="B178" s="8">
        <v>76</v>
      </c>
    </row>
    <row r="179" spans="1:2">
      <c r="A179" s="5">
        <v>43987</v>
      </c>
      <c r="B179" s="8">
        <v>47</v>
      </c>
    </row>
    <row r="180" spans="1:2">
      <c r="A180" s="5">
        <v>44010</v>
      </c>
      <c r="B180" s="8">
        <v>53</v>
      </c>
    </row>
    <row r="181" spans="1:2">
      <c r="A181" s="5">
        <v>44029</v>
      </c>
      <c r="B181" s="8">
        <v>49</v>
      </c>
    </row>
    <row r="182" spans="1:2">
      <c r="A182" s="5">
        <v>44036</v>
      </c>
      <c r="B182" s="8">
        <v>65.75</v>
      </c>
    </row>
    <row r="183" spans="1:2">
      <c r="A183" s="5">
        <v>44064</v>
      </c>
      <c r="B183" s="8">
        <v>77</v>
      </c>
    </row>
    <row r="184" spans="1:2">
      <c r="A184" s="5">
        <v>44077</v>
      </c>
      <c r="B184" s="8">
        <v>90</v>
      </c>
    </row>
    <row r="185" spans="1:2">
      <c r="A185" s="5">
        <v>44092</v>
      </c>
      <c r="B185" s="8">
        <v>51</v>
      </c>
    </row>
    <row r="186" spans="1:2">
      <c r="A186" s="5">
        <v>44095</v>
      </c>
      <c r="B186" s="8">
        <v>76</v>
      </c>
    </row>
    <row r="187" spans="1:2">
      <c r="A187" s="5">
        <v>44112</v>
      </c>
      <c r="B187" s="8">
        <v>46</v>
      </c>
    </row>
    <row r="188" spans="1:2">
      <c r="A188" s="5">
        <v>44127</v>
      </c>
      <c r="B188" s="8">
        <v>80</v>
      </c>
    </row>
    <row r="189" spans="1:2">
      <c r="A189" s="5">
        <v>44134</v>
      </c>
      <c r="B189" s="8">
        <v>57</v>
      </c>
    </row>
    <row r="190" spans="1:2">
      <c r="A190" s="5">
        <v>44137</v>
      </c>
      <c r="B190" s="8">
        <v>63</v>
      </c>
    </row>
    <row r="191" spans="1:2">
      <c r="A191" s="5">
        <v>44162</v>
      </c>
      <c r="B191" s="8">
        <v>64</v>
      </c>
    </row>
    <row r="192" spans="1:2">
      <c r="A192" s="5">
        <v>44183</v>
      </c>
      <c r="B192" s="8">
        <v>75</v>
      </c>
    </row>
    <row r="193" spans="1:2">
      <c r="A193" s="5">
        <v>44189</v>
      </c>
      <c r="B193" s="8">
        <v>78</v>
      </c>
    </row>
    <row r="194" spans="1:2">
      <c r="A194" s="5">
        <v>44190</v>
      </c>
      <c r="B194" s="8">
        <v>91</v>
      </c>
    </row>
    <row r="195" spans="1:2">
      <c r="A195" s="5">
        <v>44204</v>
      </c>
      <c r="B195" s="8">
        <v>43</v>
      </c>
    </row>
    <row r="196" spans="1:2">
      <c r="A196" s="5">
        <v>44211</v>
      </c>
      <c r="B196" s="8">
        <v>86</v>
      </c>
    </row>
    <row r="197" spans="1:2">
      <c r="A197" s="5">
        <v>44224</v>
      </c>
      <c r="B197" s="8">
        <v>82</v>
      </c>
    </row>
    <row r="198" spans="1:2">
      <c r="A198" s="5">
        <v>44260</v>
      </c>
      <c r="B198" s="8">
        <v>62</v>
      </c>
    </row>
    <row r="199" spans="1:2">
      <c r="A199" s="5">
        <v>44266</v>
      </c>
      <c r="B199" s="8">
        <v>72</v>
      </c>
    </row>
    <row r="200" spans="1:2">
      <c r="A200" s="5">
        <v>44274</v>
      </c>
      <c r="B200" s="8">
        <v>67.666666666666671</v>
      </c>
    </row>
    <row r="201" spans="1:2">
      <c r="A201" s="5">
        <v>44287</v>
      </c>
      <c r="B201" s="8">
        <v>60</v>
      </c>
    </row>
    <row r="202" spans="1:2">
      <c r="A202" s="5">
        <v>44295</v>
      </c>
      <c r="B202" s="8">
        <v>64.333333333333329</v>
      </c>
    </row>
    <row r="203" spans="1:2">
      <c r="A203" s="5">
        <v>44300</v>
      </c>
      <c r="B203" s="8">
        <v>52</v>
      </c>
    </row>
    <row r="204" spans="1:2">
      <c r="A204" s="5">
        <v>44314</v>
      </c>
      <c r="B204" s="8">
        <v>72</v>
      </c>
    </row>
    <row r="205" spans="1:2">
      <c r="A205" s="5">
        <v>44315</v>
      </c>
      <c r="B205" s="8">
        <v>54</v>
      </c>
    </row>
    <row r="206" spans="1:2">
      <c r="A206" s="5">
        <v>44316</v>
      </c>
      <c r="B206" s="8">
        <v>68</v>
      </c>
    </row>
    <row r="207" spans="1:2">
      <c r="A207" s="5">
        <v>44323</v>
      </c>
      <c r="B207" s="8">
        <v>90</v>
      </c>
    </row>
    <row r="208" spans="1:2">
      <c r="A208" s="5">
        <v>44330</v>
      </c>
      <c r="B208" s="8">
        <v>66</v>
      </c>
    </row>
    <row r="209" spans="1:2">
      <c r="A209" s="5">
        <v>44331</v>
      </c>
      <c r="B209" s="8">
        <v>76</v>
      </c>
    </row>
    <row r="210" spans="1:2">
      <c r="A210" s="5">
        <v>44337</v>
      </c>
      <c r="B210" s="8">
        <v>40.200000000000003</v>
      </c>
    </row>
    <row r="211" spans="1:2">
      <c r="A211" s="5">
        <v>44351</v>
      </c>
      <c r="B211" s="8">
        <v>65</v>
      </c>
    </row>
    <row r="212" spans="1:2">
      <c r="A212" s="5">
        <v>44358</v>
      </c>
      <c r="B212" s="8">
        <v>60.5</v>
      </c>
    </row>
    <row r="213" spans="1:2">
      <c r="A213" s="5">
        <v>44371</v>
      </c>
      <c r="B213" s="8">
        <v>68.333333333333329</v>
      </c>
    </row>
    <row r="214" spans="1:2">
      <c r="A214" s="5">
        <v>44372</v>
      </c>
      <c r="B214" s="8">
        <v>64.599999999999994</v>
      </c>
    </row>
    <row r="215" spans="1:2">
      <c r="A215" s="5">
        <v>44385</v>
      </c>
      <c r="B215" s="8">
        <v>73</v>
      </c>
    </row>
    <row r="216" spans="1:2">
      <c r="A216" s="5">
        <v>44386</v>
      </c>
      <c r="B216" s="8">
        <v>75</v>
      </c>
    </row>
    <row r="217" spans="1:2">
      <c r="A217" s="5">
        <v>44400</v>
      </c>
      <c r="B217" s="8">
        <v>70</v>
      </c>
    </row>
    <row r="218" spans="1:2">
      <c r="A218" s="5">
        <v>44405</v>
      </c>
      <c r="B218" s="8">
        <v>57</v>
      </c>
    </row>
    <row r="219" spans="1:2">
      <c r="A219" s="5">
        <v>44407</v>
      </c>
      <c r="B219" s="8">
        <v>44</v>
      </c>
    </row>
    <row r="220" spans="1:2">
      <c r="A220" s="5">
        <v>44409</v>
      </c>
      <c r="B220" s="8">
        <v>79</v>
      </c>
    </row>
    <row r="221" spans="1:2">
      <c r="A221" s="5">
        <v>44411</v>
      </c>
      <c r="B221" s="8">
        <v>86</v>
      </c>
    </row>
    <row r="222" spans="1:2">
      <c r="A222" s="5">
        <v>44414</v>
      </c>
      <c r="B222" s="8">
        <v>75.5</v>
      </c>
    </row>
    <row r="223" spans="1:2">
      <c r="A223" s="5">
        <v>44417</v>
      </c>
      <c r="B223" s="8">
        <v>44</v>
      </c>
    </row>
    <row r="224" spans="1:2">
      <c r="A224" s="5">
        <v>44418</v>
      </c>
      <c r="B224" s="8">
        <v>67</v>
      </c>
    </row>
    <row r="225" spans="1:2">
      <c r="A225" s="5">
        <v>44420</v>
      </c>
      <c r="B225" s="8">
        <v>76</v>
      </c>
    </row>
    <row r="226" spans="1:2">
      <c r="A226" s="5">
        <v>44421</v>
      </c>
      <c r="B226" s="8">
        <v>69</v>
      </c>
    </row>
    <row r="227" spans="1:2">
      <c r="A227" s="5">
        <v>44428</v>
      </c>
      <c r="B227" s="8">
        <v>81</v>
      </c>
    </row>
    <row r="228" spans="1:2">
      <c r="A228" s="5">
        <v>44435</v>
      </c>
      <c r="B228" s="8">
        <v>61</v>
      </c>
    </row>
    <row r="229" spans="1:2">
      <c r="A229" s="5">
        <v>44437</v>
      </c>
      <c r="B229" s="8">
        <v>55</v>
      </c>
    </row>
    <row r="230" spans="1:2">
      <c r="A230" s="5">
        <v>44440</v>
      </c>
      <c r="B230" s="8">
        <v>65</v>
      </c>
    </row>
    <row r="231" spans="1:2">
      <c r="A231" s="5">
        <v>44441</v>
      </c>
      <c r="B231" s="8">
        <v>84</v>
      </c>
    </row>
    <row r="232" spans="1:2">
      <c r="A232" s="5">
        <v>44442</v>
      </c>
      <c r="B232" s="8">
        <v>52.8</v>
      </c>
    </row>
    <row r="233" spans="1:2">
      <c r="A233" s="5">
        <v>44447</v>
      </c>
      <c r="B233" s="8">
        <v>85</v>
      </c>
    </row>
    <row r="234" spans="1:2">
      <c r="A234" s="5">
        <v>44448</v>
      </c>
      <c r="B234" s="8">
        <v>71.5</v>
      </c>
    </row>
    <row r="235" spans="1:2">
      <c r="A235" s="5">
        <v>44449</v>
      </c>
      <c r="B235" s="8">
        <v>57.666666666666664</v>
      </c>
    </row>
    <row r="236" spans="1:2">
      <c r="A236" s="5">
        <v>44455</v>
      </c>
      <c r="B236" s="8">
        <v>53</v>
      </c>
    </row>
    <row r="237" spans="1:2">
      <c r="A237" s="5">
        <v>44456</v>
      </c>
      <c r="B237" s="8">
        <v>85</v>
      </c>
    </row>
    <row r="238" spans="1:2">
      <c r="A238" s="5">
        <v>44463</v>
      </c>
      <c r="B238" s="8">
        <v>68</v>
      </c>
    </row>
    <row r="239" spans="1:2">
      <c r="A239" s="5">
        <v>44470</v>
      </c>
      <c r="B239" s="8">
        <v>90</v>
      </c>
    </row>
    <row r="240" spans="1:2">
      <c r="A240" s="5">
        <v>44474</v>
      </c>
      <c r="B240" s="8">
        <v>70</v>
      </c>
    </row>
    <row r="241" spans="1:2">
      <c r="A241" s="5">
        <v>44483</v>
      </c>
      <c r="B241" s="8">
        <v>53</v>
      </c>
    </row>
    <row r="242" spans="1:2">
      <c r="A242" s="5">
        <v>44490</v>
      </c>
      <c r="B242" s="8">
        <v>63</v>
      </c>
    </row>
    <row r="243" spans="1:2">
      <c r="A243" s="5">
        <v>44491</v>
      </c>
      <c r="B243" s="8">
        <v>77.5</v>
      </c>
    </row>
    <row r="244" spans="1:2">
      <c r="A244" s="5">
        <v>44496</v>
      </c>
      <c r="B244" s="8">
        <v>72</v>
      </c>
    </row>
    <row r="245" spans="1:2">
      <c r="A245" s="5">
        <v>44499</v>
      </c>
      <c r="B245" s="8">
        <v>41</v>
      </c>
    </row>
    <row r="246" spans="1:2">
      <c r="A246" s="5">
        <v>44504</v>
      </c>
      <c r="B246" s="8">
        <v>76</v>
      </c>
    </row>
    <row r="247" spans="1:2">
      <c r="A247" s="5">
        <v>44505</v>
      </c>
      <c r="B247" s="8">
        <v>68.333333333333329</v>
      </c>
    </row>
    <row r="248" spans="1:2">
      <c r="A248" s="5">
        <v>44511</v>
      </c>
      <c r="B248" s="8">
        <v>57.333333333333336</v>
      </c>
    </row>
    <row r="249" spans="1:2">
      <c r="A249" s="5">
        <v>44512</v>
      </c>
      <c r="B249" s="8">
        <v>52</v>
      </c>
    </row>
    <row r="250" spans="1:2">
      <c r="A250" s="5">
        <v>44517</v>
      </c>
      <c r="B250" s="8">
        <v>79</v>
      </c>
    </row>
    <row r="251" spans="1:2">
      <c r="A251" s="5">
        <v>44518</v>
      </c>
      <c r="B251" s="8">
        <v>61</v>
      </c>
    </row>
    <row r="252" spans="1:2">
      <c r="A252" s="5">
        <v>44519</v>
      </c>
      <c r="B252" s="8">
        <v>60.625</v>
      </c>
    </row>
    <row r="253" spans="1:2">
      <c r="A253" s="5">
        <v>44525</v>
      </c>
      <c r="B253" s="8">
        <v>64</v>
      </c>
    </row>
    <row r="254" spans="1:2">
      <c r="A254" s="5">
        <v>44530</v>
      </c>
      <c r="B254" s="8">
        <v>61</v>
      </c>
    </row>
    <row r="255" spans="1:2">
      <c r="A255" s="5">
        <v>44531</v>
      </c>
      <c r="B255" s="8">
        <v>51</v>
      </c>
    </row>
    <row r="256" spans="1:2">
      <c r="A256" s="5">
        <v>44533</v>
      </c>
      <c r="B256" s="8">
        <v>55</v>
      </c>
    </row>
    <row r="257" spans="1:2">
      <c r="A257" s="5">
        <v>44540</v>
      </c>
      <c r="B257" s="8">
        <v>57.5</v>
      </c>
    </row>
    <row r="258" spans="1:2">
      <c r="A258" s="5">
        <v>44547</v>
      </c>
      <c r="B258" s="8">
        <v>62</v>
      </c>
    </row>
    <row r="259" spans="1:2">
      <c r="A259" s="5">
        <v>44553</v>
      </c>
      <c r="B259" s="8">
        <v>42</v>
      </c>
    </row>
    <row r="260" spans="1:2">
      <c r="A260" s="5">
        <v>44554</v>
      </c>
      <c r="B260" s="8">
        <v>55</v>
      </c>
    </row>
    <row r="261" spans="1:2">
      <c r="A261" s="5">
        <v>44559</v>
      </c>
      <c r="B261" s="8">
        <v>85.5</v>
      </c>
    </row>
    <row r="262" spans="1:2">
      <c r="A262" s="5">
        <v>44566</v>
      </c>
      <c r="B262" s="8">
        <v>45.5</v>
      </c>
    </row>
    <row r="263" spans="1:2">
      <c r="A263" s="5">
        <v>44568</v>
      </c>
      <c r="B263" s="8">
        <v>61.526315789473685</v>
      </c>
    </row>
    <row r="264" spans="1:2">
      <c r="A264" s="5">
        <v>44570</v>
      </c>
      <c r="B264" s="8">
        <v>55</v>
      </c>
    </row>
    <row r="265" spans="1:2">
      <c r="A265" s="5">
        <v>44571</v>
      </c>
      <c r="B265" s="8">
        <v>81.333333333333329</v>
      </c>
    </row>
    <row r="266" spans="1:2">
      <c r="A266" s="5">
        <v>44575</v>
      </c>
      <c r="B266" s="8">
        <v>79</v>
      </c>
    </row>
    <row r="267" spans="1:2">
      <c r="A267" s="5">
        <v>44576</v>
      </c>
      <c r="B267" s="8">
        <v>52</v>
      </c>
    </row>
    <row r="268" spans="1:2">
      <c r="A268" s="5">
        <v>44578</v>
      </c>
      <c r="B268" s="8">
        <v>84</v>
      </c>
    </row>
    <row r="269" spans="1:2">
      <c r="A269" s="5">
        <v>44580</v>
      </c>
      <c r="B269" s="8">
        <v>63</v>
      </c>
    </row>
    <row r="270" spans="1:2">
      <c r="A270" s="5">
        <v>44581</v>
      </c>
      <c r="B270" s="8">
        <v>50</v>
      </c>
    </row>
    <row r="271" spans="1:2">
      <c r="A271" s="5">
        <v>44582</v>
      </c>
      <c r="B271" s="8">
        <v>75</v>
      </c>
    </row>
    <row r="272" spans="1:2">
      <c r="A272" s="5">
        <v>44587</v>
      </c>
      <c r="B272" s="8">
        <v>78</v>
      </c>
    </row>
    <row r="273" spans="1:2">
      <c r="A273" s="5">
        <v>44589</v>
      </c>
      <c r="B273" s="8">
        <v>69</v>
      </c>
    </row>
    <row r="274" spans="1:2">
      <c r="A274" s="5">
        <v>44591</v>
      </c>
      <c r="B274" s="8">
        <v>64</v>
      </c>
    </row>
    <row r="275" spans="1:2">
      <c r="A275" s="5">
        <v>44593</v>
      </c>
      <c r="B275" s="8">
        <v>57</v>
      </c>
    </row>
    <row r="276" spans="1:2">
      <c r="A276" s="5">
        <v>44594</v>
      </c>
      <c r="B276" s="8">
        <v>60</v>
      </c>
    </row>
    <row r="277" spans="1:2">
      <c r="A277" s="5">
        <v>44596</v>
      </c>
      <c r="B277" s="8">
        <v>55.25</v>
      </c>
    </row>
    <row r="278" spans="1:2">
      <c r="A278" s="5">
        <v>44598</v>
      </c>
      <c r="B278" s="8">
        <v>62.5</v>
      </c>
    </row>
    <row r="279" spans="1:2">
      <c r="A279" s="5">
        <v>44601</v>
      </c>
      <c r="B279" s="8">
        <v>78</v>
      </c>
    </row>
    <row r="280" spans="1:2">
      <c r="A280" s="5">
        <v>44602</v>
      </c>
      <c r="B280" s="8">
        <v>70</v>
      </c>
    </row>
    <row r="281" spans="1:2">
      <c r="A281" s="5">
        <v>44603</v>
      </c>
      <c r="B281" s="8">
        <v>63</v>
      </c>
    </row>
    <row r="282" spans="1:2">
      <c r="A282" s="5">
        <v>44606</v>
      </c>
      <c r="B282" s="8">
        <v>85</v>
      </c>
    </row>
    <row r="283" spans="1:2">
      <c r="A283" s="5">
        <v>44607</v>
      </c>
      <c r="B283" s="8">
        <v>64</v>
      </c>
    </row>
    <row r="284" spans="1:2">
      <c r="A284" s="5">
        <v>44609</v>
      </c>
      <c r="B284" s="8">
        <v>67</v>
      </c>
    </row>
    <row r="285" spans="1:2">
      <c r="A285" s="5">
        <v>44610</v>
      </c>
      <c r="B285" s="8">
        <v>57.2</v>
      </c>
    </row>
    <row r="286" spans="1:2">
      <c r="A286" s="5">
        <v>44614</v>
      </c>
      <c r="B286" s="8">
        <v>80</v>
      </c>
    </row>
    <row r="287" spans="1:2">
      <c r="A287" s="5">
        <v>44617</v>
      </c>
      <c r="B287" s="8">
        <v>68.5</v>
      </c>
    </row>
    <row r="288" spans="1:2">
      <c r="A288" s="5">
        <v>44623</v>
      </c>
      <c r="B288" s="8">
        <v>51.666666666666664</v>
      </c>
    </row>
    <row r="289" spans="1:2">
      <c r="A289" s="5">
        <v>44624</v>
      </c>
      <c r="B289" s="8">
        <v>70</v>
      </c>
    </row>
    <row r="290" spans="1:2">
      <c r="A290" s="5">
        <v>44630</v>
      </c>
      <c r="B290" s="8">
        <v>82</v>
      </c>
    </row>
    <row r="291" spans="1:2">
      <c r="A291" s="5">
        <v>44631</v>
      </c>
      <c r="B291" s="8">
        <v>57</v>
      </c>
    </row>
    <row r="292" spans="1:2">
      <c r="A292" s="5">
        <v>44634</v>
      </c>
      <c r="B292" s="8">
        <v>69</v>
      </c>
    </row>
    <row r="293" spans="1:2">
      <c r="A293" s="5">
        <v>44637</v>
      </c>
      <c r="B293" s="8">
        <v>45</v>
      </c>
    </row>
    <row r="294" spans="1:2">
      <c r="A294" s="5">
        <v>44638</v>
      </c>
      <c r="B294" s="8">
        <v>75</v>
      </c>
    </row>
    <row r="295" spans="1:2">
      <c r="A295" s="5">
        <v>44639</v>
      </c>
      <c r="B295" s="8">
        <v>64</v>
      </c>
    </row>
    <row r="296" spans="1:2">
      <c r="A296" s="5">
        <v>44643</v>
      </c>
      <c r="B296" s="8">
        <v>81</v>
      </c>
    </row>
    <row r="297" spans="1:2">
      <c r="A297" s="5">
        <v>44644</v>
      </c>
      <c r="B297" s="8">
        <v>92</v>
      </c>
    </row>
    <row r="298" spans="1:2">
      <c r="A298" s="5">
        <v>44645</v>
      </c>
      <c r="B298" s="8">
        <v>74.75</v>
      </c>
    </row>
    <row r="299" spans="1:2">
      <c r="A299" s="5">
        <v>44650</v>
      </c>
      <c r="B299" s="8">
        <v>64.5</v>
      </c>
    </row>
    <row r="300" spans="1:2">
      <c r="A300" s="5">
        <v>44651</v>
      </c>
      <c r="B300" s="8">
        <v>75.333333333333329</v>
      </c>
    </row>
    <row r="301" spans="1:2">
      <c r="A301" s="5">
        <v>44652</v>
      </c>
      <c r="B301" s="8">
        <v>68.333333333333329</v>
      </c>
    </row>
    <row r="302" spans="1:2">
      <c r="A302" s="5">
        <v>44656</v>
      </c>
      <c r="B302" s="8">
        <v>64.5</v>
      </c>
    </row>
    <row r="303" spans="1:2">
      <c r="A303" s="5">
        <v>44657</v>
      </c>
      <c r="B303" s="8">
        <v>46</v>
      </c>
    </row>
    <row r="304" spans="1:2">
      <c r="A304" s="5">
        <v>44658</v>
      </c>
      <c r="B304" s="8">
        <v>64</v>
      </c>
    </row>
    <row r="305" spans="1:2">
      <c r="A305" s="5">
        <v>44659</v>
      </c>
      <c r="B305" s="8">
        <v>45.6</v>
      </c>
    </row>
    <row r="306" spans="1:2">
      <c r="A306" s="5">
        <v>44664</v>
      </c>
      <c r="B306" s="8">
        <v>60</v>
      </c>
    </row>
    <row r="307" spans="1:2">
      <c r="A307" s="5">
        <v>44665</v>
      </c>
      <c r="B307" s="8">
        <v>74</v>
      </c>
    </row>
    <row r="308" spans="1:2">
      <c r="A308" s="5">
        <v>44671</v>
      </c>
      <c r="B308" s="8">
        <v>40</v>
      </c>
    </row>
    <row r="309" spans="1:2">
      <c r="A309" s="5">
        <v>44672</v>
      </c>
      <c r="B309" s="8">
        <v>58</v>
      </c>
    </row>
    <row r="310" spans="1:2">
      <c r="A310" s="5">
        <v>44673</v>
      </c>
      <c r="B310" s="8">
        <v>52.8</v>
      </c>
    </row>
    <row r="311" spans="1:2">
      <c r="A311" s="5">
        <v>44675</v>
      </c>
      <c r="B311" s="8">
        <v>43</v>
      </c>
    </row>
    <row r="312" spans="1:2">
      <c r="A312" s="5">
        <v>44676</v>
      </c>
      <c r="B312" s="8">
        <v>90</v>
      </c>
    </row>
    <row r="313" spans="1:2">
      <c r="A313" s="5">
        <v>44678</v>
      </c>
      <c r="B313" s="8">
        <v>64</v>
      </c>
    </row>
    <row r="314" spans="1:2">
      <c r="A314" s="5">
        <v>44679</v>
      </c>
      <c r="B314" s="8">
        <v>53</v>
      </c>
    </row>
    <row r="315" spans="1:2">
      <c r="A315" s="5">
        <v>44680</v>
      </c>
      <c r="B315" s="8">
        <v>70.5</v>
      </c>
    </row>
    <row r="316" spans="1:2">
      <c r="A316" s="5">
        <v>44683</v>
      </c>
      <c r="B316" s="8">
        <v>76.5</v>
      </c>
    </row>
    <row r="317" spans="1:2">
      <c r="A317" s="5">
        <v>44684</v>
      </c>
      <c r="B317" s="8">
        <v>63</v>
      </c>
    </row>
    <row r="318" spans="1:2">
      <c r="A318" s="5">
        <v>44687</v>
      </c>
      <c r="B318" s="8">
        <v>64.81481481481481</v>
      </c>
    </row>
    <row r="319" spans="1:2">
      <c r="A319" s="5">
        <v>44689</v>
      </c>
      <c r="B319" s="8">
        <v>81</v>
      </c>
    </row>
    <row r="320" spans="1:2">
      <c r="A320" s="5">
        <v>44693</v>
      </c>
      <c r="B320" s="8">
        <v>67</v>
      </c>
    </row>
    <row r="321" spans="1:2">
      <c r="A321" s="5">
        <v>44694</v>
      </c>
      <c r="B321" s="8">
        <v>59.652173913043477</v>
      </c>
    </row>
    <row r="322" spans="1:2">
      <c r="A322" s="5">
        <v>44701</v>
      </c>
      <c r="B322" s="8">
        <v>58.357142857142854</v>
      </c>
    </row>
    <row r="323" spans="1:2">
      <c r="A323" s="5">
        <v>44706</v>
      </c>
      <c r="B323" s="8">
        <v>58</v>
      </c>
    </row>
    <row r="324" spans="1:2">
      <c r="A324" s="5">
        <v>44707</v>
      </c>
      <c r="B324" s="8">
        <v>68</v>
      </c>
    </row>
    <row r="325" spans="1:2">
      <c r="A325" s="5">
        <v>44708</v>
      </c>
      <c r="B325" s="8">
        <v>78</v>
      </c>
    </row>
    <row r="326" spans="1:2">
      <c r="A326" s="5">
        <v>44712</v>
      </c>
      <c r="B326" s="8">
        <v>38</v>
      </c>
    </row>
    <row r="327" spans="1:2">
      <c r="A327" s="5">
        <v>44714</v>
      </c>
      <c r="B327" s="8">
        <v>87.5</v>
      </c>
    </row>
    <row r="328" spans="1:2">
      <c r="A328" s="5">
        <v>44715</v>
      </c>
      <c r="B328" s="8">
        <v>61</v>
      </c>
    </row>
    <row r="329" spans="1:2">
      <c r="A329" s="5">
        <v>44720</v>
      </c>
      <c r="B329" s="8">
        <v>75</v>
      </c>
    </row>
    <row r="330" spans="1:2">
      <c r="A330" s="5">
        <v>44721</v>
      </c>
      <c r="B330" s="8">
        <v>62</v>
      </c>
    </row>
    <row r="331" spans="1:2">
      <c r="A331" s="5">
        <v>44722</v>
      </c>
      <c r="B331" s="8">
        <v>65.2</v>
      </c>
    </row>
    <row r="332" spans="1:2">
      <c r="A332" s="5">
        <v>44727</v>
      </c>
      <c r="B332" s="8">
        <v>89</v>
      </c>
    </row>
    <row r="333" spans="1:2">
      <c r="A333" s="5">
        <v>44728</v>
      </c>
      <c r="B333" s="8">
        <v>85</v>
      </c>
    </row>
    <row r="334" spans="1:2">
      <c r="A334" s="5">
        <v>44729</v>
      </c>
      <c r="B334" s="8">
        <v>61.333333333333336</v>
      </c>
    </row>
    <row r="335" spans="1:2">
      <c r="A335" s="5">
        <v>44733</v>
      </c>
      <c r="B335" s="8">
        <v>88</v>
      </c>
    </row>
    <row r="336" spans="1:2">
      <c r="A336" s="5">
        <v>44735</v>
      </c>
      <c r="B336" s="8">
        <v>56</v>
      </c>
    </row>
    <row r="337" spans="1:2">
      <c r="A337" s="5">
        <v>44736</v>
      </c>
      <c r="B337" s="8">
        <v>70.666666666666671</v>
      </c>
    </row>
    <row r="338" spans="1:2">
      <c r="A338" s="5">
        <v>44741</v>
      </c>
      <c r="B338" s="8">
        <v>51</v>
      </c>
    </row>
    <row r="339" spans="1:2">
      <c r="A339" s="5">
        <v>44743</v>
      </c>
      <c r="B339" s="8">
        <v>67</v>
      </c>
    </row>
    <row r="340" spans="1:2">
      <c r="A340" s="5">
        <v>44748</v>
      </c>
      <c r="B340" s="8">
        <v>80.5</v>
      </c>
    </row>
    <row r="341" spans="1:2">
      <c r="A341" s="5">
        <v>44750</v>
      </c>
      <c r="B341" s="8">
        <v>56</v>
      </c>
    </row>
    <row r="342" spans="1:2">
      <c r="A342" s="5">
        <v>44754</v>
      </c>
      <c r="B342" s="8">
        <v>53</v>
      </c>
    </row>
    <row r="343" spans="1:2">
      <c r="A343" s="5">
        <v>44756</v>
      </c>
      <c r="B343" s="8">
        <v>77</v>
      </c>
    </row>
    <row r="344" spans="1:2">
      <c r="A344" s="5">
        <v>44757</v>
      </c>
      <c r="B344" s="8">
        <v>61</v>
      </c>
    </row>
    <row r="345" spans="1:2">
      <c r="A345" s="5">
        <v>44759</v>
      </c>
      <c r="B345" s="8">
        <v>52.5</v>
      </c>
    </row>
    <row r="346" spans="1:2">
      <c r="A346" s="5">
        <v>44762</v>
      </c>
      <c r="B346" s="8">
        <v>58</v>
      </c>
    </row>
    <row r="347" spans="1:2">
      <c r="A347" s="5">
        <v>44763</v>
      </c>
      <c r="B347" s="8">
        <v>25</v>
      </c>
    </row>
    <row r="348" spans="1:2">
      <c r="A348" s="5">
        <v>44764</v>
      </c>
      <c r="B348" s="8">
        <v>72</v>
      </c>
    </row>
    <row r="349" spans="1:2">
      <c r="A349" s="5">
        <v>44767</v>
      </c>
      <c r="B349" s="8">
        <v>83</v>
      </c>
    </row>
    <row r="350" spans="1:2">
      <c r="A350" s="5">
        <v>44770</v>
      </c>
      <c r="B350" s="8">
        <v>60.5</v>
      </c>
    </row>
    <row r="351" spans="1:2">
      <c r="A351" s="5">
        <v>44771</v>
      </c>
      <c r="B351" s="8">
        <v>66.5</v>
      </c>
    </row>
    <row r="352" spans="1:2">
      <c r="A352" s="5">
        <v>44774</v>
      </c>
      <c r="B352" s="8">
        <v>79.5</v>
      </c>
    </row>
    <row r="353" spans="1:2">
      <c r="A353" s="5">
        <v>44777</v>
      </c>
      <c r="B353" s="8">
        <v>43</v>
      </c>
    </row>
    <row r="354" spans="1:2">
      <c r="A354" s="5">
        <v>44778</v>
      </c>
      <c r="B354" s="8">
        <v>65.8</v>
      </c>
    </row>
    <row r="355" spans="1:2">
      <c r="A355" s="5">
        <v>44784</v>
      </c>
      <c r="B355" s="8">
        <v>62</v>
      </c>
    </row>
    <row r="356" spans="1:2">
      <c r="A356" s="5">
        <v>44785</v>
      </c>
      <c r="B356" s="8">
        <v>89</v>
      </c>
    </row>
    <row r="357" spans="1:2">
      <c r="A357" s="5">
        <v>44788</v>
      </c>
      <c r="B357" s="8">
        <v>75</v>
      </c>
    </row>
    <row r="358" spans="1:2">
      <c r="A358" s="5">
        <v>44789</v>
      </c>
      <c r="B358" s="8">
        <v>41</v>
      </c>
    </row>
    <row r="359" spans="1:2">
      <c r="A359" s="5">
        <v>44791</v>
      </c>
      <c r="B359" s="8">
        <v>75</v>
      </c>
    </row>
    <row r="360" spans="1:2">
      <c r="A360" s="5">
        <v>44792</v>
      </c>
      <c r="B360" s="8">
        <v>62</v>
      </c>
    </row>
    <row r="361" spans="1:2">
      <c r="A361" s="5">
        <v>44795</v>
      </c>
      <c r="B361" s="8">
        <v>92</v>
      </c>
    </row>
    <row r="362" spans="1:2">
      <c r="A362" s="5">
        <v>44798</v>
      </c>
      <c r="B362" s="8">
        <v>86</v>
      </c>
    </row>
    <row r="363" spans="1:2">
      <c r="A363" s="5">
        <v>44799</v>
      </c>
      <c r="B363" s="8">
        <v>94</v>
      </c>
    </row>
    <row r="364" spans="1:2">
      <c r="A364" s="5">
        <v>44806</v>
      </c>
      <c r="B364" s="8">
        <v>76</v>
      </c>
    </row>
    <row r="365" spans="1:2">
      <c r="A365" s="5">
        <v>44812</v>
      </c>
      <c r="B365" s="8">
        <v>56</v>
      </c>
    </row>
    <row r="366" spans="1:2">
      <c r="A366" s="5">
        <v>44813</v>
      </c>
      <c r="B366" s="8">
        <v>63</v>
      </c>
    </row>
    <row r="367" spans="1:2">
      <c r="A367" s="5">
        <v>44817</v>
      </c>
      <c r="B367" s="8">
        <v>70.666666666666671</v>
      </c>
    </row>
    <row r="368" spans="1:2">
      <c r="A368" s="5">
        <v>44818</v>
      </c>
      <c r="B368" s="8">
        <v>47</v>
      </c>
    </row>
    <row r="369" spans="1:2">
      <c r="A369" s="5">
        <v>44820</v>
      </c>
      <c r="B369" s="8">
        <v>74</v>
      </c>
    </row>
    <row r="370" spans="1:2">
      <c r="A370" s="5">
        <v>44826</v>
      </c>
      <c r="B370" s="8">
        <v>70.75</v>
      </c>
    </row>
    <row r="371" spans="1:2">
      <c r="A371" s="5">
        <v>44832</v>
      </c>
      <c r="B371" s="8">
        <v>68</v>
      </c>
    </row>
    <row r="372" spans="1:2">
      <c r="A372" s="5">
        <v>44833</v>
      </c>
      <c r="B372" s="8">
        <v>77.333333333333329</v>
      </c>
    </row>
    <row r="373" spans="1:2">
      <c r="A373" s="5">
        <v>44837</v>
      </c>
      <c r="B373" s="8">
        <v>81</v>
      </c>
    </row>
    <row r="374" spans="1:2">
      <c r="A374" s="5">
        <v>44840</v>
      </c>
      <c r="B374" s="8">
        <v>59</v>
      </c>
    </row>
    <row r="375" spans="1:2">
      <c r="A375" s="5">
        <v>44841</v>
      </c>
      <c r="B375" s="8">
        <v>60</v>
      </c>
    </row>
    <row r="376" spans="1:2">
      <c r="A376" s="5">
        <v>44846</v>
      </c>
      <c r="B376" s="8">
        <v>73</v>
      </c>
    </row>
    <row r="377" spans="1:2">
      <c r="A377" s="5">
        <v>44848</v>
      </c>
      <c r="B377" s="8">
        <v>60</v>
      </c>
    </row>
    <row r="378" spans="1:2">
      <c r="A378" s="5">
        <v>44851</v>
      </c>
      <c r="B378" s="8">
        <v>75.333333333333329</v>
      </c>
    </row>
    <row r="379" spans="1:2">
      <c r="A379" s="5">
        <v>44853</v>
      </c>
      <c r="B379" s="8">
        <v>70</v>
      </c>
    </row>
    <row r="380" spans="1:2">
      <c r="A380" s="5">
        <v>44854</v>
      </c>
      <c r="B380" s="8">
        <v>67</v>
      </c>
    </row>
    <row r="381" spans="1:2">
      <c r="A381" s="5">
        <v>44855</v>
      </c>
      <c r="B381" s="8">
        <v>45.176470588235297</v>
      </c>
    </row>
    <row r="382" spans="1:2">
      <c r="A382" s="5">
        <v>44860</v>
      </c>
      <c r="B382" s="8">
        <v>79</v>
      </c>
    </row>
    <row r="383" spans="1:2">
      <c r="A383" s="5">
        <v>44862</v>
      </c>
      <c r="B383" s="8">
        <v>50.333333333333336</v>
      </c>
    </row>
    <row r="384" spans="1:2">
      <c r="A384" s="5">
        <v>44865</v>
      </c>
      <c r="B384" s="8">
        <v>68</v>
      </c>
    </row>
    <row r="385" spans="1:2">
      <c r="A385" s="5">
        <v>44866</v>
      </c>
      <c r="B385" s="8">
        <v>79</v>
      </c>
    </row>
    <row r="386" spans="1:2">
      <c r="A386" s="5">
        <v>44868</v>
      </c>
      <c r="B386" s="8">
        <v>67</v>
      </c>
    </row>
    <row r="387" spans="1:2">
      <c r="A387" s="5">
        <v>44869</v>
      </c>
      <c r="B387" s="8">
        <v>56.571428571428569</v>
      </c>
    </row>
    <row r="388" spans="1:2">
      <c r="A388" s="5">
        <v>44870</v>
      </c>
      <c r="B388" s="8">
        <v>56</v>
      </c>
    </row>
    <row r="389" spans="1:2">
      <c r="A389" s="5">
        <v>44878</v>
      </c>
      <c r="B389" s="8">
        <v>69</v>
      </c>
    </row>
    <row r="390" spans="1:2">
      <c r="A390" s="5">
        <v>44885</v>
      </c>
      <c r="B390" s="8">
        <v>88</v>
      </c>
    </row>
    <row r="391" spans="1:2">
      <c r="A391" s="5">
        <v>44889</v>
      </c>
      <c r="B391" s="8">
        <v>73</v>
      </c>
    </row>
    <row r="392" spans="1:2">
      <c r="A392" s="5">
        <v>44890</v>
      </c>
      <c r="B392" s="8">
        <v>77</v>
      </c>
    </row>
    <row r="393" spans="1:2">
      <c r="A393" s="5">
        <v>44895</v>
      </c>
      <c r="B393" s="8">
        <v>68.666666666666671</v>
      </c>
    </row>
    <row r="394" spans="1:2">
      <c r="A394" s="5">
        <v>44896</v>
      </c>
      <c r="B394" s="8">
        <v>60</v>
      </c>
    </row>
    <row r="395" spans="1:2">
      <c r="A395" s="5">
        <v>44897</v>
      </c>
      <c r="B395" s="8">
        <v>63.333333333333336</v>
      </c>
    </row>
    <row r="396" spans="1:2">
      <c r="A396" s="5">
        <v>44903</v>
      </c>
      <c r="B396" s="8">
        <v>69.2</v>
      </c>
    </row>
    <row r="397" spans="1:2">
      <c r="A397" s="5">
        <v>44904</v>
      </c>
      <c r="B397" s="8">
        <v>52.470588235294116</v>
      </c>
    </row>
    <row r="398" spans="1:2">
      <c r="A398" s="5">
        <v>44907</v>
      </c>
      <c r="B398" s="8">
        <v>80</v>
      </c>
    </row>
    <row r="399" spans="1:2">
      <c r="A399" s="5">
        <v>44910</v>
      </c>
      <c r="B399" s="8">
        <v>68.666666666666671</v>
      </c>
    </row>
    <row r="400" spans="1:2">
      <c r="A400" s="5">
        <v>44911</v>
      </c>
      <c r="B400" s="8">
        <v>69.5</v>
      </c>
    </row>
    <row r="401" spans="1:2">
      <c r="A401" s="5">
        <v>44914</v>
      </c>
      <c r="B401" s="8">
        <v>64</v>
      </c>
    </row>
    <row r="402" spans="1:2">
      <c r="A402" s="5">
        <v>44915</v>
      </c>
      <c r="B402" s="8">
        <v>73</v>
      </c>
    </row>
    <row r="403" spans="1:2">
      <c r="A403" s="5">
        <v>44917</v>
      </c>
      <c r="B403" s="8">
        <v>70</v>
      </c>
    </row>
    <row r="404" spans="1:2">
      <c r="A404" s="5">
        <v>44918</v>
      </c>
      <c r="B404" s="8">
        <v>36</v>
      </c>
    </row>
    <row r="405" spans="1:2">
      <c r="A405" s="5">
        <v>44919</v>
      </c>
      <c r="B405" s="8">
        <v>48</v>
      </c>
    </row>
    <row r="406" spans="1:2">
      <c r="A406" s="5">
        <v>44925</v>
      </c>
      <c r="B406" s="8">
        <v>81</v>
      </c>
    </row>
    <row r="407" spans="1:2">
      <c r="A407" s="5">
        <v>44928</v>
      </c>
      <c r="B407" s="8">
        <v>77</v>
      </c>
    </row>
    <row r="408" spans="1:2">
      <c r="A408" s="5">
        <v>44937</v>
      </c>
      <c r="B408" s="8">
        <v>63</v>
      </c>
    </row>
    <row r="409" spans="1:2">
      <c r="A409" s="5">
        <v>44938</v>
      </c>
      <c r="B409" s="8">
        <v>69.5</v>
      </c>
    </row>
    <row r="410" spans="1:2">
      <c r="A410" s="5">
        <v>44939</v>
      </c>
      <c r="B410" s="8">
        <v>61</v>
      </c>
    </row>
    <row r="411" spans="1:2">
      <c r="A411" s="5">
        <v>44946</v>
      </c>
      <c r="B411" s="8">
        <v>63</v>
      </c>
    </row>
    <row r="412" spans="1:2">
      <c r="A412" s="5">
        <v>44949</v>
      </c>
      <c r="B412" s="8">
        <v>63</v>
      </c>
    </row>
    <row r="413" spans="1:2">
      <c r="A413" s="5">
        <v>44953</v>
      </c>
      <c r="B413" s="8">
        <v>77.142857142857139</v>
      </c>
    </row>
    <row r="414" spans="1:2">
      <c r="A414" s="5">
        <v>44957</v>
      </c>
      <c r="B414" s="8">
        <v>78</v>
      </c>
    </row>
    <row r="415" spans="1:2">
      <c r="A415" s="5">
        <v>44959</v>
      </c>
      <c r="B415" s="8">
        <v>72.333333333333329</v>
      </c>
    </row>
    <row r="416" spans="1:2">
      <c r="A416" s="5">
        <v>44960</v>
      </c>
      <c r="B416" s="8">
        <v>70</v>
      </c>
    </row>
    <row r="417" spans="1:2">
      <c r="A417" s="5">
        <v>44962</v>
      </c>
      <c r="B417" s="8">
        <v>90</v>
      </c>
    </row>
    <row r="418" spans="1:2">
      <c r="A418" s="5">
        <v>44965</v>
      </c>
      <c r="B418" s="8">
        <v>71</v>
      </c>
    </row>
    <row r="419" spans="1:2">
      <c r="A419" s="5">
        <v>44967</v>
      </c>
      <c r="B419" s="8">
        <v>69</v>
      </c>
    </row>
    <row r="420" spans="1:2">
      <c r="A420" s="5">
        <v>44971</v>
      </c>
      <c r="B420" s="8">
        <v>62.5</v>
      </c>
    </row>
    <row r="421" spans="1:2">
      <c r="A421" s="5">
        <v>44974</v>
      </c>
      <c r="B421" s="8">
        <v>76</v>
      </c>
    </row>
    <row r="422" spans="1:2">
      <c r="A422" s="5">
        <v>44980</v>
      </c>
      <c r="B422" s="8">
        <v>69.666666666666671</v>
      </c>
    </row>
    <row r="423" spans="1:2">
      <c r="A423" s="5">
        <v>44981</v>
      </c>
      <c r="B423" s="8">
        <v>63.571428571428569</v>
      </c>
    </row>
    <row r="424" spans="1:2">
      <c r="A424" s="5">
        <v>44982</v>
      </c>
      <c r="B424" s="8">
        <v>78</v>
      </c>
    </row>
    <row r="425" spans="1:2">
      <c r="A425" s="5">
        <v>44986</v>
      </c>
      <c r="B425" s="8">
        <v>92</v>
      </c>
    </row>
    <row r="426" spans="1:2">
      <c r="A426" s="5">
        <v>44987</v>
      </c>
      <c r="B426" s="8">
        <v>67</v>
      </c>
    </row>
    <row r="427" spans="1:2">
      <c r="A427" s="5">
        <v>44988</v>
      </c>
      <c r="B427" s="8">
        <v>74.333333333333329</v>
      </c>
    </row>
    <row r="428" spans="1:2">
      <c r="A428" s="5">
        <v>44989</v>
      </c>
      <c r="B428" s="8">
        <v>47</v>
      </c>
    </row>
    <row r="429" spans="1:2">
      <c r="A429" s="5">
        <v>44995</v>
      </c>
      <c r="B429" s="8">
        <v>87</v>
      </c>
    </row>
    <row r="430" spans="1:2">
      <c r="A430" s="5">
        <v>44999</v>
      </c>
      <c r="B430" s="8">
        <v>79</v>
      </c>
    </row>
    <row r="431" spans="1:2">
      <c r="A431" s="5">
        <v>45001</v>
      </c>
      <c r="B431" s="8">
        <v>76</v>
      </c>
    </row>
    <row r="432" spans="1:2">
      <c r="A432" s="5">
        <v>45002</v>
      </c>
      <c r="B432" s="8">
        <v>58.857142857142854</v>
      </c>
    </row>
    <row r="433" spans="1:2">
      <c r="A433" s="5">
        <v>45007</v>
      </c>
      <c r="B433" s="8">
        <v>78</v>
      </c>
    </row>
    <row r="434" spans="1:2">
      <c r="A434" s="5">
        <v>45008</v>
      </c>
      <c r="B434" s="8">
        <v>63.5</v>
      </c>
    </row>
    <row r="435" spans="1:2">
      <c r="A435" s="5">
        <v>45009</v>
      </c>
      <c r="B435" s="8">
        <v>69.8</v>
      </c>
    </row>
    <row r="436" spans="1:2">
      <c r="A436" s="5">
        <v>45010</v>
      </c>
      <c r="B436" s="8">
        <v>86</v>
      </c>
    </row>
    <row r="437" spans="1:2">
      <c r="A437" s="5">
        <v>45012</v>
      </c>
      <c r="B437" s="8">
        <v>65</v>
      </c>
    </row>
    <row r="438" spans="1:2">
      <c r="A438" s="5">
        <v>45014</v>
      </c>
      <c r="B438" s="8">
        <v>66</v>
      </c>
    </row>
    <row r="439" spans="1:2">
      <c r="A439" s="5">
        <v>45015</v>
      </c>
      <c r="B439" s="8">
        <v>68</v>
      </c>
    </row>
    <row r="440" spans="1:2">
      <c r="A440" s="5">
        <v>45016</v>
      </c>
      <c r="B440" s="8">
        <v>61.666666666666664</v>
      </c>
    </row>
    <row r="441" spans="1:2">
      <c r="A441" s="5">
        <v>45020</v>
      </c>
      <c r="B441" s="8">
        <v>68</v>
      </c>
    </row>
    <row r="442" spans="1:2">
      <c r="A442" s="5">
        <v>45022</v>
      </c>
      <c r="B442" s="8">
        <v>91</v>
      </c>
    </row>
    <row r="443" spans="1:2">
      <c r="A443" s="5">
        <v>45023</v>
      </c>
      <c r="B443" s="8">
        <v>49.2</v>
      </c>
    </row>
    <row r="444" spans="1:2">
      <c r="A444" s="5">
        <v>45026</v>
      </c>
      <c r="B444" s="8">
        <v>88</v>
      </c>
    </row>
    <row r="445" spans="1:2">
      <c r="A445" s="5">
        <v>45028</v>
      </c>
      <c r="B445" s="8">
        <v>94</v>
      </c>
    </row>
    <row r="446" spans="1:2">
      <c r="A446" s="5">
        <v>45030</v>
      </c>
      <c r="B446" s="8">
        <v>67</v>
      </c>
    </row>
    <row r="447" spans="1:2">
      <c r="A447" s="5">
        <v>45033</v>
      </c>
      <c r="B447" s="8">
        <v>72</v>
      </c>
    </row>
    <row r="448" spans="1:2">
      <c r="A448" s="5">
        <v>45037</v>
      </c>
      <c r="B448" s="8">
        <v>67.666666666666671</v>
      </c>
    </row>
    <row r="449" spans="1:2">
      <c r="A449" s="5">
        <v>45040</v>
      </c>
      <c r="B449" s="8">
        <v>88</v>
      </c>
    </row>
    <row r="450" spans="1:2">
      <c r="A450" s="5">
        <v>45041</v>
      </c>
      <c r="B450" s="8">
        <v>70</v>
      </c>
    </row>
    <row r="451" spans="1:2">
      <c r="A451" s="5">
        <v>45043</v>
      </c>
      <c r="B451" s="8">
        <v>70</v>
      </c>
    </row>
    <row r="452" spans="1:2">
      <c r="A452" s="5">
        <v>45046</v>
      </c>
      <c r="B452" s="8">
        <v>58</v>
      </c>
    </row>
    <row r="453" spans="1:2">
      <c r="A453" s="5">
        <v>45047</v>
      </c>
      <c r="B453" s="8">
        <v>77.5</v>
      </c>
    </row>
    <row r="454" spans="1:2">
      <c r="A454" s="5">
        <v>45050</v>
      </c>
      <c r="B454" s="8">
        <v>70</v>
      </c>
    </row>
    <row r="455" spans="1:2">
      <c r="A455" s="5">
        <v>45051</v>
      </c>
      <c r="B455" s="8">
        <v>76</v>
      </c>
    </row>
    <row r="456" spans="1:2">
      <c r="A456" s="5">
        <v>45057</v>
      </c>
      <c r="B456" s="8">
        <v>47.5</v>
      </c>
    </row>
    <row r="457" spans="1:2">
      <c r="A457" s="5">
        <v>45058</v>
      </c>
      <c r="B457" s="8">
        <v>64.5</v>
      </c>
    </row>
    <row r="458" spans="1:2">
      <c r="A458" s="5">
        <v>45059</v>
      </c>
      <c r="B458" s="8">
        <v>43</v>
      </c>
    </row>
    <row r="459" spans="1:2">
      <c r="A459" s="5">
        <v>45061</v>
      </c>
      <c r="B459" s="8">
        <v>66.666666666666671</v>
      </c>
    </row>
    <row r="460" spans="1:2">
      <c r="A460" s="5">
        <v>45064</v>
      </c>
      <c r="B460" s="8">
        <v>71</v>
      </c>
    </row>
    <row r="461" spans="1:2">
      <c r="A461" s="5">
        <v>45065</v>
      </c>
      <c r="B461" s="8">
        <v>67</v>
      </c>
    </row>
    <row r="462" spans="1:2">
      <c r="A462" s="5">
        <v>45068</v>
      </c>
      <c r="B462" s="8">
        <v>75</v>
      </c>
    </row>
    <row r="463" spans="1:2">
      <c r="A463" s="5">
        <v>45071</v>
      </c>
      <c r="B463" s="8">
        <v>85</v>
      </c>
    </row>
    <row r="464" spans="1:2">
      <c r="A464" s="5">
        <v>45072</v>
      </c>
      <c r="B464" s="8">
        <v>63.8</v>
      </c>
    </row>
    <row r="465" spans="1:2">
      <c r="A465" s="5">
        <v>45077</v>
      </c>
      <c r="B465" s="8">
        <v>67</v>
      </c>
    </row>
    <row r="466" spans="1:2">
      <c r="A466" s="5">
        <v>45078</v>
      </c>
      <c r="B466" s="8">
        <v>63.666666666666664</v>
      </c>
    </row>
    <row r="467" spans="1:2">
      <c r="A467" s="5">
        <v>45079</v>
      </c>
      <c r="B467" s="8">
        <v>57.666666666666664</v>
      </c>
    </row>
    <row r="468" spans="1:2">
      <c r="A468" s="5">
        <v>45082</v>
      </c>
      <c r="B468" s="8">
        <v>74</v>
      </c>
    </row>
    <row r="469" spans="1:2">
      <c r="A469" s="5">
        <v>45085</v>
      </c>
      <c r="B469" s="8">
        <v>80</v>
      </c>
    </row>
    <row r="470" spans="1:2">
      <c r="A470" s="5">
        <v>45086</v>
      </c>
      <c r="B470" s="8">
        <v>59</v>
      </c>
    </row>
    <row r="471" spans="1:2">
      <c r="A471" s="5">
        <v>45092</v>
      </c>
      <c r="B471" s="8">
        <v>88</v>
      </c>
    </row>
    <row r="472" spans="1:2">
      <c r="A472" s="5">
        <v>45098</v>
      </c>
      <c r="B472" s="8">
        <v>65</v>
      </c>
    </row>
    <row r="473" spans="1:2">
      <c r="A473" s="5">
        <v>45099</v>
      </c>
      <c r="B473" s="8">
        <v>72.8</v>
      </c>
    </row>
    <row r="474" spans="1:2">
      <c r="A474" s="5">
        <v>45100</v>
      </c>
      <c r="B474" s="8">
        <v>60.333333333333336</v>
      </c>
    </row>
    <row r="475" spans="1:2">
      <c r="A475" s="5">
        <v>45105</v>
      </c>
      <c r="B475" s="8">
        <v>87</v>
      </c>
    </row>
    <row r="476" spans="1:2">
      <c r="A476" s="5">
        <v>45106</v>
      </c>
      <c r="B476" s="8">
        <v>71</v>
      </c>
    </row>
    <row r="477" spans="1:2">
      <c r="A477" s="5">
        <v>45107</v>
      </c>
      <c r="B477" s="8">
        <v>65</v>
      </c>
    </row>
    <row r="478" spans="1:2">
      <c r="A478" s="5">
        <v>45114</v>
      </c>
      <c r="B478" s="8">
        <v>73.125</v>
      </c>
    </row>
    <row r="479" spans="1:2">
      <c r="A479" s="5">
        <v>45120</v>
      </c>
      <c r="B479" s="8">
        <v>60.666666666666664</v>
      </c>
    </row>
    <row r="480" spans="1:2">
      <c r="A480" s="5">
        <v>45121</v>
      </c>
      <c r="B480" s="8">
        <v>76</v>
      </c>
    </row>
    <row r="481" spans="1:2">
      <c r="A481" s="5" t="s">
        <v>1621</v>
      </c>
      <c r="B481" s="8">
        <v>64.279118572927601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A72AB-F2C4-40C0-9675-318E1001F8AA}">
  <dimension ref="A1:Q77"/>
  <sheetViews>
    <sheetView showGridLines="0" workbookViewId="0">
      <selection activeCell="E79" sqref="E79"/>
    </sheetView>
  </sheetViews>
  <sheetFormatPr defaultRowHeight="15"/>
  <cols>
    <col min="1" max="1" width="30" style="15" bestFit="1" customWidth="1"/>
    <col min="2" max="2" width="36.5703125" bestFit="1" customWidth="1"/>
    <col min="10" max="10" width="36.5703125" bestFit="1" customWidth="1"/>
    <col min="17" max="17" width="36.5703125" bestFit="1" customWidth="1"/>
  </cols>
  <sheetData>
    <row r="1" spans="1:2" ht="23.25">
      <c r="A1" s="11" t="s">
        <v>1625</v>
      </c>
    </row>
    <row r="4" spans="1:2">
      <c r="A4" s="14" t="s">
        <v>1626</v>
      </c>
      <c r="B4" s="12">
        <f>COUNTA(stats!A:A)</f>
        <v>954</v>
      </c>
    </row>
    <row r="5" spans="1:2">
      <c r="A5" s="14" t="s">
        <v>1627</v>
      </c>
      <c r="B5" s="12">
        <f>COUNTA(_xlfn.UNIQUE(Table1[artist(s)_name]))</f>
        <v>645</v>
      </c>
    </row>
    <row r="6" spans="1:2">
      <c r="A6" s="14" t="s">
        <v>1628</v>
      </c>
      <c r="B6" s="13">
        <f>AVERAGE(Table1[energy_%])</f>
        <v>64.279118572927601</v>
      </c>
    </row>
    <row r="18" spans="10:10" ht="30.75">
      <c r="J18" s="2" t="s">
        <v>1629</v>
      </c>
    </row>
    <row r="40" spans="17:17" ht="30.75">
      <c r="Q40" s="2" t="s">
        <v>1630</v>
      </c>
    </row>
    <row r="73" spans="2:10" ht="30.75">
      <c r="J73" s="2" t="s">
        <v>1631</v>
      </c>
    </row>
    <row r="77" spans="2:10" ht="91.5">
      <c r="B77" s="2" t="s">
        <v>1632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2026-06-26T20:49:12Z</dcterms:created>
  <dcterms:modified xsi:type="dcterms:W3CDTF">2026-06-29T23:26:54Z</dcterms:modified>
  <cp:category/>
  <cp:contentStatus/>
</cp:coreProperties>
</file>